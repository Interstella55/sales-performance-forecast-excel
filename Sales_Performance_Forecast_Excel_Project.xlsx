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3rgi\OneDrive\Área de Trabalho\AiDAPT CURSO\Exercicios\Sales Dashboard in Power BI\"/>
    </mc:Choice>
  </mc:AlternateContent>
  <xr:revisionPtr revIDLastSave="0" documentId="13_ncr:1_{175D7932-34FF-41DA-803B-0AE964BE7DDF}" xr6:coauthVersionLast="47" xr6:coauthVersionMax="47" xr10:uidLastSave="{00000000-0000-0000-0000-000000000000}"/>
  <bookViews>
    <workbookView xWindow="-120" yWindow="-120" windowWidth="29040" windowHeight="15840" tabRatio="779" xr2:uid="{374D04B5-74F3-4073-A4B9-D69B14E0A5AA}"/>
  </bookViews>
  <sheets>
    <sheet name="Project_Overview" sheetId="15" r:id="rId1"/>
    <sheet name="Dashboard" sheetId="5" r:id="rId2"/>
    <sheet name="Manager_Lookup" sheetId="7" r:id="rId3"/>
    <sheet name="Calculations" sheetId="4" r:id="rId4"/>
    <sheet name="Pivot_Tables" sheetId="3" r:id="rId5"/>
    <sheet name="Forecast_yearly" sheetId="13" r:id="rId6"/>
    <sheet name="Forecast_Revenue_Quarter" sheetId="12" r:id="rId7"/>
    <sheet name="Cleaned_Sales_Data" sheetId="2" r:id="rId8"/>
    <sheet name="RAW_Sales Data" sheetId="1" r:id="rId9"/>
  </sheets>
  <definedNames>
    <definedName name="_xlnm._FilterDatabase" localSheetId="8" hidden="1">'RAW_Sales Data'!$A$1:$K$1</definedName>
    <definedName name="ExternalData_1" localSheetId="7" hidden="1">Cleaned_Sales_Data!$A$1:$N$1462</definedName>
    <definedName name="Sales_Date">OFFSET('RAW_Sales Data'!$A$1,0,0, COUNT('RAW_Sales Data'!$A:$A),COUNTA('RAW_Sales Data'!$1:$1))</definedName>
    <definedName name="Slicer_Product_Name">#N/A</definedName>
    <definedName name="Slicer_Sales_Manager">#N/A</definedName>
    <definedName name="Slicer_Year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7" l="1"/>
  <c r="C4" i="7"/>
  <c r="F4" i="7"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C3" i="4"/>
  <c r="Q3" i="4"/>
  <c r="P3" i="4"/>
  <c r="O3" i="4"/>
  <c r="N3" i="4"/>
  <c r="D14" i="4"/>
  <c r="D11" i="4"/>
  <c r="F11" i="4"/>
  <c r="F20" i="3" a="1"/>
  <c r="F20" i="3" s="1"/>
  <c r="L3" i="4"/>
  <c r="K3" i="4"/>
  <c r="J3" i="4"/>
  <c r="I3" i="4"/>
  <c r="A8" i="4"/>
  <c r="C6" i="4"/>
  <c r="G3" i="4"/>
  <c r="F3" i="4"/>
  <c r="E3" i="4"/>
  <c r="D3" i="4"/>
  <c r="A5" i="4"/>
  <c r="A2" i="4"/>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D1236" i="1"/>
  <c r="D1237" i="1" s="1"/>
  <c r="D1238" i="1" s="1"/>
  <c r="D1239" i="1" s="1"/>
  <c r="D1240" i="1" s="1"/>
  <c r="D1241" i="1" s="1"/>
  <c r="D1242" i="1" s="1"/>
  <c r="D1243" i="1" s="1"/>
  <c r="D1244" i="1" s="1"/>
  <c r="D1245" i="1" s="1"/>
  <c r="D1246" i="1" s="1"/>
  <c r="D1247" i="1" s="1"/>
  <c r="D1248" i="1" s="1"/>
  <c r="D1249" i="1" s="1"/>
  <c r="D1250" i="1" s="1"/>
  <c r="D1251" i="1" s="1"/>
  <c r="D1252" i="1" s="1"/>
  <c r="D1253" i="1" s="1"/>
  <c r="D1254" i="1" s="1"/>
  <c r="D1255" i="1" s="1"/>
  <c r="D1256" i="1" s="1"/>
  <c r="D1257" i="1" s="1"/>
  <c r="D1258" i="1" s="1"/>
  <c r="D1259" i="1" s="1"/>
  <c r="D1260" i="1" s="1"/>
  <c r="D1261" i="1" s="1"/>
  <c r="D1262" i="1" s="1"/>
  <c r="D1263" i="1" s="1"/>
  <c r="D1264" i="1" s="1"/>
  <c r="D1265" i="1" s="1"/>
  <c r="D1266" i="1" s="1"/>
  <c r="D1267" i="1" s="1"/>
  <c r="D1268" i="1" s="1"/>
  <c r="D1269" i="1" s="1"/>
  <c r="D1270" i="1" s="1"/>
  <c r="D1271" i="1" s="1"/>
  <c r="D1272" i="1" s="1"/>
  <c r="D1273" i="1" s="1"/>
  <c r="D1274" i="1" s="1"/>
  <c r="D1275" i="1" s="1"/>
  <c r="D1276" i="1" s="1"/>
  <c r="D1277" i="1" s="1"/>
  <c r="D1278" i="1" s="1"/>
  <c r="D1279" i="1" s="1"/>
  <c r="D1280" i="1" s="1"/>
  <c r="D1281" i="1" s="1"/>
  <c r="D1282" i="1" s="1"/>
  <c r="D1283" i="1" s="1"/>
  <c r="D1284" i="1" s="1"/>
  <c r="D1285" i="1" s="1"/>
  <c r="D1286" i="1" s="1"/>
  <c r="D1287" i="1" s="1"/>
  <c r="D1288" i="1" s="1"/>
  <c r="D1289" i="1" s="1"/>
  <c r="D1290" i="1" s="1"/>
  <c r="D1291" i="1" s="1"/>
  <c r="D1292" i="1" s="1"/>
  <c r="D1293" i="1" s="1"/>
  <c r="D1294" i="1" s="1"/>
  <c r="D1295" i="1" s="1"/>
  <c r="D1296" i="1" s="1"/>
  <c r="D1297" i="1" s="1"/>
  <c r="D1298" i="1" s="1"/>
  <c r="D1299" i="1" s="1"/>
  <c r="D1300" i="1" s="1"/>
  <c r="D1301" i="1" s="1"/>
  <c r="D1302" i="1" s="1"/>
  <c r="D1303" i="1" s="1"/>
  <c r="D1304" i="1" s="1"/>
  <c r="D1305" i="1" s="1"/>
  <c r="D1306" i="1" s="1"/>
  <c r="D1307" i="1" s="1"/>
  <c r="D1308" i="1" s="1"/>
  <c r="D1309" i="1" s="1"/>
  <c r="D1310" i="1" s="1"/>
  <c r="D1311" i="1" s="1"/>
  <c r="D1312" i="1" s="1"/>
  <c r="D1313" i="1" s="1"/>
  <c r="D1314" i="1" s="1"/>
  <c r="D1315" i="1" s="1"/>
  <c r="D1316" i="1" s="1"/>
  <c r="D1317" i="1" s="1"/>
  <c r="D1318" i="1" s="1"/>
  <c r="D1319" i="1" s="1"/>
  <c r="D1320" i="1" s="1"/>
  <c r="D1321" i="1" s="1"/>
  <c r="D1322" i="1" s="1"/>
  <c r="D1323" i="1" s="1"/>
  <c r="D1324" i="1" s="1"/>
  <c r="D1325" i="1" s="1"/>
  <c r="D1326" i="1" s="1"/>
  <c r="D1327" i="1" s="1"/>
  <c r="D1328" i="1" s="1"/>
  <c r="D1329" i="1" s="1"/>
  <c r="D1330" i="1" s="1"/>
  <c r="D1331" i="1" s="1"/>
  <c r="D1332" i="1" s="1"/>
  <c r="D1333" i="1" s="1"/>
  <c r="D1334" i="1" s="1"/>
  <c r="D1335" i="1" s="1"/>
  <c r="D1336" i="1" s="1"/>
  <c r="D1337" i="1" s="1"/>
  <c r="D1338" i="1" s="1"/>
  <c r="D1339" i="1" s="1"/>
  <c r="D1340" i="1" s="1"/>
  <c r="D1341" i="1" s="1"/>
  <c r="D1342" i="1" s="1"/>
  <c r="D1343" i="1" s="1"/>
  <c r="D1344" i="1" s="1"/>
  <c r="D1345" i="1" s="1"/>
  <c r="D1346" i="1" s="1"/>
  <c r="D1347" i="1" s="1"/>
  <c r="D1348" i="1" s="1"/>
  <c r="D1349" i="1" s="1"/>
  <c r="D1350" i="1" s="1"/>
  <c r="D1351" i="1" s="1"/>
  <c r="D1352" i="1" s="1"/>
  <c r="D1353" i="1" s="1"/>
  <c r="D1354" i="1" s="1"/>
  <c r="D1355" i="1" s="1"/>
  <c r="D1356" i="1" s="1"/>
  <c r="D1357" i="1" s="1"/>
  <c r="D1358" i="1" s="1"/>
  <c r="D1359" i="1" s="1"/>
  <c r="D1360" i="1" s="1"/>
  <c r="D1361" i="1" s="1"/>
  <c r="D1362" i="1" s="1"/>
  <c r="D1363" i="1" s="1"/>
  <c r="D1364" i="1" s="1"/>
  <c r="D1365" i="1" s="1"/>
  <c r="D1366" i="1" s="1"/>
  <c r="D1367" i="1" s="1"/>
  <c r="D1368" i="1" s="1"/>
  <c r="D1369" i="1" s="1"/>
  <c r="D1370" i="1" s="1"/>
  <c r="D1371" i="1" s="1"/>
  <c r="D1372" i="1" s="1"/>
  <c r="D1373" i="1" s="1"/>
  <c r="D1374" i="1" s="1"/>
  <c r="D1375" i="1" s="1"/>
  <c r="D1376" i="1" s="1"/>
  <c r="D1377" i="1" s="1"/>
  <c r="D1378" i="1" s="1"/>
  <c r="D1379" i="1" s="1"/>
  <c r="D1380" i="1" s="1"/>
  <c r="D1381" i="1" s="1"/>
  <c r="D1382" i="1" s="1"/>
  <c r="D1383" i="1" s="1"/>
  <c r="D1384" i="1" s="1"/>
  <c r="D1385" i="1" s="1"/>
  <c r="D1386" i="1" s="1"/>
  <c r="D1387" i="1" s="1"/>
  <c r="D1388" i="1" s="1"/>
  <c r="D1389" i="1" s="1"/>
  <c r="D1390" i="1" s="1"/>
  <c r="D1391" i="1" s="1"/>
  <c r="D1392" i="1" s="1"/>
  <c r="D1393" i="1" s="1"/>
  <c r="D1394" i="1" s="1"/>
  <c r="D1395" i="1" s="1"/>
  <c r="D1396" i="1" s="1"/>
  <c r="D1397" i="1" s="1"/>
  <c r="D1398" i="1" s="1"/>
  <c r="D1399" i="1" s="1"/>
  <c r="D1400" i="1" s="1"/>
  <c r="D1401" i="1" s="1"/>
  <c r="D1402" i="1" s="1"/>
  <c r="D1403" i="1" s="1"/>
  <c r="D1404" i="1" s="1"/>
  <c r="D1405" i="1" s="1"/>
  <c r="D1406" i="1" s="1"/>
  <c r="D1407" i="1" s="1"/>
  <c r="D1408" i="1" s="1"/>
  <c r="D1409" i="1" s="1"/>
  <c r="D1410" i="1" s="1"/>
  <c r="D1411" i="1" s="1"/>
  <c r="D1412" i="1" s="1"/>
  <c r="D1413" i="1" s="1"/>
  <c r="D1414" i="1" s="1"/>
  <c r="D1415" i="1" s="1"/>
  <c r="D1416" i="1" s="1"/>
  <c r="D1417" i="1" s="1"/>
  <c r="D1418" i="1" s="1"/>
  <c r="D1419" i="1" s="1"/>
  <c r="D1420" i="1" s="1"/>
  <c r="D1421" i="1" s="1"/>
  <c r="D1422" i="1" s="1"/>
  <c r="D1423" i="1" s="1"/>
  <c r="D1424" i="1" s="1"/>
  <c r="D1425" i="1" s="1"/>
  <c r="D1426" i="1" s="1"/>
  <c r="D1427" i="1" s="1"/>
  <c r="D1428" i="1" s="1"/>
  <c r="D1429" i="1" s="1"/>
  <c r="D1430" i="1" s="1"/>
  <c r="D1431" i="1" s="1"/>
  <c r="D1432" i="1" s="1"/>
  <c r="D1433" i="1" s="1"/>
  <c r="D1434" i="1" s="1"/>
  <c r="D1435" i="1" s="1"/>
  <c r="D1436" i="1" s="1"/>
  <c r="D1437" i="1" s="1"/>
  <c r="D1438" i="1" s="1"/>
  <c r="D1439" i="1" s="1"/>
  <c r="D1440" i="1" s="1"/>
  <c r="D1441" i="1" s="1"/>
  <c r="D1442" i="1" s="1"/>
  <c r="D1443" i="1" s="1"/>
  <c r="D1444" i="1" s="1"/>
  <c r="D1445" i="1" s="1"/>
  <c r="D1446" i="1" s="1"/>
  <c r="D1447" i="1" s="1"/>
  <c r="D1448" i="1" s="1"/>
  <c r="D1449" i="1" s="1"/>
  <c r="D1450" i="1" s="1"/>
  <c r="D1451" i="1" s="1"/>
  <c r="D1452" i="1" s="1"/>
  <c r="D1453" i="1" s="1"/>
  <c r="D1454" i="1" s="1"/>
  <c r="D1455" i="1" s="1"/>
  <c r="D1456" i="1" s="1"/>
  <c r="D1457" i="1" s="1"/>
  <c r="D1458" i="1" s="1"/>
  <c r="D1459" i="1" s="1"/>
  <c r="D1460" i="1" s="1"/>
  <c r="D1461" i="1" s="1"/>
  <c r="D1462" i="1" s="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C18" i="12"/>
  <c r="C19" i="12"/>
  <c r="C20" i="12"/>
  <c r="C21" i="12"/>
  <c r="C6" i="13"/>
  <c r="E14" i="3"/>
  <c r="E13" i="3"/>
  <c r="E15" i="3"/>
  <c r="E4" i="7" l="1"/>
  <c r="I11" i="4"/>
  <c r="K4" i="4"/>
  <c r="A11" i="4"/>
  <c r="J4" i="4"/>
  <c r="L4" i="4"/>
  <c r="F6" i="4"/>
  <c r="D21" i="12"/>
  <c r="E21" i="12"/>
  <c r="D20" i="12"/>
  <c r="E20" i="12"/>
  <c r="D19" i="12"/>
  <c r="E19" i="12"/>
  <c r="D18" i="12"/>
  <c r="E18" i="12"/>
  <c r="D6" i="13"/>
  <c r="E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EE7187-DDEC-4A3C-9178-71E9E94A8D81}" keepAlive="1" name="Query - Quarter_Revenue" description="Connection to the 'Quarter_Revenue' query in the workbook." type="5" refreshedVersion="8" background="1" saveData="1">
    <dbPr connection="Provider=Microsoft.Mashup.OleDb.1;Data Source=$Workbook$;Location=Quarter_Revenue;Extended Properties=&quot;&quot;" command="SELECT * FROM [Quarter_Revenue]"/>
  </connection>
  <connection id="2" xr16:uid="{C0655769-04DD-4F2C-9A55-57FE27F70BDB}"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<sst xmlns="http://schemas.openxmlformats.org/spreadsheetml/2006/main" count="10389" uniqueCount="107">
  <si>
    <t>Order ID</t>
  </si>
  <si>
    <t>Year</t>
  </si>
  <si>
    <t>Month</t>
  </si>
  <si>
    <t>Date</t>
  </si>
  <si>
    <t>Country</t>
  </si>
  <si>
    <t>Sales Manager</t>
  </si>
  <si>
    <t>Product Name</t>
  </si>
  <si>
    <t>Total Transations</t>
  </si>
  <si>
    <t>Quantity Sold</t>
  </si>
  <si>
    <t>Sales Amount</t>
  </si>
  <si>
    <t>Total Profit</t>
  </si>
  <si>
    <t>USA</t>
  </si>
  <si>
    <t>Emily White</t>
  </si>
  <si>
    <t>Product E</t>
  </si>
  <si>
    <t>Canada</t>
  </si>
  <si>
    <t>Product A</t>
  </si>
  <si>
    <t>James Brown</t>
  </si>
  <si>
    <t>Product B</t>
  </si>
  <si>
    <t>Jane Doe</t>
  </si>
  <si>
    <t>Australia</t>
  </si>
  <si>
    <t>Product D</t>
  </si>
  <si>
    <t>John Smith</t>
  </si>
  <si>
    <t>New Zealand</t>
  </si>
  <si>
    <t>Product C</t>
  </si>
  <si>
    <t>Liam Lee</t>
  </si>
  <si>
    <t>UK</t>
  </si>
  <si>
    <t>Month Name</t>
  </si>
  <si>
    <t>Month_name_clean</t>
  </si>
  <si>
    <t>Manager_clean</t>
  </si>
  <si>
    <t>Total Revenue</t>
  </si>
  <si>
    <t>Row Labels</t>
  </si>
  <si>
    <t>Grand Total</t>
  </si>
  <si>
    <t>Region with highest performance</t>
  </si>
  <si>
    <t>Total_Profit</t>
  </si>
  <si>
    <t>Region</t>
  </si>
  <si>
    <t>Product</t>
  </si>
  <si>
    <t>Highest product profits</t>
  </si>
  <si>
    <t>jan</t>
  </si>
  <si>
    <t>fev</t>
  </si>
  <si>
    <t>mar</t>
  </si>
  <si>
    <t>abr</t>
  </si>
  <si>
    <t>mai</t>
  </si>
  <si>
    <t>jun</t>
  </si>
  <si>
    <t>jul</t>
  </si>
  <si>
    <t>ago</t>
  </si>
  <si>
    <t>set</t>
  </si>
  <si>
    <t>out</t>
  </si>
  <si>
    <t>nov</t>
  </si>
  <si>
    <t>dez</t>
  </si>
  <si>
    <t>YoY Growth</t>
  </si>
  <si>
    <t xml:space="preserve">YoY % Growth </t>
  </si>
  <si>
    <t>Margin</t>
  </si>
  <si>
    <t>2022 Monthly revenue trend</t>
  </si>
  <si>
    <t>2022 Month</t>
  </si>
  <si>
    <t>Total Orders</t>
  </si>
  <si>
    <t>Total Revenue by Region</t>
  </si>
  <si>
    <t>Number of profitable orders &gt; 100,000€</t>
  </si>
  <si>
    <t>Profitable_Flag</t>
  </si>
  <si>
    <t>Revenue Growth by year</t>
  </si>
  <si>
    <t>Total_Revenue</t>
  </si>
  <si>
    <t>Average Order Value</t>
  </si>
  <si>
    <t>Total number of profitable orders</t>
  </si>
  <si>
    <t>Profit_Value_Flag</t>
  </si>
  <si>
    <t>2022 Total Revenue</t>
  </si>
  <si>
    <t>2022 Total Profit</t>
  </si>
  <si>
    <t>Week of Year</t>
  </si>
  <si>
    <t>janeiro</t>
  </si>
  <si>
    <t>fevereiro</t>
  </si>
  <si>
    <t>março</t>
  </si>
  <si>
    <t>abril</t>
  </si>
  <si>
    <t>maio</t>
  </si>
  <si>
    <t>junho</t>
  </si>
  <si>
    <t>julho</t>
  </si>
  <si>
    <t>agosto</t>
  </si>
  <si>
    <t>setembro</t>
  </si>
  <si>
    <t>outubro</t>
  </si>
  <si>
    <t>novembro</t>
  </si>
  <si>
    <t>dezembro</t>
  </si>
  <si>
    <t>Sum of Sales Amount</t>
  </si>
  <si>
    <t>2022 Total orders</t>
  </si>
  <si>
    <t>Total Profit By Year</t>
  </si>
  <si>
    <t xml:space="preserve"> Sales Amount </t>
  </si>
  <si>
    <t>Forecast( Sales Amount )</t>
  </si>
  <si>
    <t>Lower Confidence Bound( Sales Amount )</t>
  </si>
  <si>
    <t>Upper Confidence Bound( Sales Amount )</t>
  </si>
  <si>
    <t>Start of Quarter</t>
  </si>
  <si>
    <t>Filter</t>
  </si>
  <si>
    <t>Revenue by Country</t>
  </si>
  <si>
    <t>2022 Total Margin profit %</t>
  </si>
  <si>
    <t>Revenue by Year</t>
  </si>
  <si>
    <t>Values</t>
  </si>
  <si>
    <t>Forecast</t>
  </si>
  <si>
    <t>Lower Confidence Bound</t>
  </si>
  <si>
    <t>Upper Confidence Bound</t>
  </si>
  <si>
    <t>Revenue by Quarter Forecast</t>
  </si>
  <si>
    <t>2019</t>
  </si>
  <si>
    <t>2020</t>
  </si>
  <si>
    <t>2021</t>
  </si>
  <si>
    <t>2022</t>
  </si>
  <si>
    <t>Sales_amount_%</t>
  </si>
  <si>
    <t>Sales_%</t>
  </si>
  <si>
    <t>What is the total revenue and total profit generated by the selected Sales Manager?</t>
  </si>
  <si>
    <t>Total_ Profit</t>
  </si>
  <si>
    <t>Total_Sales_Amount</t>
  </si>
  <si>
    <t>Profit Margin</t>
  </si>
  <si>
    <t>Ranking</t>
  </si>
  <si>
    <t>Revenue by Year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</si>
</sst>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quot;$&quot;#,##0_);\(&quot;$&quot;#,##0\)"/>
    <numFmt numFmtId="165" formatCode="_(&quot;$&quot;* #,##0.00_);_(&quot;$&quot;* \(#,##0.00\);_(&quot;$&quot;* &quot;-&quot;??_);_(@_)"/>
    <numFmt numFmtId="166" formatCode="_-* #,##0.00\ [$€-816]_-;\-* #,##0.00\ [$€-816]_-;_-* &quot;-&quot;??\ [$€-816]_-;_-@_-"/>
  </numFmts>
  <fonts count="10" x14ac:knownFonts="1">
    <font>
      <sz val="11"/>
      <color theme="1"/>
      <name val="Calibri"/>
      <family val="2"/>
      <scheme val="minor"/>
    </font>
    <font>
      <sz val="11"/>
      <color theme="1"/>
      <name val="Calibri"/>
      <family val="2"/>
      <scheme val="minor"/>
    </font>
    <font>
      <sz val="9.6"/>
      <color theme="0"/>
      <name val="Segoe UI"/>
      <family val="2"/>
    </font>
    <font>
      <sz val="10"/>
      <color rgb="FF374151"/>
      <name val="Segoe UI"/>
      <family val="2"/>
    </font>
    <font>
      <sz val="10"/>
      <color theme="1"/>
      <name val="Segoe UI"/>
      <family val="2"/>
    </font>
    <font>
      <b/>
      <sz val="11"/>
      <color theme="1"/>
      <name val="Calibri"/>
      <family val="2"/>
      <scheme val="minor"/>
    </font>
    <font>
      <sz val="8"/>
      <name val="Calibri"/>
      <family val="2"/>
      <scheme val="minor"/>
    </font>
    <font>
      <sz val="11"/>
      <color theme="1" tint="0.14999847407452621"/>
      <name val="Calibri"/>
      <family val="2"/>
      <scheme val="minor"/>
    </font>
    <font>
      <b/>
      <sz val="11"/>
      <color theme="1" tint="0.14999847407452621"/>
      <name val="Calibri"/>
      <family val="2"/>
      <scheme val="minor"/>
    </font>
    <font>
      <b/>
      <sz val="14"/>
      <color theme="1"/>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2" fillId="2" borderId="1" xfId="0" applyFont="1" applyFill="1" applyBorder="1" applyAlignment="1">
      <alignment horizontal="center" wrapText="1"/>
    </xf>
    <xf numFmtId="0" fontId="3" fillId="0" borderId="1" xfId="0" applyFont="1" applyBorder="1" applyAlignment="1">
      <alignment horizontal="center" vertical="center" wrapText="1"/>
    </xf>
    <xf numFmtId="17" fontId="3" fillId="0" borderId="1" xfId="0" applyNumberFormat="1" applyFont="1" applyBorder="1" applyAlignment="1">
      <alignment horizontal="center" vertical="center" wrapText="1"/>
    </xf>
    <xf numFmtId="15" fontId="3" fillId="0" borderId="1" xfId="0" applyNumberFormat="1" applyFont="1" applyBorder="1" applyAlignment="1">
      <alignment horizontal="center" vertical="center" wrapText="1"/>
    </xf>
    <xf numFmtId="164" fontId="3" fillId="0" borderId="1" xfId="1" applyNumberFormat="1" applyFont="1" applyFill="1" applyBorder="1" applyAlignment="1">
      <alignment horizontal="center" vertical="center" wrapText="1"/>
    </xf>
    <xf numFmtId="15" fontId="4" fillId="0" borderId="1" xfId="0" applyNumberFormat="1" applyFont="1" applyBorder="1" applyAlignment="1">
      <alignment horizontal="center"/>
    </xf>
    <xf numFmtId="0" fontId="0" fillId="0" borderId="0" xfId="0" applyAlignment="1">
      <alignment horizontal="center"/>
    </xf>
    <xf numFmtId="14" fontId="0" fillId="0" borderId="0" xfId="0" applyNumberFormat="1"/>
    <xf numFmtId="1" fontId="0" fillId="0" borderId="0" xfId="0" applyNumberFormat="1"/>
    <xf numFmtId="44" fontId="0" fillId="0" borderId="0" xfId="0" applyNumberFormat="1"/>
    <xf numFmtId="0" fontId="7" fillId="4" borderId="1" xfId="0" applyFont="1" applyFill="1" applyBorder="1"/>
    <xf numFmtId="0" fontId="8" fillId="4" borderId="1" xfId="0" applyFont="1" applyFill="1" applyBorder="1"/>
    <xf numFmtId="44" fontId="7" fillId="4" borderId="1" xfId="0" applyNumberFormat="1" applyFont="1" applyFill="1" applyBorder="1"/>
    <xf numFmtId="0" fontId="5" fillId="0" borderId="0" xfId="0" applyFont="1"/>
    <xf numFmtId="0" fontId="0" fillId="0" borderId="0" xfId="0" pivotButton="1"/>
    <xf numFmtId="0" fontId="0" fillId="0" borderId="0" xfId="0" applyAlignment="1">
      <alignment horizontal="left"/>
    </xf>
    <xf numFmtId="0" fontId="5" fillId="3" borderId="0" xfId="0" applyFont="1" applyFill="1" applyAlignment="1">
      <alignment horizontal="left"/>
    </xf>
    <xf numFmtId="9" fontId="0" fillId="0" borderId="0" xfId="2" applyFont="1"/>
    <xf numFmtId="0" fontId="5" fillId="3" borderId="0" xfId="0" applyFont="1" applyFill="1"/>
    <xf numFmtId="0" fontId="5" fillId="3" borderId="0" xfId="0" applyFont="1" applyFill="1" applyAlignment="1">
      <alignment horizontal="center"/>
    </xf>
    <xf numFmtId="44" fontId="0" fillId="0" borderId="0" xfId="0" applyNumberFormat="1" applyAlignment="1">
      <alignment vertical="center"/>
    </xf>
    <xf numFmtId="44" fontId="0" fillId="5" borderId="0" xfId="0" applyNumberFormat="1" applyFill="1"/>
    <xf numFmtId="10" fontId="0" fillId="0" borderId="0" xfId="2" applyNumberFormat="1" applyFont="1"/>
    <xf numFmtId="166" fontId="0" fillId="0" borderId="0" xfId="1" applyNumberFormat="1" applyFont="1"/>
    <xf numFmtId="2" fontId="0" fillId="0" borderId="0" xfId="0" applyNumberFormat="1"/>
    <xf numFmtId="9" fontId="0" fillId="0" borderId="0" xfId="0" applyNumberFormat="1"/>
    <xf numFmtId="10" fontId="0" fillId="0" borderId="0" xfId="0" applyNumberFormat="1"/>
    <xf numFmtId="0" fontId="9" fillId="0" borderId="0" xfId="0" applyFont="1"/>
    <xf numFmtId="44" fontId="0" fillId="0" borderId="0" xfId="1" applyNumberFormat="1" applyFont="1"/>
    <xf numFmtId="0" fontId="5" fillId="4" borderId="0" xfId="0" applyFont="1" applyFill="1"/>
    <xf numFmtId="0" fontId="0" fillId="4" borderId="0" xfId="0" applyFill="1"/>
    <xf numFmtId="0" fontId="9" fillId="3" borderId="0" xfId="0" applyFont="1" applyFill="1" applyAlignment="1">
      <alignment horizontal="center"/>
    </xf>
    <xf numFmtId="0" fontId="5" fillId="3" borderId="0" xfId="0" applyFont="1" applyFill="1" applyAlignment="1">
      <alignment horizontal="center"/>
    </xf>
    <xf numFmtId="44" fontId="0" fillId="0" borderId="0" xfId="0" applyNumberFormat="1" applyAlignment="1">
      <alignment horizontal="center" vertical="center"/>
    </xf>
    <xf numFmtId="0" fontId="0" fillId="0" borderId="0" xfId="0" applyAlignment="1">
      <alignment horizontal="center"/>
    </xf>
    <xf numFmtId="9" fontId="0" fillId="0" borderId="0" xfId="2" applyFont="1" applyAlignment="1">
      <alignment horizontal="center"/>
    </xf>
    <xf numFmtId="44" fontId="0" fillId="0" borderId="0" xfId="0" applyNumberFormat="1" applyAlignment="1">
      <alignment horizontal="center"/>
    </xf>
    <xf numFmtId="0" fontId="5" fillId="0" borderId="0" xfId="0" applyFont="1" applyAlignment="1">
      <alignment horizontal="center"/>
    </xf>
  </cellXfs>
  <cellStyles count="3">
    <cellStyle name="Currency" xfId="1" builtinId="4"/>
    <cellStyle name="Normal" xfId="0" builtinId="0"/>
    <cellStyle name="Percent" xfId="2" builtinId="5"/>
  </cellStyles>
  <dxfs count="22">
    <dxf>
      <font>
        <strike val="0"/>
        <outline val="0"/>
        <shadow val="0"/>
        <u val="none"/>
        <vertAlign val="baseline"/>
        <sz val="11"/>
        <color theme="1" tint="0.14999847407452621"/>
        <name val="Calibri"/>
        <family val="2"/>
        <scheme val="minor"/>
      </font>
      <numFmt numFmtId="0" formatCode="General"/>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tint="0.14999847407452621"/>
        <name val="Calibri"/>
        <family val="2"/>
        <scheme val="minor"/>
      </font>
      <numFmt numFmtId="0" formatCode="General"/>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numFmt numFmtId="34" formatCode="_-* #,##0.00\ &quot;€&quot;_-;\-* #,##0.00\ &quot;€&quot;_-;_-* &quot;-&quot;??\ &quot;€&quot;_-;_-@_-"/>
    </dxf>
    <dxf>
      <numFmt numFmtId="34" formatCode="_-* #,##0.00\ &quot;€&quot;_-;\-* #,##0.00\ &quot;€&quot;_-;_-* &quot;-&quot;??\ &quot;€&quot;_-;_-@_-"/>
    </dxf>
    <dxf>
      <numFmt numFmtId="14" formatCode="0.00%"/>
    </dxf>
    <dxf>
      <numFmt numFmtId="19" formatCode="dd/mm/yyyy"/>
    </dxf>
    <dxf>
      <numFmt numFmtId="34" formatCode="_-* #,##0.00\ &quot;€&quot;_-;\-* #,##0.00\ &quot;€&quot;_-;_-* &quot;-&quot;??\ &quot;€&quot;_-;_-@_-"/>
      <border outline="0">
        <right style="thin">
          <color indexed="64"/>
        </right>
      </border>
    </dxf>
    <dxf>
      <numFmt numFmtId="34" formatCode="_-* #,##0.00\ &quot;€&quot;_-;\-* #,##0.00\ &quot;€&quot;_-;_-* &quot;-&quot;??\ &quot;€&quot;_-;_-@_-"/>
    </dxf>
    <dxf>
      <numFmt numFmtId="1" formatCode="0"/>
    </dxf>
    <dxf>
      <numFmt numFmtId="1" formatCode="0"/>
    </dxf>
    <dxf>
      <numFmt numFmtId="0" formatCode="General"/>
    </dxf>
    <dxf>
      <numFmt numFmtId="0" formatCode="General"/>
    </dxf>
    <dxf>
      <numFmt numFmtId="0" formatCode="General"/>
    </dxf>
    <dxf>
      <numFmt numFmtId="19" formatCode="dd/mm/yyyy"/>
    </dxf>
    <dxf>
      <numFmt numFmtId="0" formatCode="General"/>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19" formatCode="dd/mm/yyyy"/>
    </dxf>
    <dxf>
      <numFmt numFmtId="34" formatCode="_-* #,##0.00\ &quot;€&quot;_-;\-* #,##0.00\ &quot;€&quot;_-;_-* &quot;-&quot;??\ &quot;€&quot;_-;_-@_-"/>
    </dxf>
    <dxf>
      <numFmt numFmtId="13" formatCode="0%"/>
    </dxf>
    <dxf>
      <numFmt numFmtId="13" formatCode="0%"/>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Forecast_Revenue_Quarter!$B$1</c:f>
              <c:strCache>
                <c:ptCount val="1"/>
                <c:pt idx="0">
                  <c:v> Sales Amount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Forecast_Revenue_Quarter!$B$2:$B$21</c:f>
              <c:numCache>
                <c:formatCode>_("€"* #,##0.00_);_("€"* \(#,##0.00\);_("€"* "-"??_);_(@_)</c:formatCode>
                <c:ptCount val="20"/>
                <c:pt idx="0">
                  <c:v>128288.33333333333</c:v>
                </c:pt>
                <c:pt idx="1">
                  <c:v>156161.53846153847</c:v>
                </c:pt>
                <c:pt idx="2">
                  <c:v>138032.0652173913</c:v>
                </c:pt>
                <c:pt idx="3">
                  <c:v>130363.58695652174</c:v>
                </c:pt>
                <c:pt idx="4">
                  <c:v>114774.72527472528</c:v>
                </c:pt>
                <c:pt idx="5">
                  <c:v>144482.96703296702</c:v>
                </c:pt>
                <c:pt idx="6">
                  <c:v>136421.73913043478</c:v>
                </c:pt>
                <c:pt idx="7">
                  <c:v>129535.32608695653</c:v>
                </c:pt>
                <c:pt idx="8">
                  <c:v>136283.33333333334</c:v>
                </c:pt>
                <c:pt idx="9">
                  <c:v>147620.32967032967</c:v>
                </c:pt>
                <c:pt idx="10">
                  <c:v>138054.89130434784</c:v>
                </c:pt>
                <c:pt idx="11">
                  <c:v>131137.5</c:v>
                </c:pt>
                <c:pt idx="12">
                  <c:v>144677.77777777778</c:v>
                </c:pt>
                <c:pt idx="13">
                  <c:v>129956.59340659341</c:v>
                </c:pt>
                <c:pt idx="14">
                  <c:v>127152.71739130435</c:v>
                </c:pt>
                <c:pt idx="15">
                  <c:v>141321.19565217392</c:v>
                </c:pt>
              </c:numCache>
            </c:numRef>
          </c:val>
          <c:smooth val="0"/>
          <c:extLst>
            <c:ext xmlns:c16="http://schemas.microsoft.com/office/drawing/2014/chart" uri="{C3380CC4-5D6E-409C-BE32-E72D297353CC}">
              <c16:uniqueId val="{00000000-9AFC-44D0-810B-ABE3C31963EB}"/>
            </c:ext>
          </c:extLst>
        </c:ser>
        <c:ser>
          <c:idx val="1"/>
          <c:order val="1"/>
          <c:tx>
            <c:strRef>
              <c:f>Forecast_Revenue_Quarter!$C$1</c:f>
              <c:strCache>
                <c:ptCount val="1"/>
                <c:pt idx="0">
                  <c:v>Forecast( Sales Amount )</c:v>
                </c:pt>
              </c:strCache>
            </c:strRef>
          </c:tx>
          <c:spPr>
            <a:ln w="25400" cap="rnd">
              <a:solidFill>
                <a:schemeClr val="accent2"/>
              </a:solidFill>
              <a:round/>
            </a:ln>
            <a:effectLst/>
          </c:spPr>
          <c:marker>
            <c:symbol val="circle"/>
            <c:size val="5"/>
            <c:spPr>
              <a:solidFill>
                <a:schemeClr val="accent2"/>
              </a:solidFill>
              <a:ln w="9525">
                <a:solidFill>
                  <a:schemeClr val="accent2"/>
                </a:solidFill>
              </a:ln>
              <a:effectLst/>
            </c:spPr>
          </c:marker>
          <c:cat>
            <c:numRef>
              <c:f>Forecast_Revenue_Quarter!$A$2:$A$21</c:f>
              <c:numCache>
                <c:formatCode>m/d/yyyy</c:formatCode>
                <c:ptCount val="20"/>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numCache>
            </c:numRef>
          </c:cat>
          <c:val>
            <c:numRef>
              <c:f>Forecast_Revenue_Quarter!$C$2:$C$21</c:f>
              <c:numCache>
                <c:formatCode>General</c:formatCode>
                <c:ptCount val="20"/>
                <c:pt idx="15" formatCode="_(&quot;€&quot;* #,##0.00_);_(&quot;€&quot;* \(#,##0.00\);_(&quot;€&quot;* &quot;-&quot;??_);_(@_)">
                  <c:v>141321.19565217392</c:v>
                </c:pt>
                <c:pt idx="16" formatCode="_(&quot;€&quot;* #,##0.00_);_(&quot;€&quot;* \(#,##0.00\);_(&quot;€&quot;* &quot;-&quot;??_);_(@_)">
                  <c:v>129648.75467745715</c:v>
                </c:pt>
                <c:pt idx="17" formatCode="_(&quot;€&quot;* #,##0.00_);_(&quot;€&quot;* \(#,##0.00\);_(&quot;€&quot;* &quot;-&quot;??_);_(@_)">
                  <c:v>137894.82587907676</c:v>
                </c:pt>
                <c:pt idx="18" formatCode="_(&quot;€&quot;* #,##0.00_);_(&quot;€&quot;* \(#,##0.00\);_(&quot;€&quot;* &quot;-&quot;??_);_(@_)">
                  <c:v>129241.847549214</c:v>
                </c:pt>
                <c:pt idx="19" formatCode="_(&quot;€&quot;* #,##0.00_);_(&quot;€&quot;* \(#,##0.00\);_(&quot;€&quot;* &quot;-&quot;??_);_(@_)">
                  <c:v>137487.91875083363</c:v>
                </c:pt>
              </c:numCache>
            </c:numRef>
          </c:val>
          <c:smooth val="0"/>
          <c:extLst>
            <c:ext xmlns:c16="http://schemas.microsoft.com/office/drawing/2014/chart" uri="{C3380CC4-5D6E-409C-BE32-E72D297353CC}">
              <c16:uniqueId val="{00000001-9AFC-44D0-810B-ABE3C31963EB}"/>
            </c:ext>
          </c:extLst>
        </c:ser>
        <c:ser>
          <c:idx val="2"/>
          <c:order val="2"/>
          <c:tx>
            <c:strRef>
              <c:f>Forecast_Revenue_Quarter!$D$1</c:f>
              <c:strCache>
                <c:ptCount val="1"/>
                <c:pt idx="0">
                  <c:v>Lower Confidence Bound( Sales Amount )</c:v>
                </c:pt>
              </c:strCache>
            </c:strRef>
          </c:tx>
          <c:spPr>
            <a:ln w="12700" cap="rnd">
              <a:solidFill>
                <a:srgbClr val="ED7D31"/>
              </a:solidFill>
              <a:prstDash val="solid"/>
              <a:round/>
            </a:ln>
            <a:effectLst/>
          </c:spPr>
          <c:marker>
            <c:symbol val="plus"/>
            <c:size val="4"/>
            <c:spPr>
              <a:noFill/>
              <a:ln w="9525">
                <a:solidFill>
                  <a:schemeClr val="accent2"/>
                </a:solidFill>
              </a:ln>
              <a:effectLst/>
            </c:spPr>
          </c:marker>
          <c:cat>
            <c:numRef>
              <c:f>Forecast_Revenue_Quarter!$A$2:$A$21</c:f>
              <c:numCache>
                <c:formatCode>m/d/yyyy</c:formatCode>
                <c:ptCount val="20"/>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numCache>
            </c:numRef>
          </c:cat>
          <c:val>
            <c:numRef>
              <c:f>Forecast_Revenue_Quarter!$D$2:$D$21</c:f>
              <c:numCache>
                <c:formatCode>General</c:formatCode>
                <c:ptCount val="20"/>
                <c:pt idx="15" formatCode="_(&quot;€&quot;* #,##0.00_);_(&quot;€&quot;* \(#,##0.00\);_(&quot;€&quot;* &quot;-&quot;??_);_(@_)">
                  <c:v>141321.19565217392</c:v>
                </c:pt>
                <c:pt idx="16" formatCode="_(&quot;€&quot;* #,##0.00_);_(&quot;€&quot;* \(#,##0.00\);_(&quot;€&quot;* &quot;-&quot;??_);_(@_)">
                  <c:v>109851.70853730604</c:v>
                </c:pt>
                <c:pt idx="17" formatCode="_(&quot;€&quot;* #,##0.00_);_(&quot;€&quot;* \(#,##0.00\);_(&quot;€&quot;* &quot;-&quot;??_);_(@_)">
                  <c:v>118097.69065241845</c:v>
                </c:pt>
                <c:pt idx="18" formatCode="_(&quot;€&quot;* #,##0.00_);_(&quot;€&quot;* \(#,##0.00\);_(&quot;€&quot;* &quot;-&quot;??_);_(@_)">
                  <c:v>109280.67137087733</c:v>
                </c:pt>
                <c:pt idx="19" formatCode="_(&quot;€&quot;* #,##0.00_);_(&quot;€&quot;* \(#,##0.00\);_(&quot;€&quot;* &quot;-&quot;??_);_(@_)">
                  <c:v>117526.49714568505</c:v>
                </c:pt>
              </c:numCache>
            </c:numRef>
          </c:val>
          <c:smooth val="0"/>
          <c:extLst>
            <c:ext xmlns:c16="http://schemas.microsoft.com/office/drawing/2014/chart" uri="{C3380CC4-5D6E-409C-BE32-E72D297353CC}">
              <c16:uniqueId val="{00000002-9AFC-44D0-810B-ABE3C31963EB}"/>
            </c:ext>
          </c:extLst>
        </c:ser>
        <c:ser>
          <c:idx val="3"/>
          <c:order val="3"/>
          <c:tx>
            <c:strRef>
              <c:f>Forecast_Revenue_Quarter!$E$1</c:f>
              <c:strCache>
                <c:ptCount val="1"/>
                <c:pt idx="0">
                  <c:v>Upper Confidence Bound( Sales Amount )</c:v>
                </c:pt>
              </c:strCache>
            </c:strRef>
          </c:tx>
          <c:spPr>
            <a:ln w="12700" cap="rnd">
              <a:solidFill>
                <a:srgbClr val="ED7D31"/>
              </a:solidFill>
              <a:prstDash val="solid"/>
              <a:round/>
            </a:ln>
            <a:effectLst/>
          </c:spPr>
          <c:marker>
            <c:symbol val="plus"/>
            <c:size val="4"/>
            <c:spPr>
              <a:noFill/>
              <a:ln w="9525">
                <a:solidFill>
                  <a:schemeClr val="accent4"/>
                </a:solidFill>
              </a:ln>
              <a:effectLst/>
            </c:spPr>
          </c:marker>
          <c:cat>
            <c:numRef>
              <c:f>Forecast_Revenue_Quarter!$A$2:$A$21</c:f>
              <c:numCache>
                <c:formatCode>m/d/yyyy</c:formatCode>
                <c:ptCount val="20"/>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numCache>
            </c:numRef>
          </c:cat>
          <c:val>
            <c:numRef>
              <c:f>Forecast_Revenue_Quarter!$E$2:$E$21</c:f>
              <c:numCache>
                <c:formatCode>General</c:formatCode>
                <c:ptCount val="20"/>
                <c:pt idx="15" formatCode="_(&quot;€&quot;* #,##0.00_);_(&quot;€&quot;* \(#,##0.00\);_(&quot;€&quot;* &quot;-&quot;??_);_(@_)">
                  <c:v>141321.19565217392</c:v>
                </c:pt>
                <c:pt idx="16" formatCode="_(&quot;€&quot;* #,##0.00_);_(&quot;€&quot;* \(#,##0.00\);_(&quot;€&quot;* &quot;-&quot;??_);_(@_)">
                  <c:v>149445.80081760828</c:v>
                </c:pt>
                <c:pt idx="17" formatCode="_(&quot;€&quot;* #,##0.00_);_(&quot;€&quot;* \(#,##0.00\);_(&quot;€&quot;* &quot;-&quot;??_);_(@_)">
                  <c:v>157691.96110573507</c:v>
                </c:pt>
                <c:pt idx="18" formatCode="_(&quot;€&quot;* #,##0.00_);_(&quot;€&quot;* \(#,##0.00\);_(&quot;€&quot;* &quot;-&quot;??_);_(@_)">
                  <c:v>149203.02372755067</c:v>
                </c:pt>
                <c:pt idx="19" formatCode="_(&quot;€&quot;* #,##0.00_);_(&quot;€&quot;* \(#,##0.00\);_(&quot;€&quot;* &quot;-&quot;??_);_(@_)">
                  <c:v>157449.34035598222</c:v>
                </c:pt>
              </c:numCache>
            </c:numRef>
          </c:val>
          <c:smooth val="0"/>
          <c:extLst>
            <c:ext xmlns:c16="http://schemas.microsoft.com/office/drawing/2014/chart" uri="{C3380CC4-5D6E-409C-BE32-E72D297353CC}">
              <c16:uniqueId val="{00000003-9AFC-44D0-810B-ABE3C31963EB}"/>
            </c:ext>
          </c:extLst>
        </c:ser>
        <c:dLbls>
          <c:showLegendKey val="0"/>
          <c:showVal val="0"/>
          <c:showCatName val="0"/>
          <c:showSerName val="0"/>
          <c:showPercent val="0"/>
          <c:showBubbleSize val="0"/>
        </c:dLbls>
        <c:marker val="1"/>
        <c:smooth val="0"/>
        <c:axId val="1228760639"/>
        <c:axId val="1228790879"/>
      </c:lineChart>
      <c:catAx>
        <c:axId val="122876063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228790879"/>
        <c:crosses val="autoZero"/>
        <c:auto val="1"/>
        <c:lblAlgn val="ctr"/>
        <c:lblOffset val="100"/>
        <c:noMultiLvlLbl val="0"/>
      </c:catAx>
      <c:valAx>
        <c:axId val="1228790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228760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DATA_2019-2022.xlsx]Pivot_Tables!PivotTable8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Pivot_Tables!$M$18</c:f>
              <c:strCache>
                <c:ptCount val="1"/>
                <c:pt idx="0">
                  <c:v>Sum of Sales Amount</c:v>
                </c:pt>
              </c:strCache>
            </c:strRef>
          </c:tx>
          <c:spPr>
            <a:solidFill>
              <a:schemeClr val="accent1"/>
            </a:solidFill>
            <a:ln>
              <a:noFill/>
            </a:ln>
            <a:effectLst/>
          </c:spPr>
          <c:invertIfNegative val="0"/>
          <c:cat>
            <c:strRef>
              <c:f>Pivot_Tables!$L$19:$L$23</c:f>
              <c:strCache>
                <c:ptCount val="4"/>
                <c:pt idx="0">
                  <c:v>2019</c:v>
                </c:pt>
                <c:pt idx="1">
                  <c:v>2020</c:v>
                </c:pt>
                <c:pt idx="2">
                  <c:v>2021</c:v>
                </c:pt>
                <c:pt idx="3">
                  <c:v>2022</c:v>
                </c:pt>
              </c:strCache>
            </c:strRef>
          </c:cat>
          <c:val>
            <c:numRef>
              <c:f>Pivot_Tables!$M$19:$M$23</c:f>
              <c:numCache>
                <c:formatCode>_("€"* #,##0.00_);_("€"* \(#,##0.00\);_("€"* "-"??_);_(@_)</c:formatCode>
                <c:ptCount val="4"/>
                <c:pt idx="0">
                  <c:v>50449050</c:v>
                </c:pt>
                <c:pt idx="1">
                  <c:v>48060500</c:v>
                </c:pt>
                <c:pt idx="2">
                  <c:v>50464650</c:v>
                </c:pt>
                <c:pt idx="3">
                  <c:v>49546650</c:v>
                </c:pt>
              </c:numCache>
            </c:numRef>
          </c:val>
          <c:extLst>
            <c:ext xmlns:c16="http://schemas.microsoft.com/office/drawing/2014/chart" uri="{C3380CC4-5D6E-409C-BE32-E72D297353CC}">
              <c16:uniqueId val="{00000000-2F11-4C7A-BDCD-B91C1087A272}"/>
            </c:ext>
          </c:extLst>
        </c:ser>
        <c:ser>
          <c:idx val="1"/>
          <c:order val="1"/>
          <c:tx>
            <c:strRef>
              <c:f>Pivot_Tables!$N$18</c:f>
              <c:strCache>
                <c:ptCount val="1"/>
                <c:pt idx="0">
                  <c:v>Sales_%</c:v>
                </c:pt>
              </c:strCache>
            </c:strRef>
          </c:tx>
          <c:spPr>
            <a:solidFill>
              <a:schemeClr val="accent2"/>
            </a:solidFill>
            <a:ln>
              <a:noFill/>
            </a:ln>
            <a:effectLst/>
          </c:spPr>
          <c:invertIfNegative val="0"/>
          <c:cat>
            <c:strRef>
              <c:f>Pivot_Tables!$L$19:$L$23</c:f>
              <c:strCache>
                <c:ptCount val="4"/>
                <c:pt idx="0">
                  <c:v>2019</c:v>
                </c:pt>
                <c:pt idx="1">
                  <c:v>2020</c:v>
                </c:pt>
                <c:pt idx="2">
                  <c:v>2021</c:v>
                </c:pt>
                <c:pt idx="3">
                  <c:v>2022</c:v>
                </c:pt>
              </c:strCache>
            </c:strRef>
          </c:cat>
          <c:val>
            <c:numRef>
              <c:f>Pivot_Tables!$N$19:$N$23</c:f>
              <c:numCache>
                <c:formatCode>0.00%</c:formatCode>
                <c:ptCount val="4"/>
                <c:pt idx="0">
                  <c:v>0.25412469269600652</c:v>
                </c:pt>
                <c:pt idx="1">
                  <c:v>0.2420929590015356</c:v>
                </c:pt>
                <c:pt idx="2">
                  <c:v>0.25420327386266983</c:v>
                </c:pt>
                <c:pt idx="3">
                  <c:v>0.24957907443978805</c:v>
                </c:pt>
              </c:numCache>
            </c:numRef>
          </c:val>
          <c:extLst>
            <c:ext xmlns:c16="http://schemas.microsoft.com/office/drawing/2014/chart" uri="{C3380CC4-5D6E-409C-BE32-E72D297353CC}">
              <c16:uniqueId val="{00000000-80B7-435D-A9E2-17C01C211ED6}"/>
            </c:ext>
          </c:extLst>
        </c:ser>
        <c:dLbls>
          <c:showLegendKey val="0"/>
          <c:showVal val="0"/>
          <c:showCatName val="0"/>
          <c:showSerName val="0"/>
          <c:showPercent val="0"/>
          <c:showBubbleSize val="0"/>
        </c:dLbls>
        <c:gapWidth val="219"/>
        <c:overlap val="-27"/>
        <c:axId val="2095003423"/>
        <c:axId val="2095003903"/>
      </c:barChart>
      <c:catAx>
        <c:axId val="209500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095003903"/>
        <c:crosses val="autoZero"/>
        <c:auto val="1"/>
        <c:lblAlgn val="ctr"/>
        <c:lblOffset val="100"/>
        <c:noMultiLvlLbl val="0"/>
      </c:catAx>
      <c:valAx>
        <c:axId val="20950039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09500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Forecast_yearly!$B$1</c:f>
              <c:strCache>
                <c:ptCount val="1"/>
                <c:pt idx="0">
                  <c:v>Values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Forecast_yearly!$B$2:$B$6</c:f>
              <c:numCache>
                <c:formatCode>General</c:formatCode>
                <c:ptCount val="5"/>
                <c:pt idx="0">
                  <c:v>50449050</c:v>
                </c:pt>
                <c:pt idx="1">
                  <c:v>48060500</c:v>
                </c:pt>
                <c:pt idx="2">
                  <c:v>50464650</c:v>
                </c:pt>
                <c:pt idx="3">
                  <c:v>49546650</c:v>
                </c:pt>
              </c:numCache>
            </c:numRef>
          </c:val>
          <c:smooth val="0"/>
          <c:extLst>
            <c:ext xmlns:c16="http://schemas.microsoft.com/office/drawing/2014/chart" uri="{C3380CC4-5D6E-409C-BE32-E72D297353CC}">
              <c16:uniqueId val="{00000000-3B23-44EA-8B37-E539ECBC579F}"/>
            </c:ext>
          </c:extLst>
        </c:ser>
        <c:ser>
          <c:idx val="1"/>
          <c:order val="1"/>
          <c:tx>
            <c:strRef>
              <c:f>Forecast_yearly!$C$1</c:f>
              <c:strCache>
                <c:ptCount val="1"/>
                <c:pt idx="0">
                  <c:v>Forecast</c:v>
                </c:pt>
              </c:strCache>
            </c:strRef>
          </c:tx>
          <c:spPr>
            <a:ln w="25400" cap="rnd">
              <a:solidFill>
                <a:schemeClr val="accent2"/>
              </a:solidFill>
              <a:round/>
            </a:ln>
            <a:effectLst/>
          </c:spPr>
          <c:marker>
            <c:symbol val="diamond"/>
            <c:size val="5"/>
            <c:spPr>
              <a:solidFill>
                <a:schemeClr val="accent2"/>
              </a:solidFill>
              <a:ln w="9525">
                <a:solidFill>
                  <a:schemeClr val="accent2"/>
                </a:solidFill>
              </a:ln>
              <a:effectLst/>
            </c:spPr>
          </c:marker>
          <c:cat>
            <c:numRef>
              <c:f>Forecast_yearly!$A$2:$A$6</c:f>
              <c:numCache>
                <c:formatCode>General</c:formatCode>
                <c:ptCount val="5"/>
                <c:pt idx="0">
                  <c:v>2019</c:v>
                </c:pt>
                <c:pt idx="1">
                  <c:v>2020</c:v>
                </c:pt>
                <c:pt idx="2">
                  <c:v>2021</c:v>
                </c:pt>
                <c:pt idx="3">
                  <c:v>2022</c:v>
                </c:pt>
                <c:pt idx="4">
                  <c:v>2023</c:v>
                </c:pt>
              </c:numCache>
            </c:numRef>
          </c:cat>
          <c:val>
            <c:numRef>
              <c:f>Forecast_yearly!$C$2:$C$6</c:f>
              <c:numCache>
                <c:formatCode>General</c:formatCode>
                <c:ptCount val="5"/>
                <c:pt idx="3">
                  <c:v>49546650</c:v>
                </c:pt>
                <c:pt idx="4">
                  <c:v>49503850.274766594</c:v>
                </c:pt>
              </c:numCache>
            </c:numRef>
          </c:val>
          <c:smooth val="0"/>
          <c:extLst>
            <c:ext xmlns:c16="http://schemas.microsoft.com/office/drawing/2014/chart" uri="{C3380CC4-5D6E-409C-BE32-E72D297353CC}">
              <c16:uniqueId val="{00000001-3B23-44EA-8B37-E539ECBC579F}"/>
            </c:ext>
          </c:extLst>
        </c:ser>
        <c:ser>
          <c:idx val="2"/>
          <c:order val="2"/>
          <c:tx>
            <c:strRef>
              <c:f>Forecast_yearly!$D$1</c:f>
              <c:strCache>
                <c:ptCount val="1"/>
                <c:pt idx="0">
                  <c:v>Lower Confidence Bound</c:v>
                </c:pt>
              </c:strCache>
            </c:strRef>
          </c:tx>
          <c:spPr>
            <a:ln w="12700" cap="rnd">
              <a:solidFill>
                <a:srgbClr val="ED7D31"/>
              </a:solidFill>
              <a:prstDash val="solid"/>
              <a:round/>
            </a:ln>
            <a:effectLst/>
          </c:spPr>
          <c:marker>
            <c:symbol val="x"/>
            <c:size val="5"/>
            <c:spPr>
              <a:noFill/>
              <a:ln w="9525">
                <a:solidFill>
                  <a:schemeClr val="accent3"/>
                </a:solidFill>
              </a:ln>
              <a:effectLst/>
            </c:spPr>
          </c:marker>
          <c:cat>
            <c:numRef>
              <c:f>Forecast_yearly!$A$2:$A$6</c:f>
              <c:numCache>
                <c:formatCode>General</c:formatCode>
                <c:ptCount val="5"/>
                <c:pt idx="0">
                  <c:v>2019</c:v>
                </c:pt>
                <c:pt idx="1">
                  <c:v>2020</c:v>
                </c:pt>
                <c:pt idx="2">
                  <c:v>2021</c:v>
                </c:pt>
                <c:pt idx="3">
                  <c:v>2022</c:v>
                </c:pt>
                <c:pt idx="4">
                  <c:v>2023</c:v>
                </c:pt>
              </c:numCache>
            </c:numRef>
          </c:cat>
          <c:val>
            <c:numRef>
              <c:f>Forecast_yearly!$D$2:$D$6</c:f>
              <c:numCache>
                <c:formatCode>General</c:formatCode>
                <c:ptCount val="5"/>
                <c:pt idx="3" formatCode="0.00">
                  <c:v>49546650</c:v>
                </c:pt>
                <c:pt idx="4" formatCode="0.00">
                  <c:v>47124306.848634623</c:v>
                </c:pt>
              </c:numCache>
            </c:numRef>
          </c:val>
          <c:smooth val="0"/>
          <c:extLst>
            <c:ext xmlns:c16="http://schemas.microsoft.com/office/drawing/2014/chart" uri="{C3380CC4-5D6E-409C-BE32-E72D297353CC}">
              <c16:uniqueId val="{00000002-3B23-44EA-8B37-E539ECBC579F}"/>
            </c:ext>
          </c:extLst>
        </c:ser>
        <c:ser>
          <c:idx val="3"/>
          <c:order val="3"/>
          <c:tx>
            <c:strRef>
              <c:f>Forecast_yearly!$E$1</c:f>
              <c:strCache>
                <c:ptCount val="1"/>
                <c:pt idx="0">
                  <c:v>Upper Confidence Bound</c:v>
                </c:pt>
              </c:strCache>
            </c:strRef>
          </c:tx>
          <c:spPr>
            <a:ln w="12700" cap="rnd">
              <a:solidFill>
                <a:srgbClr val="ED7D31"/>
              </a:solidFill>
              <a:prstDash val="solid"/>
              <a:round/>
            </a:ln>
            <a:effectLst/>
          </c:spPr>
          <c:marker>
            <c:symbol val="x"/>
            <c:size val="5"/>
            <c:spPr>
              <a:noFill/>
              <a:ln w="9525">
                <a:solidFill>
                  <a:schemeClr val="accent4"/>
                </a:solidFill>
              </a:ln>
              <a:effectLst/>
            </c:spPr>
          </c:marker>
          <c:cat>
            <c:numRef>
              <c:f>Forecast_yearly!$A$2:$A$6</c:f>
              <c:numCache>
                <c:formatCode>General</c:formatCode>
                <c:ptCount val="5"/>
                <c:pt idx="0">
                  <c:v>2019</c:v>
                </c:pt>
                <c:pt idx="1">
                  <c:v>2020</c:v>
                </c:pt>
                <c:pt idx="2">
                  <c:v>2021</c:v>
                </c:pt>
                <c:pt idx="3">
                  <c:v>2022</c:v>
                </c:pt>
                <c:pt idx="4">
                  <c:v>2023</c:v>
                </c:pt>
              </c:numCache>
            </c:numRef>
          </c:cat>
          <c:val>
            <c:numRef>
              <c:f>Forecast_yearly!$E$2:$E$6</c:f>
              <c:numCache>
                <c:formatCode>General</c:formatCode>
                <c:ptCount val="5"/>
                <c:pt idx="3" formatCode="0.00">
                  <c:v>49546650</c:v>
                </c:pt>
                <c:pt idx="4" formatCode="0.00">
                  <c:v>51883393.700898565</c:v>
                </c:pt>
              </c:numCache>
            </c:numRef>
          </c:val>
          <c:smooth val="0"/>
          <c:extLst>
            <c:ext xmlns:c16="http://schemas.microsoft.com/office/drawing/2014/chart" uri="{C3380CC4-5D6E-409C-BE32-E72D297353CC}">
              <c16:uniqueId val="{00000003-3B23-44EA-8B37-E539ECBC579F}"/>
            </c:ext>
          </c:extLst>
        </c:ser>
        <c:dLbls>
          <c:showLegendKey val="0"/>
          <c:showVal val="0"/>
          <c:showCatName val="0"/>
          <c:showSerName val="0"/>
          <c:showPercent val="0"/>
          <c:showBubbleSize val="0"/>
        </c:dLbls>
        <c:marker val="1"/>
        <c:smooth val="0"/>
        <c:axId val="116684480"/>
        <c:axId val="116685440"/>
      </c:lineChart>
      <c:catAx>
        <c:axId val="11668448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16685440"/>
        <c:crosses val="autoZero"/>
        <c:auto val="1"/>
        <c:lblAlgn val="ctr"/>
        <c:lblOffset val="100"/>
        <c:noMultiLvlLbl val="0"/>
      </c:catAx>
      <c:valAx>
        <c:axId val="11668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16684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DATA_2019-2022.xlsx]Pivot_Tables!PivotTable2</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12700">
                    <a:noFill/>
                  </a:ln>
                  <a:solidFill>
                    <a:schemeClr val="bg1"/>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bar"/>
        <c:grouping val="clustered"/>
        <c:varyColors val="0"/>
        <c:ser>
          <c:idx val="0"/>
          <c:order val="0"/>
          <c:tx>
            <c:strRef>
              <c:f>Pivot_Tables!$F$2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w="12700">
                      <a:noFill/>
                    </a:ln>
                    <a:solidFill>
                      <a:schemeClr val="bg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Pivot_Tables!$E$3:$E$8</c:f>
              <c:strCache>
                <c:ptCount val="5"/>
                <c:pt idx="0">
                  <c:v>New Zealand</c:v>
                </c:pt>
                <c:pt idx="1">
                  <c:v>Canada</c:v>
                </c:pt>
                <c:pt idx="2">
                  <c:v>USA</c:v>
                </c:pt>
                <c:pt idx="3">
                  <c:v>Australia</c:v>
                </c:pt>
                <c:pt idx="4">
                  <c:v>UK</c:v>
                </c:pt>
              </c:strCache>
            </c:strRef>
          </c:cat>
          <c:val>
            <c:numRef>
              <c:f>Pivot_Tables!$F$3:$F$8</c:f>
              <c:numCache>
                <c:formatCode>0.00%</c:formatCode>
                <c:ptCount val="5"/>
                <c:pt idx="0">
                  <c:v>0.21511443256463994</c:v>
                </c:pt>
                <c:pt idx="1">
                  <c:v>0.20436266518101248</c:v>
                </c:pt>
                <c:pt idx="2">
                  <c:v>0.19979412741785058</c:v>
                </c:pt>
                <c:pt idx="3">
                  <c:v>0.19806886782924815</c:v>
                </c:pt>
                <c:pt idx="4">
                  <c:v>0.18265990700724885</c:v>
                </c:pt>
              </c:numCache>
            </c:numRef>
          </c:val>
          <c:extLst>
            <c:ext xmlns:c16="http://schemas.microsoft.com/office/drawing/2014/chart" uri="{C3380CC4-5D6E-409C-BE32-E72D297353CC}">
              <c16:uniqueId val="{00000000-1262-4809-816C-74B206CAA070}"/>
            </c:ext>
          </c:extLst>
        </c:ser>
        <c:dLbls>
          <c:showLegendKey val="0"/>
          <c:showVal val="0"/>
          <c:showCatName val="0"/>
          <c:showSerName val="0"/>
          <c:showPercent val="0"/>
          <c:showBubbleSize val="0"/>
        </c:dLbls>
        <c:gapWidth val="182"/>
        <c:axId val="973970719"/>
        <c:axId val="973945759"/>
      </c:barChart>
      <c:catAx>
        <c:axId val="97397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pt-PT"/>
          </a:p>
        </c:txPr>
        <c:crossAx val="973945759"/>
        <c:crosses val="autoZero"/>
        <c:auto val="1"/>
        <c:lblAlgn val="ctr"/>
        <c:lblOffset val="100"/>
        <c:noMultiLvlLbl val="0"/>
      </c:catAx>
      <c:valAx>
        <c:axId val="9739457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pt-PT"/>
          </a:p>
        </c:txPr>
        <c:crossAx val="97397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ln>
            <a:noFill/>
          </a:ln>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244846</xdr:colOff>
      <xdr:row>0</xdr:row>
      <xdr:rowOff>133351</xdr:rowOff>
    </xdr:from>
    <xdr:to>
      <xdr:col>24</xdr:col>
      <xdr:colOff>135029</xdr:colOff>
      <xdr:row>5</xdr:row>
      <xdr:rowOff>171451</xdr:rowOff>
    </xdr:to>
    <xdr:sp macro="" textlink="">
      <xdr:nvSpPr>
        <xdr:cNvPr id="2" name="Rectangle: Rounded Corners 1">
          <a:extLst>
            <a:ext uri="{FF2B5EF4-FFF2-40B4-BE49-F238E27FC236}">
              <a16:creationId xmlns:a16="http://schemas.microsoft.com/office/drawing/2014/main" id="{0208101A-D243-EC97-85C0-B1B66B9B2A44}"/>
            </a:ext>
          </a:extLst>
        </xdr:cNvPr>
        <xdr:cNvSpPr/>
      </xdr:nvSpPr>
      <xdr:spPr>
        <a:xfrm>
          <a:off x="4480670" y="133351"/>
          <a:ext cx="10177183" cy="99060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3200">
              <a:solidFill>
                <a:schemeClr val="tx1"/>
              </a:solidFill>
            </a:rPr>
            <a:t>Sales Performance &amp; Forecast Analysis (2019–2022)</a:t>
          </a:r>
        </a:p>
        <a:p>
          <a:pPr algn="ctr"/>
          <a:r>
            <a:rPr lang="pt-PT" sz="1600" b="1">
              <a:solidFill>
                <a:schemeClr val="tx1"/>
              </a:solidFill>
            </a:rPr>
            <a:t>Excel-Based Business Performance Dashboard</a:t>
          </a:r>
        </a:p>
      </xdr:txBody>
    </xdr:sp>
    <xdr:clientData/>
  </xdr:twoCellAnchor>
  <xdr:twoCellAnchor>
    <xdr:from>
      <xdr:col>1</xdr:col>
      <xdr:colOff>19050</xdr:colOff>
      <xdr:row>6</xdr:row>
      <xdr:rowOff>129020</xdr:rowOff>
    </xdr:from>
    <xdr:to>
      <xdr:col>21</xdr:col>
      <xdr:colOff>523875</xdr:colOff>
      <xdr:row>15</xdr:row>
      <xdr:rowOff>5195</xdr:rowOff>
    </xdr:to>
    <xdr:sp macro="" textlink="">
      <xdr:nvSpPr>
        <xdr:cNvPr id="3" name="Rectangle: Rounded Corners 2">
          <a:extLst>
            <a:ext uri="{FF2B5EF4-FFF2-40B4-BE49-F238E27FC236}">
              <a16:creationId xmlns:a16="http://schemas.microsoft.com/office/drawing/2014/main" id="{C5281237-2ABC-384D-798F-4E5A164B3586}"/>
            </a:ext>
          </a:extLst>
        </xdr:cNvPr>
        <xdr:cNvSpPr/>
      </xdr:nvSpPr>
      <xdr:spPr>
        <a:xfrm>
          <a:off x="625186" y="1272020"/>
          <a:ext cx="12627553" cy="1590675"/>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PT" sz="1400" b="1">
              <a:solidFill>
                <a:schemeClr val="tx1"/>
              </a:solidFill>
            </a:rPr>
            <a:t>Objective of the Project:</a:t>
          </a:r>
        </a:p>
        <a:p>
          <a:pPr algn="l"/>
          <a:endParaRPr lang="pt-PT" sz="1400">
            <a:solidFill>
              <a:schemeClr val="tx1"/>
            </a:solidFill>
          </a:endParaRPr>
        </a:p>
        <a:p>
          <a:pPr algn="l"/>
          <a:r>
            <a:rPr lang="pt-PT" sz="1100">
              <a:solidFill>
                <a:schemeClr val="tx1"/>
              </a:solidFill>
              <a:effectLst/>
              <a:latin typeface="+mn-lt"/>
              <a:ea typeface="+mn-ea"/>
              <a:cs typeface="+mn-cs"/>
            </a:rPr>
            <a:t>•</a:t>
          </a:r>
          <a:r>
            <a:rPr lang="pt-PT" sz="1400">
              <a:solidFill>
                <a:schemeClr val="tx1"/>
              </a:solidFill>
            </a:rPr>
            <a:t> This project analyzes sales performance from 2019 to 2022 using Microsoft Excel.</a:t>
          </a:r>
          <a:br>
            <a:rPr lang="pt-PT" sz="1400">
              <a:solidFill>
                <a:schemeClr val="tx1"/>
              </a:solidFill>
            </a:rPr>
          </a:br>
          <a:endParaRPr lang="pt-PT" sz="1400">
            <a:solidFill>
              <a:schemeClr val="tx1"/>
            </a:solidFill>
          </a:endParaRPr>
        </a:p>
        <a:p>
          <a:pPr algn="l"/>
          <a:r>
            <a:rPr lang="pt-PT" sz="1100">
              <a:solidFill>
                <a:schemeClr val="tx1"/>
              </a:solidFill>
              <a:effectLst/>
              <a:latin typeface="+mn-lt"/>
              <a:ea typeface="+mn-ea"/>
              <a:cs typeface="+mn-cs"/>
            </a:rPr>
            <a:t>•</a:t>
          </a:r>
          <a:r>
            <a:rPr lang="pt-PT" sz="1400">
              <a:solidFill>
                <a:schemeClr val="tx1"/>
              </a:solidFill>
            </a:rPr>
            <a:t> The objective was to evaluate revenue trends, profitability, country contribution, and sales manager performance, while projecting future revenue using time-series forecasting.</a:t>
          </a:r>
        </a:p>
      </xdr:txBody>
    </xdr:sp>
    <xdr:clientData/>
  </xdr:twoCellAnchor>
  <xdr:twoCellAnchor>
    <xdr:from>
      <xdr:col>1</xdr:col>
      <xdr:colOff>38100</xdr:colOff>
      <xdr:row>15</xdr:row>
      <xdr:rowOff>137680</xdr:rowOff>
    </xdr:from>
    <xdr:to>
      <xdr:col>8</xdr:col>
      <xdr:colOff>152399</xdr:colOff>
      <xdr:row>45</xdr:row>
      <xdr:rowOff>166256</xdr:rowOff>
    </xdr:to>
    <xdr:sp macro="" textlink="">
      <xdr:nvSpPr>
        <xdr:cNvPr id="4" name="Rectangle: Rounded Corners 3">
          <a:extLst>
            <a:ext uri="{FF2B5EF4-FFF2-40B4-BE49-F238E27FC236}">
              <a16:creationId xmlns:a16="http://schemas.microsoft.com/office/drawing/2014/main" id="{4FBC6519-9090-408B-9F5E-9F1DF7CFA39A}"/>
            </a:ext>
          </a:extLst>
        </xdr:cNvPr>
        <xdr:cNvSpPr/>
      </xdr:nvSpPr>
      <xdr:spPr>
        <a:xfrm>
          <a:off x="644236" y="2995180"/>
          <a:ext cx="4357254" cy="5743576"/>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PT" sz="1400" b="1">
              <a:solidFill>
                <a:schemeClr val="tx1"/>
              </a:solidFill>
            </a:rPr>
            <a:t>Tools &amp; Excel Features Used:</a:t>
          </a:r>
        </a:p>
        <a:p>
          <a:pPr algn="l"/>
          <a:endParaRPr lang="pt-PT" sz="1400" baseline="0">
            <a:solidFill>
              <a:schemeClr val="tx1"/>
            </a:solidFill>
          </a:endParaRPr>
        </a:p>
        <a:p>
          <a:r>
            <a:rPr lang="pt-PT" sz="1100">
              <a:solidFill>
                <a:schemeClr val="tx1"/>
              </a:solidFill>
              <a:effectLst/>
              <a:latin typeface="+mn-lt"/>
              <a:ea typeface="+mn-ea"/>
              <a:cs typeface="+mn-cs"/>
            </a:rPr>
            <a:t>•</a:t>
          </a:r>
          <a:r>
            <a:rPr lang="pt-PT" sz="1400">
              <a:solidFill>
                <a:schemeClr val="tx1"/>
              </a:solidFill>
            </a:rPr>
            <a:t> Power Query (Data Cleaning &amp; Transformation)</a:t>
          </a:r>
        </a:p>
        <a:p>
          <a:endParaRPr lang="pt-PT" sz="1400">
            <a:solidFill>
              <a:schemeClr val="tx1"/>
            </a:solidFill>
          </a:endParaRPr>
        </a:p>
        <a:p>
          <a:r>
            <a:rPr lang="pt-PT" sz="1100">
              <a:solidFill>
                <a:schemeClr val="tx1"/>
              </a:solidFill>
              <a:effectLst/>
              <a:latin typeface="+mn-lt"/>
              <a:ea typeface="+mn-ea"/>
              <a:cs typeface="+mn-cs"/>
            </a:rPr>
            <a:t>•</a:t>
          </a:r>
          <a:r>
            <a:rPr lang="pt-PT" sz="1400" baseline="0">
              <a:solidFill>
                <a:schemeClr val="tx1"/>
              </a:solidFill>
            </a:rPr>
            <a:t> </a:t>
          </a:r>
          <a:r>
            <a:rPr lang="pt-PT" sz="1400">
              <a:solidFill>
                <a:schemeClr val="tx1"/>
              </a:solidFill>
            </a:rPr>
            <a:t>Pivot Tables &amp; Pivot Charts</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Slicers (Dynamic Filtering)</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XLOOKUP</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SUMIFS</a:t>
          </a:r>
        </a:p>
        <a:p>
          <a:endParaRPr lang="pt-PT" sz="1400">
            <a:solidFill>
              <a:schemeClr val="tx1"/>
            </a:solidFill>
          </a:endParaRPr>
        </a:p>
        <a:p>
          <a:r>
            <a:rPr lang="pt-PT" sz="1100">
              <a:solidFill>
                <a:schemeClr val="tx1"/>
              </a:solidFill>
              <a:effectLst/>
              <a:latin typeface="+mn-lt"/>
              <a:ea typeface="+mn-ea"/>
              <a:cs typeface="+mn-cs"/>
            </a:rPr>
            <a:t>•</a:t>
          </a:r>
          <a:r>
            <a:rPr lang="pt-PT" sz="1400" baseline="0">
              <a:solidFill>
                <a:schemeClr val="tx1"/>
              </a:solidFill>
            </a:rPr>
            <a:t> </a:t>
          </a:r>
          <a:r>
            <a:rPr lang="pt-PT" sz="1400">
              <a:solidFill>
                <a:schemeClr val="tx1"/>
              </a:solidFill>
            </a:rPr>
            <a:t>Time-Series Forecasting</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 of Grand Total Calculations</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Conditional Formatting</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KPI Card Design</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Data Modeling (Date extraction: Year, Quarter)</a:t>
          </a:r>
        </a:p>
        <a:p>
          <a:pPr algn="l"/>
          <a:endParaRPr lang="pt-PT" sz="1400">
            <a:solidFill>
              <a:schemeClr val="tx1"/>
            </a:solidFill>
          </a:endParaRPr>
        </a:p>
      </xdr:txBody>
    </xdr:sp>
    <xdr:clientData/>
  </xdr:twoCellAnchor>
  <xdr:twoCellAnchor>
    <xdr:from>
      <xdr:col>8</xdr:col>
      <xdr:colOff>438150</xdr:colOff>
      <xdr:row>15</xdr:row>
      <xdr:rowOff>175780</xdr:rowOff>
    </xdr:from>
    <xdr:to>
      <xdr:col>21</xdr:col>
      <xdr:colOff>533400</xdr:colOff>
      <xdr:row>26</xdr:row>
      <xdr:rowOff>56029</xdr:rowOff>
    </xdr:to>
    <xdr:sp macro="" textlink="">
      <xdr:nvSpPr>
        <xdr:cNvPr id="5" name="Rectangle: Rounded Corners 4">
          <a:extLst>
            <a:ext uri="{FF2B5EF4-FFF2-40B4-BE49-F238E27FC236}">
              <a16:creationId xmlns:a16="http://schemas.microsoft.com/office/drawing/2014/main" id="{D68878B2-8C11-46E5-A645-EF1A8C8184C0}"/>
            </a:ext>
          </a:extLst>
        </xdr:cNvPr>
        <xdr:cNvSpPr/>
      </xdr:nvSpPr>
      <xdr:spPr>
        <a:xfrm>
          <a:off x="5279091" y="3033280"/>
          <a:ext cx="7961780" cy="197574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PT" sz="1400" b="1">
              <a:solidFill>
                <a:schemeClr val="tx1"/>
              </a:solidFill>
            </a:rPr>
            <a:t>Data Preparation Process:</a:t>
          </a:r>
        </a:p>
        <a:p>
          <a:pPr algn="l"/>
          <a:endParaRPr lang="pt-PT" sz="1400" b="1">
            <a:solidFill>
              <a:schemeClr val="tx1"/>
            </a:solidFill>
          </a:endParaRPr>
        </a:p>
        <a:p>
          <a:pPr algn="l"/>
          <a:r>
            <a:rPr lang="pt-PT" sz="1100">
              <a:solidFill>
                <a:schemeClr val="tx1"/>
              </a:solidFill>
              <a:effectLst/>
              <a:latin typeface="+mn-lt"/>
              <a:ea typeface="+mn-ea"/>
              <a:cs typeface="+mn-cs"/>
            </a:rPr>
            <a:t>• </a:t>
          </a:r>
          <a:r>
            <a:rPr lang="pt-PT" sz="1400">
              <a:solidFill>
                <a:schemeClr val="tx1"/>
              </a:solidFill>
            </a:rPr>
            <a:t>Raw sales data was cleaned using Power Query.</a:t>
          </a:r>
        </a:p>
        <a:p>
          <a:pPr algn="l"/>
          <a:br>
            <a:rPr lang="pt-PT" sz="1400">
              <a:solidFill>
                <a:schemeClr val="tx1"/>
              </a:solidFill>
            </a:rPr>
          </a:br>
          <a:r>
            <a:rPr lang="pt-PT" sz="1100">
              <a:solidFill>
                <a:schemeClr val="tx1"/>
              </a:solidFill>
              <a:effectLst/>
              <a:latin typeface="+mn-lt"/>
              <a:ea typeface="+mn-ea"/>
              <a:cs typeface="+mn-cs"/>
            </a:rPr>
            <a:t>• </a:t>
          </a:r>
          <a:r>
            <a:rPr lang="pt-PT" sz="1400">
              <a:solidFill>
                <a:schemeClr val="tx1"/>
              </a:solidFill>
            </a:rPr>
            <a:t>Data types were standardized, date components (Year, Quarter) were extracted, and calculated fields such as Profit Margin were created.</a:t>
          </a:r>
          <a:endParaRPr lang="pt-PT" sz="1400" b="1">
            <a:solidFill>
              <a:schemeClr val="tx1"/>
            </a:solidFill>
          </a:endParaRPr>
        </a:p>
      </xdr:txBody>
    </xdr:sp>
    <xdr:clientData/>
  </xdr:twoCellAnchor>
  <xdr:twoCellAnchor>
    <xdr:from>
      <xdr:col>22</xdr:col>
      <xdr:colOff>158003</xdr:colOff>
      <xdr:row>6</xdr:row>
      <xdr:rowOff>137834</xdr:rowOff>
    </xdr:from>
    <xdr:to>
      <xdr:col>30</xdr:col>
      <xdr:colOff>56030</xdr:colOff>
      <xdr:row>26</xdr:row>
      <xdr:rowOff>56030</xdr:rowOff>
    </xdr:to>
    <xdr:sp macro="" textlink="">
      <xdr:nvSpPr>
        <xdr:cNvPr id="6" name="Rectangle: Rounded Corners 5">
          <a:extLst>
            <a:ext uri="{FF2B5EF4-FFF2-40B4-BE49-F238E27FC236}">
              <a16:creationId xmlns:a16="http://schemas.microsoft.com/office/drawing/2014/main" id="{35052184-94AA-D2B5-CA6A-A7BC12935F9B}"/>
            </a:ext>
          </a:extLst>
        </xdr:cNvPr>
        <xdr:cNvSpPr/>
      </xdr:nvSpPr>
      <xdr:spPr>
        <a:xfrm>
          <a:off x="13470591" y="1280834"/>
          <a:ext cx="4738968" cy="3728196"/>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PT" sz="1400" b="1">
              <a:solidFill>
                <a:schemeClr val="tx1"/>
              </a:solidFill>
            </a:rPr>
            <a:t>Key KPIs Developed:</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Total Revenue</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Total Profit</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Profit Margin</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Total Orders</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Year-over-Year Growth</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Revenue Contribution by Country (%)</a:t>
          </a:r>
        </a:p>
        <a:p>
          <a:endParaRPr lang="pt-PT" sz="1400">
            <a:solidFill>
              <a:schemeClr val="tx1"/>
            </a:solidFill>
          </a:endParaRPr>
        </a:p>
        <a:p>
          <a:r>
            <a:rPr lang="pt-PT" sz="1100">
              <a:solidFill>
                <a:schemeClr val="tx1"/>
              </a:solidFill>
              <a:effectLst/>
              <a:latin typeface="+mn-lt"/>
              <a:ea typeface="+mn-ea"/>
              <a:cs typeface="+mn-cs"/>
            </a:rPr>
            <a:t>•</a:t>
          </a:r>
          <a:r>
            <a:rPr lang="pt-PT" sz="1400">
              <a:solidFill>
                <a:schemeClr val="tx1"/>
              </a:solidFill>
            </a:rPr>
            <a:t> Revenue Forecast with Confidence Interval</a:t>
          </a:r>
        </a:p>
        <a:p>
          <a:pPr algn="l"/>
          <a:endParaRPr lang="pt-PT" sz="1100"/>
        </a:p>
      </xdr:txBody>
    </xdr:sp>
    <xdr:clientData/>
  </xdr:twoCellAnchor>
  <xdr:twoCellAnchor>
    <xdr:from>
      <xdr:col>8</xdr:col>
      <xdr:colOff>437030</xdr:colOff>
      <xdr:row>27</xdr:row>
      <xdr:rowOff>130041</xdr:rowOff>
    </xdr:from>
    <xdr:to>
      <xdr:col>18</xdr:col>
      <xdr:colOff>70036</xdr:colOff>
      <xdr:row>40</xdr:row>
      <xdr:rowOff>130041</xdr:rowOff>
    </xdr:to>
    <xdr:sp macro="" textlink="">
      <xdr:nvSpPr>
        <xdr:cNvPr id="7" name="Rectangle: Rounded Corners 6">
          <a:extLst>
            <a:ext uri="{FF2B5EF4-FFF2-40B4-BE49-F238E27FC236}">
              <a16:creationId xmlns:a16="http://schemas.microsoft.com/office/drawing/2014/main" id="{5A64AD2C-1C1F-422C-9BB5-F6A792ECE9C3}"/>
            </a:ext>
          </a:extLst>
        </xdr:cNvPr>
        <xdr:cNvSpPr/>
      </xdr:nvSpPr>
      <xdr:spPr>
        <a:xfrm>
          <a:off x="5277971" y="5273541"/>
          <a:ext cx="5684183" cy="247650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PT" sz="1400" b="1">
              <a:solidFill>
                <a:schemeClr val="tx1"/>
              </a:solidFill>
            </a:rPr>
            <a:t>Key Insights:</a:t>
          </a:r>
        </a:p>
        <a:p>
          <a:pPr algn="ctr"/>
          <a:endParaRPr lang="pt-PT" sz="1400" b="1">
            <a:solidFill>
              <a:schemeClr val="tx1"/>
            </a:solidFill>
          </a:endParaRPr>
        </a:p>
        <a:p>
          <a:pPr algn="l"/>
          <a:r>
            <a:rPr lang="pt-PT" sz="1400">
              <a:solidFill>
                <a:schemeClr val="tx1"/>
              </a:solidFill>
            </a:rPr>
            <a:t>• Revenue peaked in 2021 and declined 1.82% in 2022.</a:t>
          </a:r>
        </a:p>
        <a:p>
          <a:pPr algn="l"/>
          <a:endParaRPr lang="pt-PT" sz="1400">
            <a:solidFill>
              <a:schemeClr val="tx1"/>
            </a:solidFill>
          </a:endParaRPr>
        </a:p>
        <a:p>
          <a:pPr algn="l"/>
          <a:r>
            <a:rPr lang="pt-PT" sz="1400">
              <a:solidFill>
                <a:schemeClr val="tx1"/>
              </a:solidFill>
            </a:rPr>
            <a:t>• New Zealand contributes the highest share of total revenue (21.5%).</a:t>
          </a:r>
          <a:br>
            <a:rPr lang="pt-PT" sz="1400">
              <a:solidFill>
                <a:schemeClr val="tx1"/>
              </a:solidFill>
            </a:rPr>
          </a:br>
          <a:endParaRPr lang="pt-PT" sz="1400">
            <a:solidFill>
              <a:schemeClr val="tx1"/>
            </a:solidFill>
          </a:endParaRPr>
        </a:p>
        <a:p>
          <a:pPr algn="l"/>
          <a:r>
            <a:rPr lang="pt-PT" sz="1400">
              <a:solidFill>
                <a:schemeClr val="tx1"/>
              </a:solidFill>
            </a:rPr>
            <a:t>• Profit margin remains stable at 27% despite revenue fluctuations.</a:t>
          </a:r>
          <a:br>
            <a:rPr lang="pt-PT" sz="1400">
              <a:solidFill>
                <a:schemeClr val="tx1"/>
              </a:solidFill>
            </a:rPr>
          </a:br>
          <a:endParaRPr lang="pt-PT" sz="1400">
            <a:solidFill>
              <a:schemeClr val="tx1"/>
            </a:solidFill>
          </a:endParaRPr>
        </a:p>
        <a:p>
          <a:pPr algn="l"/>
          <a:r>
            <a:rPr lang="pt-PT" sz="1400">
              <a:solidFill>
                <a:schemeClr val="tx1"/>
              </a:solidFill>
            </a:rPr>
            <a:t>• Forecast suggests moderate recovery in 2023.</a:t>
          </a:r>
          <a:endParaRPr lang="pt-PT" sz="1400" b="1">
            <a:solidFill>
              <a:schemeClr val="tx1"/>
            </a:solidFill>
          </a:endParaRPr>
        </a:p>
        <a:p>
          <a:pPr algn="l"/>
          <a:endParaRPr lang="pt-PT" sz="1100"/>
        </a:p>
      </xdr:txBody>
    </xdr:sp>
    <xdr:clientData/>
  </xdr:twoCellAnchor>
  <xdr:twoCellAnchor>
    <xdr:from>
      <xdr:col>18</xdr:col>
      <xdr:colOff>382681</xdr:colOff>
      <xdr:row>27</xdr:row>
      <xdr:rowOff>155816</xdr:rowOff>
    </xdr:from>
    <xdr:to>
      <xdr:col>29</xdr:col>
      <xdr:colOff>482974</xdr:colOff>
      <xdr:row>37</xdr:row>
      <xdr:rowOff>11206</xdr:rowOff>
    </xdr:to>
    <xdr:sp macro="" textlink="">
      <xdr:nvSpPr>
        <xdr:cNvPr id="8" name="Rectangle: Rounded Corners 7">
          <a:extLst>
            <a:ext uri="{FF2B5EF4-FFF2-40B4-BE49-F238E27FC236}">
              <a16:creationId xmlns:a16="http://schemas.microsoft.com/office/drawing/2014/main" id="{5C3B5473-E87C-4AF5-BE2D-443A0C5B7745}"/>
            </a:ext>
          </a:extLst>
        </xdr:cNvPr>
        <xdr:cNvSpPr/>
      </xdr:nvSpPr>
      <xdr:spPr>
        <a:xfrm>
          <a:off x="11274799" y="5299316"/>
          <a:ext cx="6756587" cy="176039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PT" sz="1400" b="1">
              <a:solidFill>
                <a:schemeClr val="tx1"/>
              </a:solidFill>
            </a:rPr>
            <a:t>Skills Demonstrated:</a:t>
          </a:r>
        </a:p>
        <a:p>
          <a:pPr algn="ctr"/>
          <a:endParaRPr lang="pt-PT" sz="1400" b="1">
            <a:solidFill>
              <a:schemeClr val="tx1"/>
            </a:solidFill>
          </a:endParaRPr>
        </a:p>
        <a:p>
          <a:pPr algn="l"/>
          <a:r>
            <a:rPr lang="pt-PT" sz="1400">
              <a:solidFill>
                <a:schemeClr val="tx1"/>
              </a:solidFill>
            </a:rPr>
            <a:t>This project demonstrates advanced Excel capabilities including Power Query data transformation, dynamic dashboard development using PivotTables and slicers, time-series forecasting, KPI design, and business performance analysis.</a:t>
          </a:r>
          <a:endParaRPr lang="pt-PT"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39781</xdr:rowOff>
    </xdr:from>
    <xdr:to>
      <xdr:col>5</xdr:col>
      <xdr:colOff>361950</xdr:colOff>
      <xdr:row>7</xdr:row>
      <xdr:rowOff>106456</xdr:rowOff>
    </xdr:to>
    <xdr:sp macro="" textlink="Calculations!D11">
      <xdr:nvSpPr>
        <xdr:cNvPr id="6" name="Rectangle: Rounded Corners 5">
          <a:extLst>
            <a:ext uri="{FF2B5EF4-FFF2-40B4-BE49-F238E27FC236}">
              <a16:creationId xmlns:a16="http://schemas.microsoft.com/office/drawing/2014/main" id="{DAC0F732-FF24-8633-BC9F-240F869EAA98}"/>
            </a:ext>
          </a:extLst>
        </xdr:cNvPr>
        <xdr:cNvSpPr/>
      </xdr:nvSpPr>
      <xdr:spPr>
        <a:xfrm>
          <a:off x="600075" y="611281"/>
          <a:ext cx="2361640" cy="1209675"/>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baseline="0">
              <a:solidFill>
                <a:srgbClr val="000000"/>
              </a:solidFill>
              <a:latin typeface="Calibri"/>
              <a:cs typeface="Calibri"/>
            </a:rPr>
            <a:t>Total Revenue</a:t>
          </a:r>
          <a:endParaRPr lang="en-US" sz="2000" b="0" i="0" u="none" strike="noStrike">
            <a:solidFill>
              <a:srgbClr val="000000"/>
            </a:solidFill>
            <a:latin typeface="Calibri"/>
            <a:cs typeface="Calibri"/>
          </a:endParaRPr>
        </a:p>
        <a:p>
          <a:pPr algn="ctr"/>
          <a:fld id="{A201E1F5-B5A2-47B5-AE91-EDC929C147B8}" type="TxLink">
            <a:rPr lang="en-US" sz="2000" b="1" i="0" u="none" strike="noStrike">
              <a:solidFill>
                <a:srgbClr val="000000"/>
              </a:solidFill>
              <a:latin typeface="Calibri"/>
              <a:cs typeface="Calibri"/>
            </a:rPr>
            <a:pPr algn="ctr"/>
            <a:t> 49 546 650,00 € </a:t>
          </a:fld>
          <a:endParaRPr lang="en-US" sz="2000" b="1"/>
        </a:p>
      </xdr:txBody>
    </xdr:sp>
    <xdr:clientData/>
  </xdr:twoCellAnchor>
  <xdr:twoCellAnchor>
    <xdr:from>
      <xdr:col>6</xdr:col>
      <xdr:colOff>66675</xdr:colOff>
      <xdr:row>1</xdr:row>
      <xdr:rowOff>47625</xdr:rowOff>
    </xdr:from>
    <xdr:to>
      <xdr:col>10</xdr:col>
      <xdr:colOff>438150</xdr:colOff>
      <xdr:row>7</xdr:row>
      <xdr:rowOff>114300</xdr:rowOff>
    </xdr:to>
    <xdr:sp macro="" textlink="Calculations!F11">
      <xdr:nvSpPr>
        <xdr:cNvPr id="2" name="Rectangle: Rounded Corners 1">
          <a:extLst>
            <a:ext uri="{FF2B5EF4-FFF2-40B4-BE49-F238E27FC236}">
              <a16:creationId xmlns:a16="http://schemas.microsoft.com/office/drawing/2014/main" id="{2BA88721-F869-400F-A2A5-3491E4551BB1}"/>
            </a:ext>
          </a:extLst>
        </xdr:cNvPr>
        <xdr:cNvSpPr/>
      </xdr:nvSpPr>
      <xdr:spPr>
        <a:xfrm>
          <a:off x="3724275" y="619125"/>
          <a:ext cx="2809875" cy="1209675"/>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alibri"/>
              <a:cs typeface="Calibri"/>
            </a:rPr>
            <a:t>Total</a:t>
          </a:r>
          <a:r>
            <a:rPr lang="en-US" sz="2000" b="1" i="0" u="none" strike="noStrike">
              <a:solidFill>
                <a:srgbClr val="000000"/>
              </a:solidFill>
              <a:latin typeface="Calibri"/>
              <a:cs typeface="Calibri"/>
            </a:rPr>
            <a:t> </a:t>
          </a:r>
          <a:r>
            <a:rPr lang="en-US" sz="2000" b="0" i="0" u="none" strike="noStrike">
              <a:solidFill>
                <a:srgbClr val="000000"/>
              </a:solidFill>
              <a:latin typeface="Calibri"/>
              <a:cs typeface="Calibri"/>
            </a:rPr>
            <a:t>Profit</a:t>
          </a:r>
        </a:p>
        <a:p>
          <a:pPr algn="ctr"/>
          <a:fld id="{C603E02F-30FE-4E3B-8436-503D1F03C40D}" type="TxLink">
            <a:rPr lang="en-US" sz="2000" b="1" i="0" u="none" strike="noStrike">
              <a:solidFill>
                <a:srgbClr val="000000"/>
              </a:solidFill>
              <a:latin typeface="Calibri"/>
              <a:cs typeface="Calibri"/>
            </a:rPr>
            <a:pPr algn="ctr"/>
            <a:t> 13 557 557,50 € </a:t>
          </a:fld>
          <a:endParaRPr lang="en-US" sz="2000" b="1" i="0" u="none" strike="noStrike">
            <a:solidFill>
              <a:srgbClr val="000000"/>
            </a:solidFill>
            <a:latin typeface="Calibri"/>
            <a:cs typeface="Calibri"/>
          </a:endParaRPr>
        </a:p>
      </xdr:txBody>
    </xdr:sp>
    <xdr:clientData/>
  </xdr:twoCellAnchor>
  <xdr:twoCellAnchor>
    <xdr:from>
      <xdr:col>21</xdr:col>
      <xdr:colOff>180975</xdr:colOff>
      <xdr:row>1</xdr:row>
      <xdr:rowOff>43143</xdr:rowOff>
    </xdr:from>
    <xdr:to>
      <xdr:col>25</xdr:col>
      <xdr:colOff>552450</xdr:colOff>
      <xdr:row>7</xdr:row>
      <xdr:rowOff>109818</xdr:rowOff>
    </xdr:to>
    <xdr:sp macro="" textlink="Calculations!L4">
      <xdr:nvSpPr>
        <xdr:cNvPr id="3" name="Rectangle: Rounded Corners 2">
          <a:extLst>
            <a:ext uri="{FF2B5EF4-FFF2-40B4-BE49-F238E27FC236}">
              <a16:creationId xmlns:a16="http://schemas.microsoft.com/office/drawing/2014/main" id="{11FD95A7-A2F1-4467-B584-3236CF52408A}"/>
            </a:ext>
          </a:extLst>
        </xdr:cNvPr>
        <xdr:cNvSpPr/>
      </xdr:nvSpPr>
      <xdr:spPr>
        <a:xfrm>
          <a:off x="12163425" y="614643"/>
          <a:ext cx="2314575" cy="1209675"/>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alibri"/>
              <a:cs typeface="Calibri"/>
            </a:rPr>
            <a:t>Growth</a:t>
          </a:r>
          <a:r>
            <a:rPr lang="en-US" sz="2000" b="1" i="0" u="none" strike="noStrike">
              <a:solidFill>
                <a:srgbClr val="000000"/>
              </a:solidFill>
              <a:latin typeface="Calibri"/>
              <a:cs typeface="Calibri"/>
            </a:rPr>
            <a:t> </a:t>
          </a:r>
          <a:r>
            <a:rPr lang="en-US" sz="2000" b="0" i="0" u="none" strike="noStrike">
              <a:solidFill>
                <a:srgbClr val="000000"/>
              </a:solidFill>
              <a:latin typeface="Calibri"/>
              <a:cs typeface="Calibri"/>
            </a:rPr>
            <a:t>YoY</a:t>
          </a:r>
          <a:r>
            <a:rPr lang="en-US" sz="2000" b="1" i="0" u="none" strike="noStrike">
              <a:solidFill>
                <a:srgbClr val="000000"/>
              </a:solidFill>
              <a:latin typeface="Calibri"/>
              <a:cs typeface="Calibri"/>
            </a:rPr>
            <a:t> %</a:t>
          </a:r>
        </a:p>
        <a:p>
          <a:pPr algn="ctr"/>
          <a:fld id="{1A921872-A96A-48E5-8254-A282B2A218ED}" type="TxLink">
            <a:rPr lang="en-US" sz="2000" b="1" i="0" u="none" strike="noStrike">
              <a:solidFill>
                <a:srgbClr val="000000"/>
              </a:solidFill>
              <a:latin typeface="Calibri"/>
              <a:cs typeface="Calibri"/>
            </a:rPr>
            <a:pPr algn="ctr"/>
            <a:t>-1,82%</a:t>
          </a:fld>
          <a:endParaRPr lang="en-US" sz="2000" b="1" i="0" u="none" strike="noStrike">
            <a:solidFill>
              <a:srgbClr val="000000"/>
            </a:solidFill>
            <a:latin typeface="Calibri"/>
            <a:cs typeface="Calibri"/>
          </a:endParaRPr>
        </a:p>
      </xdr:txBody>
    </xdr:sp>
    <xdr:clientData/>
  </xdr:twoCellAnchor>
  <xdr:twoCellAnchor>
    <xdr:from>
      <xdr:col>11</xdr:col>
      <xdr:colOff>171449</xdr:colOff>
      <xdr:row>1</xdr:row>
      <xdr:rowOff>45944</xdr:rowOff>
    </xdr:from>
    <xdr:to>
      <xdr:col>16</xdr:col>
      <xdr:colOff>57150</xdr:colOff>
      <xdr:row>7</xdr:row>
      <xdr:rowOff>112619</xdr:rowOff>
    </xdr:to>
    <xdr:sp macro="" textlink="Calculations!I11">
      <xdr:nvSpPr>
        <xdr:cNvPr id="4" name="Rectangle: Rounded Corners 3">
          <a:extLst>
            <a:ext uri="{FF2B5EF4-FFF2-40B4-BE49-F238E27FC236}">
              <a16:creationId xmlns:a16="http://schemas.microsoft.com/office/drawing/2014/main" id="{5BF5A0B0-8B41-495A-8816-87A06C9F3BF4}"/>
            </a:ext>
          </a:extLst>
        </xdr:cNvPr>
        <xdr:cNvSpPr/>
      </xdr:nvSpPr>
      <xdr:spPr>
        <a:xfrm>
          <a:off x="6448424" y="617444"/>
          <a:ext cx="2543176" cy="1209675"/>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alibri"/>
              <a:cs typeface="Calibri"/>
            </a:rPr>
            <a:t>Profit</a:t>
          </a:r>
          <a:r>
            <a:rPr lang="en-US" sz="2000" b="0" i="0" u="none" strike="noStrike" baseline="0">
              <a:solidFill>
                <a:srgbClr val="000000"/>
              </a:solidFill>
              <a:latin typeface="Calibri"/>
              <a:cs typeface="Calibri"/>
            </a:rPr>
            <a:t> Margin</a:t>
          </a:r>
          <a:endParaRPr lang="en-US" sz="2000" b="0" i="0" u="none" strike="noStrike">
            <a:solidFill>
              <a:srgbClr val="000000"/>
            </a:solidFill>
            <a:latin typeface="Calibri"/>
            <a:cs typeface="Calibri"/>
          </a:endParaRPr>
        </a:p>
        <a:p>
          <a:pPr algn="ctr"/>
          <a:fld id="{9B251D3A-D026-46FC-8B57-CA5C3AD5B3B7}" type="TxLink">
            <a:rPr lang="en-US" sz="2000" b="1" i="0" u="none" strike="noStrike">
              <a:solidFill>
                <a:srgbClr val="000000"/>
              </a:solidFill>
              <a:latin typeface="Calibri"/>
              <a:cs typeface="Calibri"/>
            </a:rPr>
            <a:pPr algn="ctr"/>
            <a:t>27%</a:t>
          </a:fld>
          <a:endParaRPr lang="en-US" sz="2000" b="1" i="0" u="none" strike="noStrike">
            <a:solidFill>
              <a:srgbClr val="000000"/>
            </a:solidFill>
            <a:latin typeface="Calibri"/>
            <a:cs typeface="Calibri"/>
          </a:endParaRPr>
        </a:p>
      </xdr:txBody>
    </xdr:sp>
    <xdr:clientData/>
  </xdr:twoCellAnchor>
  <xdr:twoCellAnchor>
    <xdr:from>
      <xdr:col>16</xdr:col>
      <xdr:colOff>409575</xdr:colOff>
      <xdr:row>1</xdr:row>
      <xdr:rowOff>49306</xdr:rowOff>
    </xdr:from>
    <xdr:to>
      <xdr:col>20</xdr:col>
      <xdr:colOff>533400</xdr:colOff>
      <xdr:row>7</xdr:row>
      <xdr:rowOff>115981</xdr:rowOff>
    </xdr:to>
    <xdr:sp macro="" textlink="Calculations!D14">
      <xdr:nvSpPr>
        <xdr:cNvPr id="5" name="Rectangle: Rounded Corners 4">
          <a:extLst>
            <a:ext uri="{FF2B5EF4-FFF2-40B4-BE49-F238E27FC236}">
              <a16:creationId xmlns:a16="http://schemas.microsoft.com/office/drawing/2014/main" id="{ED540DD0-D89C-4835-A2EE-94EAF760B4F9}"/>
            </a:ext>
          </a:extLst>
        </xdr:cNvPr>
        <xdr:cNvSpPr/>
      </xdr:nvSpPr>
      <xdr:spPr>
        <a:xfrm>
          <a:off x="9344025" y="620806"/>
          <a:ext cx="2562225" cy="1209675"/>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alibri"/>
              <a:cs typeface="Calibri"/>
            </a:rPr>
            <a:t>Total Orders</a:t>
          </a:r>
        </a:p>
        <a:p>
          <a:pPr algn="ctr"/>
          <a:fld id="{3D566BCE-4FD4-4A58-AD00-FE2BD82753FB}" type="TxLink">
            <a:rPr lang="en-US" sz="2000" b="1" i="0" u="none" strike="noStrike">
              <a:solidFill>
                <a:srgbClr val="000000"/>
              </a:solidFill>
              <a:latin typeface="Calibri"/>
              <a:cs typeface="Calibri"/>
            </a:rPr>
            <a:pPr algn="ctr"/>
            <a:t>365</a:t>
          </a:fld>
          <a:endParaRPr lang="en-US" sz="2000" b="1" i="0" u="none" strike="noStrike">
            <a:solidFill>
              <a:srgbClr val="000000"/>
            </a:solidFill>
            <a:latin typeface="Calibri"/>
            <a:cs typeface="Calibri"/>
          </a:endParaRPr>
        </a:p>
      </xdr:txBody>
    </xdr:sp>
    <xdr:clientData/>
  </xdr:twoCellAnchor>
  <xdr:twoCellAnchor>
    <xdr:from>
      <xdr:col>4</xdr:col>
      <xdr:colOff>0</xdr:colOff>
      <xdr:row>12</xdr:row>
      <xdr:rowOff>23813</xdr:rowOff>
    </xdr:from>
    <xdr:to>
      <xdr:col>16</xdr:col>
      <xdr:colOff>466725</xdr:colOff>
      <xdr:row>27</xdr:row>
      <xdr:rowOff>57151</xdr:rowOff>
    </xdr:to>
    <xdr:graphicFrame macro="">
      <xdr:nvGraphicFramePr>
        <xdr:cNvPr id="7" name="Chart 1">
          <a:extLst>
            <a:ext uri="{FF2B5EF4-FFF2-40B4-BE49-F238E27FC236}">
              <a16:creationId xmlns:a16="http://schemas.microsoft.com/office/drawing/2014/main" id="{12D93C29-B394-D240-CEAF-7C03B76B6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9525</xdr:colOff>
      <xdr:row>12</xdr:row>
      <xdr:rowOff>33336</xdr:rowOff>
    </xdr:from>
    <xdr:to>
      <xdr:col>26</xdr:col>
      <xdr:colOff>0</xdr:colOff>
      <xdr:row>27</xdr:row>
      <xdr:rowOff>57149</xdr:rowOff>
    </xdr:to>
    <xdr:graphicFrame macro="">
      <xdr:nvGraphicFramePr>
        <xdr:cNvPr id="11" name="Chart 11">
          <a:extLst>
            <a:ext uri="{FF2B5EF4-FFF2-40B4-BE49-F238E27FC236}">
              <a16:creationId xmlns:a16="http://schemas.microsoft.com/office/drawing/2014/main" id="{2822EEA0-30DE-035E-6507-67C888807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723899</xdr:colOff>
      <xdr:row>12</xdr:row>
      <xdr:rowOff>47626</xdr:rowOff>
    </xdr:from>
    <xdr:to>
      <xdr:col>3</xdr:col>
      <xdr:colOff>28574</xdr:colOff>
      <xdr:row>20</xdr:row>
      <xdr:rowOff>47626</xdr:rowOff>
    </xdr:to>
    <mc:AlternateContent xmlns:mc="http://schemas.openxmlformats.org/markup-compatibility/2006" xmlns:a14="http://schemas.microsoft.com/office/drawing/2010/main">
      <mc:Choice Requires="a14">
        <xdr:graphicFrame macro="">
          <xdr:nvGraphicFramePr>
            <xdr:cNvPr id="10" name="Year 3">
              <a:extLst>
                <a:ext uri="{FF2B5EF4-FFF2-40B4-BE49-F238E27FC236}">
                  <a16:creationId xmlns:a16="http://schemas.microsoft.com/office/drawing/2014/main" id="{F5C5575F-B734-4502-AF64-784548F9338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723899" y="2762251"/>
              <a:ext cx="1609725" cy="152400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21</xdr:row>
      <xdr:rowOff>47624</xdr:rowOff>
    </xdr:from>
    <xdr:to>
      <xdr:col>3</xdr:col>
      <xdr:colOff>28575</xdr:colOff>
      <xdr:row>31</xdr:row>
      <xdr:rowOff>47625</xdr:rowOff>
    </xdr:to>
    <mc:AlternateContent xmlns:mc="http://schemas.openxmlformats.org/markup-compatibility/2006" xmlns:a14="http://schemas.microsoft.com/office/drawing/2010/main">
      <mc:Choice Requires="a14">
        <xdr:graphicFrame macro="">
          <xdr:nvGraphicFramePr>
            <xdr:cNvPr id="13" name="Product Name 1">
              <a:extLst>
                <a:ext uri="{FF2B5EF4-FFF2-40B4-BE49-F238E27FC236}">
                  <a16:creationId xmlns:a16="http://schemas.microsoft.com/office/drawing/2014/main" id="{606DD749-2FAE-4FC1-A420-80E847611462}"/>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723900" y="4476749"/>
              <a:ext cx="1609725" cy="1905001"/>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14287</xdr:colOff>
      <xdr:row>32</xdr:row>
      <xdr:rowOff>42862</xdr:rowOff>
    </xdr:from>
    <xdr:to>
      <xdr:col>25</xdr:col>
      <xdr:colOff>590550</xdr:colOff>
      <xdr:row>50</xdr:row>
      <xdr:rowOff>171450</xdr:rowOff>
    </xdr:to>
    <xdr:graphicFrame macro="">
      <xdr:nvGraphicFramePr>
        <xdr:cNvPr id="14" name="Chart 1">
          <a:extLst>
            <a:ext uri="{FF2B5EF4-FFF2-40B4-BE49-F238E27FC236}">
              <a16:creationId xmlns:a16="http://schemas.microsoft.com/office/drawing/2014/main" id="{05FB81B5-748D-D153-18EF-FC3FD3249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32</xdr:row>
      <xdr:rowOff>15208</xdr:rowOff>
    </xdr:from>
    <xdr:to>
      <xdr:col>3</xdr:col>
      <xdr:colOff>33617</xdr:colOff>
      <xdr:row>42</xdr:row>
      <xdr:rowOff>15208</xdr:rowOff>
    </xdr:to>
    <mc:AlternateContent xmlns:mc="http://schemas.openxmlformats.org/markup-compatibility/2006" xmlns:a14="http://schemas.microsoft.com/office/drawing/2010/main">
      <mc:Choice Requires="a14">
        <xdr:graphicFrame macro="">
          <xdr:nvGraphicFramePr>
            <xdr:cNvPr id="12" name="Sales Manager">
              <a:extLst>
                <a:ext uri="{FF2B5EF4-FFF2-40B4-BE49-F238E27FC236}">
                  <a16:creationId xmlns:a16="http://schemas.microsoft.com/office/drawing/2014/main" id="{CCB661A2-FEA6-428C-9A7A-3DECDF51FCF9}"/>
                </a:ext>
              </a:extLst>
            </xdr:cNvPr>
            <xdr:cNvGraphicFramePr/>
          </xdr:nvGraphicFramePr>
          <xdr:xfrm>
            <a:off x="0" y="0"/>
            <a:ext cx="0" cy="0"/>
          </xdr:xfrm>
          <a:graphic>
            <a:graphicData uri="http://schemas.microsoft.com/office/drawing/2010/slicer">
              <sle:slicer xmlns:sle="http://schemas.microsoft.com/office/drawing/2010/slicer" name="Sales Manager"/>
            </a:graphicData>
          </a:graphic>
        </xdr:graphicFrame>
      </mc:Choice>
      <mc:Fallback xmlns="">
        <xdr:sp macro="" textlink="">
          <xdr:nvSpPr>
            <xdr:cNvPr id="0" name=""/>
            <xdr:cNvSpPr>
              <a:spLocks noTextEdit="1"/>
            </xdr:cNvSpPr>
          </xdr:nvSpPr>
          <xdr:spPr>
            <a:xfrm>
              <a:off x="266700" y="6206458"/>
              <a:ext cx="1614767" cy="190500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409574</xdr:colOff>
      <xdr:row>32</xdr:row>
      <xdr:rowOff>42861</xdr:rowOff>
    </xdr:from>
    <xdr:to>
      <xdr:col>13</xdr:col>
      <xdr:colOff>600074</xdr:colOff>
      <xdr:row>50</xdr:row>
      <xdr:rowOff>161924</xdr:rowOff>
    </xdr:to>
    <xdr:graphicFrame macro="">
      <xdr:nvGraphicFramePr>
        <xdr:cNvPr id="19" name="Chart 9">
          <a:extLst>
            <a:ext uri="{FF2B5EF4-FFF2-40B4-BE49-F238E27FC236}">
              <a16:creationId xmlns:a16="http://schemas.microsoft.com/office/drawing/2014/main" id="{9F2F7F44-FE6B-A17C-6491-D4B1DAF36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9527</xdr:colOff>
      <xdr:row>9</xdr:row>
      <xdr:rowOff>9525</xdr:rowOff>
    </xdr:from>
    <xdr:to>
      <xdr:col>8</xdr:col>
      <xdr:colOff>533401</xdr:colOff>
      <xdr:row>17</xdr:row>
      <xdr:rowOff>76200</xdr:rowOff>
    </xdr:to>
    <xdr:sp macro="" textlink="">
      <xdr:nvSpPr>
        <xdr:cNvPr id="2" name="TextBox 1">
          <a:extLst>
            <a:ext uri="{FF2B5EF4-FFF2-40B4-BE49-F238E27FC236}">
              <a16:creationId xmlns:a16="http://schemas.microsoft.com/office/drawing/2014/main" id="{C3C85A0B-8F90-B986-7C11-F55540411021}"/>
            </a:ext>
          </a:extLst>
        </xdr:cNvPr>
        <xdr:cNvSpPr txBox="1"/>
      </xdr:nvSpPr>
      <xdr:spPr>
        <a:xfrm>
          <a:off x="5610227" y="1724025"/>
          <a:ext cx="2990849" cy="1590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b="1"/>
            <a:t>What is total revenue?</a:t>
          </a:r>
        </a:p>
        <a:p>
          <a:r>
            <a:rPr lang="pt-PT" b="1"/>
            <a:t>Which region performs best?</a:t>
          </a:r>
        </a:p>
        <a:p>
          <a:r>
            <a:rPr lang="pt-PT" b="1"/>
            <a:t>Which product generates highest profit?</a:t>
          </a:r>
        </a:p>
        <a:p>
          <a:r>
            <a:rPr lang="pt-PT" b="1"/>
            <a:t>Monthly revenue trend?</a:t>
          </a:r>
        </a:p>
        <a:p>
          <a:r>
            <a:rPr lang="pt-PT" b="1"/>
            <a:t>YoY growth?</a:t>
          </a:r>
        </a:p>
        <a:p>
          <a:r>
            <a:rPr lang="pt-PT" b="1"/>
            <a:t>Top 5 customers?</a:t>
          </a:r>
        </a:p>
        <a:p>
          <a:r>
            <a:rPr lang="pt-PT" b="1"/>
            <a:t>Which category has highest margin?</a:t>
          </a:r>
        </a:p>
        <a:p>
          <a:r>
            <a:rPr lang="pt-PT" b="1"/>
            <a:t>Are discounts reducing profitability?</a:t>
          </a:r>
        </a:p>
        <a:p>
          <a:endParaRPr lang="pt-PT" sz="1100"/>
        </a:p>
      </xdr:txBody>
    </xdr:sp>
    <xdr:clientData/>
  </xdr:twoCellAnchor>
  <xdr:twoCellAnchor editAs="oneCell">
    <xdr:from>
      <xdr:col>6</xdr:col>
      <xdr:colOff>361950</xdr:colOff>
      <xdr:row>17</xdr:row>
      <xdr:rowOff>171451</xdr:rowOff>
    </xdr:from>
    <xdr:to>
      <xdr:col>7</xdr:col>
      <xdr:colOff>857250</xdr:colOff>
      <xdr:row>25</xdr:row>
      <xdr:rowOff>161925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9B5AE6E8-557B-F71C-8B34-B063B75199E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81675" y="3409951"/>
              <a:ext cx="1828800" cy="1514474"/>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352425</xdr:colOff>
      <xdr:row>26</xdr:row>
      <xdr:rowOff>104776</xdr:rowOff>
    </xdr:from>
    <xdr:to>
      <xdr:col>7</xdr:col>
      <xdr:colOff>857250</xdr:colOff>
      <xdr:row>35</xdr:row>
      <xdr:rowOff>123825</xdr:rowOff>
    </xdr:to>
    <mc:AlternateContent xmlns:mc="http://schemas.openxmlformats.org/markup-compatibility/2006" xmlns:a14="http://schemas.microsoft.com/office/drawing/2010/main">
      <mc:Choice Requires="a14">
        <xdr:graphicFrame macro="">
          <xdr:nvGraphicFramePr>
            <xdr:cNvPr id="6" name="Product Name">
              <a:extLst>
                <a:ext uri="{FF2B5EF4-FFF2-40B4-BE49-F238E27FC236}">
                  <a16:creationId xmlns:a16="http://schemas.microsoft.com/office/drawing/2014/main" id="{94C89333-4633-5D11-A8A3-5023DF779333}"/>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5772150" y="5057776"/>
              <a:ext cx="1838325" cy="1733549"/>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érginho Oliveira" refreshedDate="46071.663854282408" createdVersion="8" refreshedVersion="8" minRefreshableVersion="3" recordCount="1461" xr:uid="{061CADE4-8B60-4487-B668-C914DFD83C03}">
  <cacheSource type="worksheet">
    <worksheetSource name="Sales_Data"/>
  </cacheSource>
  <cacheFields count="17">
    <cacheField name="Order ID" numFmtId="0">
      <sharedItems containsSemiMixedTypes="0" containsString="0" containsNumber="1" containsInteger="1" minValue="10001" maxValue="11461"/>
    </cacheField>
    <cacheField name="Year" numFmtId="0">
      <sharedItems containsSemiMixedTypes="0" containsString="0" containsNumber="1" containsInteger="1" minValue="2019" maxValue="2022" count="4">
        <n v="2019"/>
        <n v="2020"/>
        <n v="2021"/>
        <n v="2022"/>
      </sharedItems>
    </cacheField>
    <cacheField name="Month Name" numFmtId="0">
      <sharedItems count="12">
        <s v="Janeiro"/>
        <s v="Fevereiro"/>
        <s v="Março"/>
        <s v="Abril"/>
        <s v="Maio"/>
        <s v="Junho"/>
        <s v="Julho"/>
        <s v="Agosto"/>
        <s v="Setembro"/>
        <s v="Outubro"/>
        <s v="Novembro"/>
        <s v="Dezembro"/>
      </sharedItems>
    </cacheField>
    <cacheField name="Date" numFmtId="14">
      <sharedItems containsSemiMixedTypes="0" containsNonDate="0" containsDate="1" containsString="0" minDate="2019-01-01T00:00:00" maxDate="2023-01-01T00:00:00" count="1461">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sharedItems>
      <fieldGroup par="16"/>
    </cacheField>
    <cacheField name="Country" numFmtId="0">
      <sharedItems count="5">
        <s v="USA"/>
        <s v="Canada"/>
        <s v="Australia"/>
        <s v="New Zealand"/>
        <s v="UK"/>
      </sharedItems>
    </cacheField>
    <cacheField name="Sales Manager" numFmtId="0">
      <sharedItems count="5">
        <s v="Emily White"/>
        <s v="James Brown"/>
        <s v="Jane Doe"/>
        <s v="John Smith"/>
        <s v="Liam Lee"/>
      </sharedItems>
    </cacheField>
    <cacheField name="Product Name" numFmtId="0">
      <sharedItems count="5">
        <s v="Product E"/>
        <s v="Product A"/>
        <s v="Product B"/>
        <s v="Product D"/>
        <s v="Product C"/>
      </sharedItems>
    </cacheField>
    <cacheField name="Total Transations" numFmtId="1">
      <sharedItems containsSemiMixedTypes="0" containsString="0" containsNumber="1" containsInteger="1" minValue="1" maxValue="49"/>
    </cacheField>
    <cacheField name="Quantity Sold" numFmtId="1">
      <sharedItems containsSemiMixedTypes="0" containsString="0" containsNumber="1" containsInteger="1" minValue="10" maxValue="500"/>
    </cacheField>
    <cacheField name="Sales Amount" numFmtId="44">
      <sharedItems containsSemiMixedTypes="0" containsString="0" containsNumber="1" containsInteger="1" minValue="2750" maxValue="424150"/>
    </cacheField>
    <cacheField name="Total Profit" numFmtId="44">
      <sharedItems containsSemiMixedTypes="0" containsString="0" containsNumber="1" minValue="385.00000000000006" maxValue="169447.5"/>
    </cacheField>
    <cacheField name="Month_name_clean" numFmtId="0">
      <sharedItems/>
    </cacheField>
    <cacheField name="Country_clean" numFmtId="0">
      <sharedItems/>
    </cacheField>
    <cacheField name="Manager_clean" numFmtId="0">
      <sharedItems/>
    </cacheField>
    <cacheField name="Months (Date)" numFmtId="0" databaseField="0">
      <fieldGroup base="3">
        <rangePr groupBy="months" startDate="2019-01-01T00:00:00" endDate="2023-01-01T00:00:00"/>
        <groupItems count="14">
          <s v="&lt;01/01/2019"/>
          <s v="jan"/>
          <s v="fev"/>
          <s v="mar"/>
          <s v="abr"/>
          <s v="mai"/>
          <s v="jun"/>
          <s v="jul"/>
          <s v="ago"/>
          <s v="set"/>
          <s v="out"/>
          <s v="nov"/>
          <s v="dez"/>
          <s v="&gt;01/01/2023"/>
        </groupItems>
      </fieldGroup>
    </cacheField>
    <cacheField name="Quarters (Date)" numFmtId="0" databaseField="0">
      <fieldGroup base="3">
        <rangePr groupBy="quarters" startDate="2019-01-01T00:00:00" endDate="2023-01-01T00:00:00"/>
        <groupItems count="6">
          <s v="&lt;01/01/2019"/>
          <s v="Qtr1"/>
          <s v="Qtr2"/>
          <s v="Qtr3"/>
          <s v="Qtr4"/>
          <s v="&gt;01/01/2023"/>
        </groupItems>
      </fieldGroup>
    </cacheField>
    <cacheField name="Years (Date)" numFmtId="0" databaseField="0">
      <fieldGroup base="3">
        <rangePr groupBy="years" startDate="2019-01-01T00:00:00" endDate="2023-01-01T00:00:00"/>
        <groupItems count="7">
          <s v="&lt;01/01/2019"/>
          <s v="2019"/>
          <s v="2020"/>
          <s v="2021"/>
          <s v="2022"/>
          <s v="2023"/>
          <s v="&gt;01/01/2023"/>
        </groupItems>
      </fieldGroup>
    </cacheField>
  </cacheFields>
  <extLst>
    <ext xmlns:x14="http://schemas.microsoft.com/office/spreadsheetml/2009/9/main" uri="{725AE2AE-9491-48be-B2B4-4EB974FC3084}">
      <x14:pivotCacheDefinition pivotCacheId="968988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érginho Oliveira" refreshedDate="46074.901145949072" createdVersion="8" refreshedVersion="8" minRefreshableVersion="3" recordCount="1462" xr:uid="{83CC8B92-E8A4-4E40-B321-C5FBD5353622}">
  <cacheSource type="worksheet">
    <worksheetSource ref="A1:N1048576" sheet="Cleaned_Sales_Data"/>
  </cacheSource>
  <cacheFields count="14">
    <cacheField name="Order ID" numFmtId="0">
      <sharedItems containsString="0" containsBlank="1" containsNumber="1" containsInteger="1" minValue="10001" maxValue="11461"/>
    </cacheField>
    <cacheField name="Year" numFmtId="0">
      <sharedItems containsString="0" containsBlank="1" containsNumber="1" containsInteger="1" minValue="2019" maxValue="2022"/>
    </cacheField>
    <cacheField name="Month Name" numFmtId="0">
      <sharedItems containsBlank="1"/>
    </cacheField>
    <cacheField name="Date" numFmtId="0">
      <sharedItems containsNonDate="0" containsDate="1" containsString="0" containsBlank="1" minDate="2019-01-01T00:00:00" maxDate="2023-01-01T00:00:00"/>
    </cacheField>
    <cacheField name="Country" numFmtId="0">
      <sharedItems containsBlank="1" count="6">
        <s v="USA"/>
        <s v="Canada"/>
        <s v="Australia"/>
        <s v="New Zealand"/>
        <s v="UK"/>
        <m/>
      </sharedItems>
    </cacheField>
    <cacheField name="Sales Manager" numFmtId="0">
      <sharedItems containsBlank="1" count="6">
        <s v="Emily White"/>
        <s v="James Brown"/>
        <s v="Jane Doe"/>
        <s v="John Smith"/>
        <s v="Liam Lee"/>
        <m/>
      </sharedItems>
    </cacheField>
    <cacheField name="Product Name" numFmtId="0">
      <sharedItems containsBlank="1"/>
    </cacheField>
    <cacheField name="Total Transations" numFmtId="1">
      <sharedItems containsString="0" containsBlank="1" containsNumber="1" containsInteger="1" minValue="1" maxValue="49"/>
    </cacheField>
    <cacheField name="Quantity Sold" numFmtId="1">
      <sharedItems containsString="0" containsBlank="1" containsNumber="1" containsInteger="1" minValue="10" maxValue="500"/>
    </cacheField>
    <cacheField name="Sales Amount" numFmtId="44">
      <sharedItems containsString="0" containsBlank="1" containsNumber="1" containsInteger="1" minValue="2750" maxValue="424150"/>
    </cacheField>
    <cacheField name="Total Profit" numFmtId="44">
      <sharedItems containsString="0" containsBlank="1" containsNumber="1" minValue="385.00000000000006" maxValue="169447.5"/>
    </cacheField>
    <cacheField name="Week of Year" numFmtId="0">
      <sharedItems containsString="0" containsBlank="1" containsNumber="1" containsInteger="1" minValue="1" maxValue="53"/>
    </cacheField>
    <cacheField name="Start of Quarter" numFmtId="0">
      <sharedItems containsNonDate="0" containsDate="1" containsString="0" containsBlank="1" minDate="2019-01-01T00:00:00" maxDate="2022-10-02T00:00:00"/>
    </cacheField>
    <cacheField name="Sales_amount_%" numFmtId="10">
      <sharedItems containsString="0" containsBlank="1" containsNumber="1" minValue="1.3852449251552199E-5" maxValue="2.13655140001667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1">
  <r>
    <n v="10001"/>
    <x v="0"/>
    <x v="0"/>
    <x v="0"/>
    <x v="0"/>
    <x v="0"/>
    <x v="0"/>
    <n v="34"/>
    <n v="348"/>
    <n v="261000"/>
    <n v="60030"/>
    <s v="Janeiro"/>
    <s v="Usa"/>
    <s v="Emily White"/>
  </r>
  <r>
    <n v="10002"/>
    <x v="0"/>
    <x v="0"/>
    <x v="1"/>
    <x v="1"/>
    <x v="0"/>
    <x v="1"/>
    <n v="4"/>
    <n v="145"/>
    <n v="72500"/>
    <n v="13775"/>
    <s v="Janeiro"/>
    <s v="Canada"/>
    <s v="Emily White"/>
  </r>
  <r>
    <n v="10003"/>
    <x v="0"/>
    <x v="0"/>
    <x v="2"/>
    <x v="1"/>
    <x v="1"/>
    <x v="2"/>
    <n v="11"/>
    <n v="427"/>
    <n v="106750"/>
    <n v="40565"/>
    <s v="Janeiro"/>
    <s v="Canada"/>
    <s v="James Brown"/>
  </r>
  <r>
    <n v="10004"/>
    <x v="0"/>
    <x v="0"/>
    <x v="3"/>
    <x v="0"/>
    <x v="0"/>
    <x v="0"/>
    <n v="16"/>
    <n v="388"/>
    <n v="291000"/>
    <n v="110580"/>
    <s v="Janeiro"/>
    <s v="Usa"/>
    <s v="Emily White"/>
  </r>
  <r>
    <n v="10005"/>
    <x v="0"/>
    <x v="0"/>
    <x v="4"/>
    <x v="1"/>
    <x v="2"/>
    <x v="1"/>
    <n v="34"/>
    <n v="363"/>
    <n v="181500"/>
    <n v="39930"/>
    <s v="Janeiro"/>
    <s v="Canada"/>
    <s v="Jane Doe"/>
  </r>
  <r>
    <n v="10006"/>
    <x v="0"/>
    <x v="0"/>
    <x v="5"/>
    <x v="2"/>
    <x v="1"/>
    <x v="3"/>
    <n v="5"/>
    <n v="124"/>
    <n v="105400"/>
    <n v="37944"/>
    <s v="Janeiro"/>
    <s v="Australia"/>
    <s v="James Brown"/>
  </r>
  <r>
    <n v="10007"/>
    <x v="0"/>
    <x v="0"/>
    <x v="6"/>
    <x v="1"/>
    <x v="3"/>
    <x v="2"/>
    <n v="13"/>
    <n v="389"/>
    <n v="97250"/>
    <n v="41817.5"/>
    <s v="Janeiro"/>
    <s v="Canada"/>
    <s v="John Smith"/>
  </r>
  <r>
    <n v="10008"/>
    <x v="0"/>
    <x v="0"/>
    <x v="7"/>
    <x v="1"/>
    <x v="2"/>
    <x v="1"/>
    <n v="3"/>
    <n v="132"/>
    <n v="66000"/>
    <n v="23100"/>
    <s v="Janeiro"/>
    <s v="Canada"/>
    <s v="Jane Doe"/>
  </r>
  <r>
    <n v="10009"/>
    <x v="0"/>
    <x v="0"/>
    <x v="8"/>
    <x v="3"/>
    <x v="0"/>
    <x v="4"/>
    <n v="4"/>
    <n v="58"/>
    <n v="20300"/>
    <n v="7917"/>
    <s v="Janeiro"/>
    <s v="New Zealand"/>
    <s v="Emily White"/>
  </r>
  <r>
    <n v="10010"/>
    <x v="0"/>
    <x v="0"/>
    <x v="9"/>
    <x v="2"/>
    <x v="4"/>
    <x v="0"/>
    <n v="25"/>
    <n v="261"/>
    <n v="195750"/>
    <n v="27405.000000000004"/>
    <s v="Janeiro"/>
    <s v="Australia"/>
    <s v="Liam Lee"/>
  </r>
  <r>
    <n v="10011"/>
    <x v="0"/>
    <x v="0"/>
    <x v="10"/>
    <x v="1"/>
    <x v="2"/>
    <x v="0"/>
    <n v="17"/>
    <n v="275"/>
    <n v="206250"/>
    <n v="72187.5"/>
    <s v="Janeiro"/>
    <s v="Canada"/>
    <s v="Jane Doe"/>
  </r>
  <r>
    <n v="10012"/>
    <x v="0"/>
    <x v="0"/>
    <x v="11"/>
    <x v="0"/>
    <x v="1"/>
    <x v="3"/>
    <n v="7"/>
    <n v="348"/>
    <n v="295800"/>
    <n v="68034"/>
    <s v="Janeiro"/>
    <s v="Usa"/>
    <s v="James Brown"/>
  </r>
  <r>
    <n v="10013"/>
    <x v="0"/>
    <x v="0"/>
    <x v="12"/>
    <x v="4"/>
    <x v="4"/>
    <x v="2"/>
    <n v="12"/>
    <n v="437"/>
    <n v="109250"/>
    <n v="20757.5"/>
    <s v="Janeiro"/>
    <s v="Uk"/>
    <s v="Liam Lee"/>
  </r>
  <r>
    <n v="10014"/>
    <x v="0"/>
    <x v="0"/>
    <x v="13"/>
    <x v="1"/>
    <x v="1"/>
    <x v="2"/>
    <n v="39"/>
    <n v="395"/>
    <n v="98750"/>
    <n v="17775"/>
    <s v="Janeiro"/>
    <s v="Canada"/>
    <s v="James Brown"/>
  </r>
  <r>
    <n v="10015"/>
    <x v="0"/>
    <x v="0"/>
    <x v="14"/>
    <x v="3"/>
    <x v="1"/>
    <x v="3"/>
    <n v="5"/>
    <n v="81"/>
    <n v="68850"/>
    <n v="28228.5"/>
    <s v="Janeiro"/>
    <s v="New Zealand"/>
    <s v="James Brown"/>
  </r>
  <r>
    <n v="10016"/>
    <x v="0"/>
    <x v="0"/>
    <x v="15"/>
    <x v="0"/>
    <x v="3"/>
    <x v="1"/>
    <n v="29"/>
    <n v="357"/>
    <n v="178500"/>
    <n v="23205"/>
    <s v="Janeiro"/>
    <s v="Usa"/>
    <s v="John Smith"/>
  </r>
  <r>
    <n v="10017"/>
    <x v="0"/>
    <x v="0"/>
    <x v="16"/>
    <x v="0"/>
    <x v="0"/>
    <x v="2"/>
    <n v="33"/>
    <n v="384"/>
    <n v="96000"/>
    <n v="24000"/>
    <s v="Janeiro"/>
    <s v="Usa"/>
    <s v="Emily White"/>
  </r>
  <r>
    <n v="10018"/>
    <x v="0"/>
    <x v="0"/>
    <x v="17"/>
    <x v="1"/>
    <x v="0"/>
    <x v="1"/>
    <n v="9"/>
    <n v="252"/>
    <n v="126000"/>
    <n v="12600"/>
    <s v="Janeiro"/>
    <s v="Canada"/>
    <s v="Emily White"/>
  </r>
  <r>
    <n v="10019"/>
    <x v="0"/>
    <x v="0"/>
    <x v="18"/>
    <x v="1"/>
    <x v="4"/>
    <x v="1"/>
    <n v="1"/>
    <n v="44"/>
    <n v="22000"/>
    <n v="9460"/>
    <s v="Janeiro"/>
    <s v="Canada"/>
    <s v="Liam Lee"/>
  </r>
  <r>
    <n v="10020"/>
    <x v="0"/>
    <x v="0"/>
    <x v="19"/>
    <x v="3"/>
    <x v="3"/>
    <x v="0"/>
    <n v="11"/>
    <n v="161"/>
    <n v="120750"/>
    <n v="36225"/>
    <s v="Janeiro"/>
    <s v="New Zealand"/>
    <s v="John Smith"/>
  </r>
  <r>
    <n v="10021"/>
    <x v="0"/>
    <x v="0"/>
    <x v="20"/>
    <x v="3"/>
    <x v="1"/>
    <x v="3"/>
    <n v="9"/>
    <n v="103"/>
    <n v="87550"/>
    <n v="21012"/>
    <s v="Janeiro"/>
    <s v="New Zealand"/>
    <s v="James Brown"/>
  </r>
  <r>
    <n v="10022"/>
    <x v="0"/>
    <x v="0"/>
    <x v="21"/>
    <x v="2"/>
    <x v="3"/>
    <x v="0"/>
    <n v="1"/>
    <n v="13"/>
    <n v="9750"/>
    <n v="3900"/>
    <s v="Janeiro"/>
    <s v="Australia"/>
    <s v="John Smith"/>
  </r>
  <r>
    <n v="10023"/>
    <x v="0"/>
    <x v="0"/>
    <x v="22"/>
    <x v="3"/>
    <x v="4"/>
    <x v="1"/>
    <n v="15"/>
    <n v="358"/>
    <n v="179000"/>
    <n v="30430.000000000004"/>
    <s v="Janeiro"/>
    <s v="New Zealand"/>
    <s v="Liam Lee"/>
  </r>
  <r>
    <n v="10024"/>
    <x v="0"/>
    <x v="0"/>
    <x v="23"/>
    <x v="4"/>
    <x v="2"/>
    <x v="0"/>
    <n v="4"/>
    <n v="44"/>
    <n v="33000"/>
    <n v="4950"/>
    <s v="Janeiro"/>
    <s v="Uk"/>
    <s v="Jane Doe"/>
  </r>
  <r>
    <n v="10025"/>
    <x v="0"/>
    <x v="0"/>
    <x v="24"/>
    <x v="0"/>
    <x v="4"/>
    <x v="1"/>
    <n v="4"/>
    <n v="306"/>
    <n v="153000"/>
    <n v="50490"/>
    <s v="Janeiro"/>
    <s v="Usa"/>
    <s v="Liam Lee"/>
  </r>
  <r>
    <n v="10026"/>
    <x v="0"/>
    <x v="0"/>
    <x v="25"/>
    <x v="1"/>
    <x v="3"/>
    <x v="2"/>
    <n v="4"/>
    <n v="293"/>
    <n v="73250"/>
    <n v="16847.5"/>
    <s v="Janeiro"/>
    <s v="Canada"/>
    <s v="John Smith"/>
  </r>
  <r>
    <n v="10027"/>
    <x v="0"/>
    <x v="0"/>
    <x v="26"/>
    <x v="2"/>
    <x v="4"/>
    <x v="3"/>
    <n v="4"/>
    <n v="278"/>
    <n v="236300"/>
    <n v="80342"/>
    <s v="Janeiro"/>
    <s v="Australia"/>
    <s v="Liam Lee"/>
  </r>
  <r>
    <n v="10028"/>
    <x v="0"/>
    <x v="0"/>
    <x v="27"/>
    <x v="2"/>
    <x v="3"/>
    <x v="4"/>
    <n v="21"/>
    <n v="295"/>
    <n v="103250"/>
    <n v="43365"/>
    <s v="Janeiro"/>
    <s v="Australia"/>
    <s v="John Smith"/>
  </r>
  <r>
    <n v="10029"/>
    <x v="0"/>
    <x v="0"/>
    <x v="28"/>
    <x v="3"/>
    <x v="4"/>
    <x v="0"/>
    <n v="30"/>
    <n v="313"/>
    <n v="234750"/>
    <n v="42255"/>
    <s v="Janeiro"/>
    <s v="New Zealand"/>
    <s v="Liam Lee"/>
  </r>
  <r>
    <n v="10030"/>
    <x v="0"/>
    <x v="0"/>
    <x v="29"/>
    <x v="2"/>
    <x v="3"/>
    <x v="1"/>
    <n v="8"/>
    <n v="127"/>
    <n v="63500"/>
    <n v="16510"/>
    <s v="Janeiro"/>
    <s v="Australia"/>
    <s v="John Smith"/>
  </r>
  <r>
    <n v="10031"/>
    <x v="0"/>
    <x v="0"/>
    <x v="30"/>
    <x v="2"/>
    <x v="2"/>
    <x v="4"/>
    <n v="4"/>
    <n v="253"/>
    <n v="88550"/>
    <n v="16824.5"/>
    <s v="Janeiro"/>
    <s v="Australia"/>
    <s v="Jane Doe"/>
  </r>
  <r>
    <n v="10032"/>
    <x v="0"/>
    <x v="1"/>
    <x v="31"/>
    <x v="0"/>
    <x v="3"/>
    <x v="2"/>
    <n v="23"/>
    <n v="499"/>
    <n v="124750"/>
    <n v="14970"/>
    <s v="Fevereiro"/>
    <s v="Usa"/>
    <s v="John Smith"/>
  </r>
  <r>
    <n v="10033"/>
    <x v="0"/>
    <x v="1"/>
    <x v="32"/>
    <x v="3"/>
    <x v="2"/>
    <x v="0"/>
    <n v="1"/>
    <n v="25"/>
    <n v="18750"/>
    <n v="6375.0000000000009"/>
    <s v="Fevereiro"/>
    <s v="New Zealand"/>
    <s v="Jane Doe"/>
  </r>
  <r>
    <n v="10034"/>
    <x v="0"/>
    <x v="1"/>
    <x v="33"/>
    <x v="3"/>
    <x v="2"/>
    <x v="2"/>
    <n v="1"/>
    <n v="17"/>
    <n v="4250"/>
    <n v="1657.5"/>
    <s v="Fevereiro"/>
    <s v="New Zealand"/>
    <s v="Jane Doe"/>
  </r>
  <r>
    <n v="10035"/>
    <x v="0"/>
    <x v="1"/>
    <x v="34"/>
    <x v="4"/>
    <x v="2"/>
    <x v="1"/>
    <n v="2"/>
    <n v="21"/>
    <n v="10500"/>
    <n v="3360"/>
    <s v="Fevereiro"/>
    <s v="Uk"/>
    <s v="Jane Doe"/>
  </r>
  <r>
    <n v="10036"/>
    <x v="0"/>
    <x v="1"/>
    <x v="35"/>
    <x v="4"/>
    <x v="4"/>
    <x v="3"/>
    <n v="13"/>
    <n v="264"/>
    <n v="224400"/>
    <n v="53856"/>
    <s v="Fevereiro"/>
    <s v="Uk"/>
    <s v="Liam Lee"/>
  </r>
  <r>
    <n v="10037"/>
    <x v="0"/>
    <x v="1"/>
    <x v="36"/>
    <x v="1"/>
    <x v="2"/>
    <x v="4"/>
    <n v="41"/>
    <n v="429"/>
    <n v="150150"/>
    <n v="66066"/>
    <s v="Fevereiro"/>
    <s v="Canada"/>
    <s v="Jane Doe"/>
  </r>
  <r>
    <n v="10038"/>
    <x v="0"/>
    <x v="1"/>
    <x v="37"/>
    <x v="2"/>
    <x v="0"/>
    <x v="0"/>
    <n v="9"/>
    <n v="312"/>
    <n v="234000"/>
    <n v="102960"/>
    <s v="Fevereiro"/>
    <s v="Australia"/>
    <s v="Emily White"/>
  </r>
  <r>
    <n v="10039"/>
    <x v="0"/>
    <x v="1"/>
    <x v="38"/>
    <x v="0"/>
    <x v="0"/>
    <x v="0"/>
    <n v="31"/>
    <n v="461"/>
    <n v="345750"/>
    <n v="117555.00000000001"/>
    <s v="Fevereiro"/>
    <s v="Usa"/>
    <s v="Emily White"/>
  </r>
  <r>
    <n v="10040"/>
    <x v="0"/>
    <x v="1"/>
    <x v="39"/>
    <x v="1"/>
    <x v="2"/>
    <x v="1"/>
    <n v="17"/>
    <n v="218"/>
    <n v="109000"/>
    <n v="13080"/>
    <s v="Fevereiro"/>
    <s v="Canada"/>
    <s v="Jane Doe"/>
  </r>
  <r>
    <n v="10041"/>
    <x v="0"/>
    <x v="1"/>
    <x v="40"/>
    <x v="2"/>
    <x v="2"/>
    <x v="2"/>
    <n v="7"/>
    <n v="487"/>
    <n v="121750"/>
    <n v="35307.5"/>
    <s v="Fevereiro"/>
    <s v="Australia"/>
    <s v="Jane Doe"/>
  </r>
  <r>
    <n v="10042"/>
    <x v="0"/>
    <x v="1"/>
    <x v="41"/>
    <x v="1"/>
    <x v="1"/>
    <x v="4"/>
    <n v="6"/>
    <n v="87"/>
    <n v="30450"/>
    <n v="10048.5"/>
    <s v="Fevereiro"/>
    <s v="Canada"/>
    <s v="James Brown"/>
  </r>
  <r>
    <n v="10043"/>
    <x v="0"/>
    <x v="1"/>
    <x v="42"/>
    <x v="1"/>
    <x v="4"/>
    <x v="1"/>
    <n v="16"/>
    <n v="174"/>
    <n v="87000"/>
    <n v="18270"/>
    <s v="Fevereiro"/>
    <s v="Canada"/>
    <s v="Liam Lee"/>
  </r>
  <r>
    <n v="10044"/>
    <x v="0"/>
    <x v="1"/>
    <x v="43"/>
    <x v="2"/>
    <x v="1"/>
    <x v="4"/>
    <n v="20"/>
    <n v="200"/>
    <n v="70000"/>
    <n v="11900"/>
    <s v="Fevereiro"/>
    <s v="Australia"/>
    <s v="James Brown"/>
  </r>
  <r>
    <n v="10045"/>
    <x v="0"/>
    <x v="1"/>
    <x v="44"/>
    <x v="3"/>
    <x v="4"/>
    <x v="3"/>
    <n v="27"/>
    <n v="468"/>
    <n v="397800"/>
    <n v="159120"/>
    <s v="Fevereiro"/>
    <s v="New Zealand"/>
    <s v="Liam Lee"/>
  </r>
  <r>
    <n v="10046"/>
    <x v="0"/>
    <x v="1"/>
    <x v="45"/>
    <x v="0"/>
    <x v="2"/>
    <x v="2"/>
    <n v="1"/>
    <n v="19"/>
    <n v="4750"/>
    <n v="807.50000000000011"/>
    <s v="Fevereiro"/>
    <s v="Usa"/>
    <s v="Jane Doe"/>
  </r>
  <r>
    <n v="10047"/>
    <x v="0"/>
    <x v="1"/>
    <x v="46"/>
    <x v="0"/>
    <x v="0"/>
    <x v="3"/>
    <n v="18"/>
    <n v="433"/>
    <n v="368050"/>
    <n v="40485.5"/>
    <s v="Fevereiro"/>
    <s v="Usa"/>
    <s v="Emily White"/>
  </r>
  <r>
    <n v="10048"/>
    <x v="0"/>
    <x v="1"/>
    <x v="47"/>
    <x v="3"/>
    <x v="2"/>
    <x v="1"/>
    <n v="9"/>
    <n v="133"/>
    <n v="66500"/>
    <n v="24605"/>
    <s v="Fevereiro"/>
    <s v="New Zealand"/>
    <s v="Jane Doe"/>
  </r>
  <r>
    <n v="10049"/>
    <x v="0"/>
    <x v="1"/>
    <x v="48"/>
    <x v="1"/>
    <x v="3"/>
    <x v="3"/>
    <n v="1"/>
    <n v="18"/>
    <n v="15300"/>
    <n v="2601"/>
    <s v="Fevereiro"/>
    <s v="Canada"/>
    <s v="John Smith"/>
  </r>
  <r>
    <n v="10050"/>
    <x v="0"/>
    <x v="1"/>
    <x v="49"/>
    <x v="4"/>
    <x v="0"/>
    <x v="4"/>
    <n v="12"/>
    <n v="130"/>
    <n v="45500"/>
    <n v="15015"/>
    <s v="Fevereiro"/>
    <s v="Uk"/>
    <s v="Emily White"/>
  </r>
  <r>
    <n v="10051"/>
    <x v="0"/>
    <x v="1"/>
    <x v="50"/>
    <x v="4"/>
    <x v="1"/>
    <x v="0"/>
    <n v="33"/>
    <n v="408"/>
    <n v="306000"/>
    <n v="88740"/>
    <s v="Fevereiro"/>
    <s v="Uk"/>
    <s v="James Brown"/>
  </r>
  <r>
    <n v="10052"/>
    <x v="0"/>
    <x v="1"/>
    <x v="51"/>
    <x v="3"/>
    <x v="1"/>
    <x v="2"/>
    <n v="3"/>
    <n v="184"/>
    <n v="46000"/>
    <n v="7820.0000000000009"/>
    <s v="Fevereiro"/>
    <s v="New Zealand"/>
    <s v="James Brown"/>
  </r>
  <r>
    <n v="10053"/>
    <x v="0"/>
    <x v="1"/>
    <x v="52"/>
    <x v="4"/>
    <x v="2"/>
    <x v="4"/>
    <n v="16"/>
    <n v="199"/>
    <n v="69650"/>
    <n v="9751.0000000000018"/>
    <s v="Fevereiro"/>
    <s v="Uk"/>
    <s v="Jane Doe"/>
  </r>
  <r>
    <n v="10054"/>
    <x v="0"/>
    <x v="1"/>
    <x v="53"/>
    <x v="3"/>
    <x v="2"/>
    <x v="3"/>
    <n v="9"/>
    <n v="479"/>
    <n v="407150"/>
    <n v="138431"/>
    <s v="Fevereiro"/>
    <s v="New Zealand"/>
    <s v="Jane Doe"/>
  </r>
  <r>
    <n v="10055"/>
    <x v="0"/>
    <x v="1"/>
    <x v="54"/>
    <x v="3"/>
    <x v="3"/>
    <x v="3"/>
    <n v="37"/>
    <n v="400"/>
    <n v="340000"/>
    <n v="98600"/>
    <s v="Fevereiro"/>
    <s v="New Zealand"/>
    <s v="John Smith"/>
  </r>
  <r>
    <n v="10056"/>
    <x v="0"/>
    <x v="1"/>
    <x v="55"/>
    <x v="0"/>
    <x v="2"/>
    <x v="2"/>
    <n v="2"/>
    <n v="51"/>
    <n v="12750"/>
    <n v="3442.5"/>
    <s v="Fevereiro"/>
    <s v="Usa"/>
    <s v="Jane Doe"/>
  </r>
  <r>
    <n v="10057"/>
    <x v="0"/>
    <x v="1"/>
    <x v="56"/>
    <x v="2"/>
    <x v="1"/>
    <x v="4"/>
    <n v="1"/>
    <n v="20"/>
    <n v="7000"/>
    <n v="1960.0000000000002"/>
    <s v="Fevereiro"/>
    <s v="Australia"/>
    <s v="James Brown"/>
  </r>
  <r>
    <n v="10058"/>
    <x v="0"/>
    <x v="1"/>
    <x v="57"/>
    <x v="1"/>
    <x v="3"/>
    <x v="3"/>
    <n v="7"/>
    <n v="131"/>
    <n v="111350"/>
    <n v="21156.5"/>
    <s v="Fevereiro"/>
    <s v="Canada"/>
    <s v="John Smith"/>
  </r>
  <r>
    <n v="10059"/>
    <x v="0"/>
    <x v="1"/>
    <x v="58"/>
    <x v="4"/>
    <x v="3"/>
    <x v="2"/>
    <n v="15"/>
    <n v="233"/>
    <n v="58250"/>
    <n v="15727.500000000002"/>
    <s v="Fevereiro"/>
    <s v="Uk"/>
    <s v="John Smith"/>
  </r>
  <r>
    <n v="10060"/>
    <x v="0"/>
    <x v="2"/>
    <x v="59"/>
    <x v="2"/>
    <x v="0"/>
    <x v="0"/>
    <n v="5"/>
    <n v="405"/>
    <n v="303750"/>
    <n v="109350"/>
    <s v="Março"/>
    <s v="Australia"/>
    <s v="Emily White"/>
  </r>
  <r>
    <n v="10061"/>
    <x v="0"/>
    <x v="2"/>
    <x v="60"/>
    <x v="0"/>
    <x v="2"/>
    <x v="0"/>
    <n v="9"/>
    <n v="101"/>
    <n v="75750"/>
    <n v="33330"/>
    <s v="Março"/>
    <s v="Usa"/>
    <s v="Jane Doe"/>
  </r>
  <r>
    <n v="10062"/>
    <x v="0"/>
    <x v="2"/>
    <x v="61"/>
    <x v="4"/>
    <x v="4"/>
    <x v="4"/>
    <n v="14"/>
    <n v="258"/>
    <n v="90300"/>
    <n v="27090"/>
    <s v="Março"/>
    <s v="Uk"/>
    <s v="Liam Lee"/>
  </r>
  <r>
    <n v="10063"/>
    <x v="0"/>
    <x v="2"/>
    <x v="62"/>
    <x v="3"/>
    <x v="0"/>
    <x v="1"/>
    <n v="14"/>
    <n v="147"/>
    <n v="73500"/>
    <n v="31605"/>
    <s v="Março"/>
    <s v="New Zealand"/>
    <s v="Emily White"/>
  </r>
  <r>
    <n v="10064"/>
    <x v="0"/>
    <x v="2"/>
    <x v="63"/>
    <x v="2"/>
    <x v="1"/>
    <x v="4"/>
    <n v="8"/>
    <n v="362"/>
    <n v="126700"/>
    <n v="49413"/>
    <s v="Março"/>
    <s v="Australia"/>
    <s v="James Brown"/>
  </r>
  <r>
    <n v="10065"/>
    <x v="0"/>
    <x v="2"/>
    <x v="64"/>
    <x v="2"/>
    <x v="1"/>
    <x v="1"/>
    <n v="3"/>
    <n v="212"/>
    <n v="106000"/>
    <n v="43460"/>
    <s v="Março"/>
    <s v="Australia"/>
    <s v="James Brown"/>
  </r>
  <r>
    <n v="10066"/>
    <x v="0"/>
    <x v="2"/>
    <x v="65"/>
    <x v="4"/>
    <x v="2"/>
    <x v="3"/>
    <n v="3"/>
    <n v="61"/>
    <n v="51850"/>
    <n v="22814"/>
    <s v="Março"/>
    <s v="Uk"/>
    <s v="Jane Doe"/>
  </r>
  <r>
    <n v="10067"/>
    <x v="0"/>
    <x v="2"/>
    <x v="66"/>
    <x v="2"/>
    <x v="1"/>
    <x v="4"/>
    <n v="4"/>
    <n v="41"/>
    <n v="14350"/>
    <n v="6457.5"/>
    <s v="Março"/>
    <s v="Australia"/>
    <s v="James Brown"/>
  </r>
  <r>
    <n v="10068"/>
    <x v="0"/>
    <x v="2"/>
    <x v="67"/>
    <x v="1"/>
    <x v="1"/>
    <x v="1"/>
    <n v="18"/>
    <n v="332"/>
    <n v="166000"/>
    <n v="58099.999999999993"/>
    <s v="Março"/>
    <s v="Canada"/>
    <s v="James Brown"/>
  </r>
  <r>
    <n v="10069"/>
    <x v="0"/>
    <x v="2"/>
    <x v="68"/>
    <x v="4"/>
    <x v="0"/>
    <x v="3"/>
    <n v="3"/>
    <n v="33"/>
    <n v="28050"/>
    <n v="7012.5"/>
    <s v="Março"/>
    <s v="Uk"/>
    <s v="Emily White"/>
  </r>
  <r>
    <n v="10070"/>
    <x v="0"/>
    <x v="2"/>
    <x v="69"/>
    <x v="1"/>
    <x v="1"/>
    <x v="1"/>
    <n v="1"/>
    <n v="13"/>
    <n v="6500"/>
    <n v="1690"/>
    <s v="Março"/>
    <s v="Canada"/>
    <s v="James Brown"/>
  </r>
  <r>
    <n v="10071"/>
    <x v="0"/>
    <x v="2"/>
    <x v="70"/>
    <x v="2"/>
    <x v="3"/>
    <x v="1"/>
    <n v="1"/>
    <n v="58"/>
    <n v="29000"/>
    <n v="6670"/>
    <s v="Março"/>
    <s v="Australia"/>
    <s v="John Smith"/>
  </r>
  <r>
    <n v="10072"/>
    <x v="0"/>
    <x v="2"/>
    <x v="71"/>
    <x v="0"/>
    <x v="0"/>
    <x v="2"/>
    <n v="4"/>
    <n v="40"/>
    <n v="10000"/>
    <n v="2300"/>
    <s v="Março"/>
    <s v="Usa"/>
    <s v="Emily White"/>
  </r>
  <r>
    <n v="10073"/>
    <x v="0"/>
    <x v="2"/>
    <x v="72"/>
    <x v="4"/>
    <x v="4"/>
    <x v="1"/>
    <n v="2"/>
    <n v="43"/>
    <n v="21500"/>
    <n v="7095"/>
    <s v="Março"/>
    <s v="Uk"/>
    <s v="Liam Lee"/>
  </r>
  <r>
    <n v="10074"/>
    <x v="0"/>
    <x v="2"/>
    <x v="73"/>
    <x v="3"/>
    <x v="0"/>
    <x v="3"/>
    <n v="19"/>
    <n v="293"/>
    <n v="249050"/>
    <n v="92148.5"/>
    <s v="Março"/>
    <s v="New Zealand"/>
    <s v="Emily White"/>
  </r>
  <r>
    <n v="10075"/>
    <x v="0"/>
    <x v="2"/>
    <x v="74"/>
    <x v="2"/>
    <x v="2"/>
    <x v="1"/>
    <n v="19"/>
    <n v="387"/>
    <n v="193500"/>
    <n v="71595"/>
    <s v="Março"/>
    <s v="Australia"/>
    <s v="Jane Doe"/>
  </r>
  <r>
    <n v="10076"/>
    <x v="0"/>
    <x v="2"/>
    <x v="75"/>
    <x v="3"/>
    <x v="0"/>
    <x v="0"/>
    <n v="16"/>
    <n v="413"/>
    <n v="309750"/>
    <n v="96022.5"/>
    <s v="Março"/>
    <s v="New Zealand"/>
    <s v="Emily White"/>
  </r>
  <r>
    <n v="10077"/>
    <x v="0"/>
    <x v="2"/>
    <x v="76"/>
    <x v="3"/>
    <x v="2"/>
    <x v="4"/>
    <n v="21"/>
    <n v="297"/>
    <n v="103950"/>
    <n v="46777.5"/>
    <s v="Março"/>
    <s v="New Zealand"/>
    <s v="Jane Doe"/>
  </r>
  <r>
    <n v="10078"/>
    <x v="0"/>
    <x v="2"/>
    <x v="77"/>
    <x v="3"/>
    <x v="3"/>
    <x v="4"/>
    <n v="8"/>
    <n v="342"/>
    <n v="119700"/>
    <n v="35910"/>
    <s v="Março"/>
    <s v="New Zealand"/>
    <s v="John Smith"/>
  </r>
  <r>
    <n v="10079"/>
    <x v="0"/>
    <x v="2"/>
    <x v="78"/>
    <x v="1"/>
    <x v="3"/>
    <x v="0"/>
    <n v="27"/>
    <n v="280"/>
    <n v="210000"/>
    <n v="46200"/>
    <s v="Março"/>
    <s v="Canada"/>
    <s v="John Smith"/>
  </r>
  <r>
    <n v="10080"/>
    <x v="0"/>
    <x v="2"/>
    <x v="79"/>
    <x v="3"/>
    <x v="4"/>
    <x v="2"/>
    <n v="25"/>
    <n v="428"/>
    <n v="107000"/>
    <n v="31029.999999999996"/>
    <s v="Março"/>
    <s v="New Zealand"/>
    <s v="Liam Lee"/>
  </r>
  <r>
    <n v="10081"/>
    <x v="0"/>
    <x v="2"/>
    <x v="80"/>
    <x v="4"/>
    <x v="0"/>
    <x v="4"/>
    <n v="22"/>
    <n v="439"/>
    <n v="153650"/>
    <n v="69142.5"/>
    <s v="Março"/>
    <s v="Uk"/>
    <s v="Emily White"/>
  </r>
  <r>
    <n v="10082"/>
    <x v="0"/>
    <x v="2"/>
    <x v="81"/>
    <x v="4"/>
    <x v="4"/>
    <x v="1"/>
    <n v="21"/>
    <n v="399"/>
    <n v="199500"/>
    <n v="83790"/>
    <s v="Março"/>
    <s v="Uk"/>
    <s v="Liam Lee"/>
  </r>
  <r>
    <n v="10083"/>
    <x v="0"/>
    <x v="2"/>
    <x v="82"/>
    <x v="3"/>
    <x v="3"/>
    <x v="0"/>
    <n v="18"/>
    <n v="395"/>
    <n v="296250"/>
    <n v="133312.5"/>
    <s v="Março"/>
    <s v="New Zealand"/>
    <s v="John Smith"/>
  </r>
  <r>
    <n v="10084"/>
    <x v="0"/>
    <x v="2"/>
    <x v="83"/>
    <x v="3"/>
    <x v="3"/>
    <x v="0"/>
    <n v="2"/>
    <n v="41"/>
    <n v="30750"/>
    <n v="4305"/>
    <s v="Março"/>
    <s v="New Zealand"/>
    <s v="John Smith"/>
  </r>
  <r>
    <n v="10085"/>
    <x v="0"/>
    <x v="2"/>
    <x v="84"/>
    <x v="0"/>
    <x v="4"/>
    <x v="2"/>
    <n v="6"/>
    <n v="88"/>
    <n v="22000"/>
    <n v="4620"/>
    <s v="Março"/>
    <s v="Usa"/>
    <s v="Liam Lee"/>
  </r>
  <r>
    <n v="10086"/>
    <x v="0"/>
    <x v="2"/>
    <x v="85"/>
    <x v="0"/>
    <x v="3"/>
    <x v="1"/>
    <n v="44"/>
    <n v="471"/>
    <n v="235500"/>
    <n v="89490"/>
    <s v="Março"/>
    <s v="Usa"/>
    <s v="John Smith"/>
  </r>
  <r>
    <n v="10087"/>
    <x v="0"/>
    <x v="2"/>
    <x v="86"/>
    <x v="0"/>
    <x v="3"/>
    <x v="3"/>
    <n v="1"/>
    <n v="84"/>
    <n v="71400"/>
    <n v="9282"/>
    <s v="Março"/>
    <s v="Usa"/>
    <s v="John Smith"/>
  </r>
  <r>
    <n v="10088"/>
    <x v="0"/>
    <x v="2"/>
    <x v="87"/>
    <x v="1"/>
    <x v="0"/>
    <x v="4"/>
    <n v="5"/>
    <n v="73"/>
    <n v="25550"/>
    <n v="8431.5"/>
    <s v="Março"/>
    <s v="Canada"/>
    <s v="Emily White"/>
  </r>
  <r>
    <n v="10089"/>
    <x v="0"/>
    <x v="2"/>
    <x v="88"/>
    <x v="1"/>
    <x v="4"/>
    <x v="1"/>
    <n v="7"/>
    <n v="441"/>
    <n v="220500"/>
    <n v="22050"/>
    <s v="Março"/>
    <s v="Canada"/>
    <s v="Liam Lee"/>
  </r>
  <r>
    <n v="10090"/>
    <x v="0"/>
    <x v="2"/>
    <x v="89"/>
    <x v="4"/>
    <x v="2"/>
    <x v="4"/>
    <n v="27"/>
    <n v="361"/>
    <n v="126350"/>
    <n v="51803.5"/>
    <s v="Março"/>
    <s v="Uk"/>
    <s v="Jane Doe"/>
  </r>
  <r>
    <n v="10091"/>
    <x v="0"/>
    <x v="3"/>
    <x v="90"/>
    <x v="3"/>
    <x v="0"/>
    <x v="1"/>
    <n v="30"/>
    <n v="330"/>
    <n v="165000"/>
    <n v="41250"/>
    <s v="Abril"/>
    <s v="New Zealand"/>
    <s v="Emily White"/>
  </r>
  <r>
    <n v="10092"/>
    <x v="0"/>
    <x v="3"/>
    <x v="91"/>
    <x v="3"/>
    <x v="4"/>
    <x v="0"/>
    <n v="3"/>
    <n v="195"/>
    <n v="146250"/>
    <n v="62887.5"/>
    <s v="Abril"/>
    <s v="New Zealand"/>
    <s v="Liam Lee"/>
  </r>
  <r>
    <n v="10093"/>
    <x v="0"/>
    <x v="3"/>
    <x v="92"/>
    <x v="1"/>
    <x v="2"/>
    <x v="3"/>
    <n v="7"/>
    <n v="117"/>
    <n v="99450"/>
    <n v="34807.5"/>
    <s v="Abril"/>
    <s v="Canada"/>
    <s v="Jane Doe"/>
  </r>
  <r>
    <n v="10094"/>
    <x v="0"/>
    <x v="3"/>
    <x v="93"/>
    <x v="1"/>
    <x v="1"/>
    <x v="4"/>
    <n v="38"/>
    <n v="477"/>
    <n v="166950"/>
    <n v="61771.5"/>
    <s v="Abril"/>
    <s v="Canada"/>
    <s v="James Brown"/>
  </r>
  <r>
    <n v="10095"/>
    <x v="0"/>
    <x v="3"/>
    <x v="94"/>
    <x v="3"/>
    <x v="4"/>
    <x v="3"/>
    <n v="8"/>
    <n v="329"/>
    <n v="279650"/>
    <n v="86691.5"/>
    <s v="Abril"/>
    <s v="New Zealand"/>
    <s v="Liam Lee"/>
  </r>
  <r>
    <n v="10096"/>
    <x v="0"/>
    <x v="3"/>
    <x v="95"/>
    <x v="4"/>
    <x v="2"/>
    <x v="4"/>
    <n v="7"/>
    <n v="280"/>
    <n v="98000"/>
    <n v="13720.000000000002"/>
    <s v="Abril"/>
    <s v="Uk"/>
    <s v="Jane Doe"/>
  </r>
  <r>
    <n v="10097"/>
    <x v="0"/>
    <x v="3"/>
    <x v="96"/>
    <x v="3"/>
    <x v="3"/>
    <x v="0"/>
    <n v="22"/>
    <n v="338"/>
    <n v="253500"/>
    <n v="73515"/>
    <s v="Abril"/>
    <s v="New Zealand"/>
    <s v="John Smith"/>
  </r>
  <r>
    <n v="10098"/>
    <x v="0"/>
    <x v="3"/>
    <x v="97"/>
    <x v="4"/>
    <x v="3"/>
    <x v="1"/>
    <n v="4"/>
    <n v="151"/>
    <n v="75500"/>
    <n v="18875"/>
    <s v="Abril"/>
    <s v="Uk"/>
    <s v="John Smith"/>
  </r>
  <r>
    <n v="10099"/>
    <x v="0"/>
    <x v="3"/>
    <x v="98"/>
    <x v="2"/>
    <x v="4"/>
    <x v="1"/>
    <n v="2"/>
    <n v="134"/>
    <n v="67000"/>
    <n v="18760"/>
    <s v="Abril"/>
    <s v="Australia"/>
    <s v="Liam Lee"/>
  </r>
  <r>
    <n v="10100"/>
    <x v="0"/>
    <x v="3"/>
    <x v="99"/>
    <x v="1"/>
    <x v="4"/>
    <x v="0"/>
    <n v="25"/>
    <n v="435"/>
    <n v="326250"/>
    <n v="130500"/>
    <s v="Abril"/>
    <s v="Canada"/>
    <s v="Liam Lee"/>
  </r>
  <r>
    <n v="10101"/>
    <x v="0"/>
    <x v="3"/>
    <x v="100"/>
    <x v="3"/>
    <x v="1"/>
    <x v="3"/>
    <n v="15"/>
    <n v="154"/>
    <n v="130900"/>
    <n v="26180"/>
    <s v="Abril"/>
    <s v="New Zealand"/>
    <s v="James Brown"/>
  </r>
  <r>
    <n v="10102"/>
    <x v="0"/>
    <x v="3"/>
    <x v="101"/>
    <x v="2"/>
    <x v="4"/>
    <x v="0"/>
    <n v="6"/>
    <n v="465"/>
    <n v="348750"/>
    <n v="139500"/>
    <s v="Abril"/>
    <s v="Australia"/>
    <s v="Liam Lee"/>
  </r>
  <r>
    <n v="10103"/>
    <x v="0"/>
    <x v="3"/>
    <x v="102"/>
    <x v="0"/>
    <x v="3"/>
    <x v="4"/>
    <n v="1"/>
    <n v="47"/>
    <n v="16450"/>
    <n v="3454.5"/>
    <s v="Abril"/>
    <s v="Usa"/>
    <s v="John Smith"/>
  </r>
  <r>
    <n v="10104"/>
    <x v="0"/>
    <x v="3"/>
    <x v="103"/>
    <x v="4"/>
    <x v="2"/>
    <x v="4"/>
    <n v="26"/>
    <n v="268"/>
    <n v="93800"/>
    <n v="41272"/>
    <s v="Abril"/>
    <s v="Uk"/>
    <s v="Jane Doe"/>
  </r>
  <r>
    <n v="10105"/>
    <x v="0"/>
    <x v="3"/>
    <x v="104"/>
    <x v="2"/>
    <x v="2"/>
    <x v="3"/>
    <n v="3"/>
    <n v="31"/>
    <n v="26350"/>
    <n v="4479.5"/>
    <s v="Abril"/>
    <s v="Australia"/>
    <s v="Jane Doe"/>
  </r>
  <r>
    <n v="10106"/>
    <x v="0"/>
    <x v="3"/>
    <x v="105"/>
    <x v="3"/>
    <x v="2"/>
    <x v="2"/>
    <n v="8"/>
    <n v="141"/>
    <n v="35250"/>
    <n v="11985"/>
    <s v="Abril"/>
    <s v="New Zealand"/>
    <s v="Jane Doe"/>
  </r>
  <r>
    <n v="10107"/>
    <x v="0"/>
    <x v="3"/>
    <x v="106"/>
    <x v="4"/>
    <x v="4"/>
    <x v="1"/>
    <n v="5"/>
    <n v="232"/>
    <n v="116000"/>
    <n v="48720"/>
    <s v="Abril"/>
    <s v="Uk"/>
    <s v="Liam Lee"/>
  </r>
  <r>
    <n v="10108"/>
    <x v="0"/>
    <x v="3"/>
    <x v="107"/>
    <x v="4"/>
    <x v="3"/>
    <x v="2"/>
    <n v="13"/>
    <n v="166"/>
    <n v="41500"/>
    <n v="12865"/>
    <s v="Abril"/>
    <s v="Uk"/>
    <s v="John Smith"/>
  </r>
  <r>
    <n v="10109"/>
    <x v="0"/>
    <x v="3"/>
    <x v="108"/>
    <x v="1"/>
    <x v="1"/>
    <x v="0"/>
    <n v="13"/>
    <n v="495"/>
    <n v="371250"/>
    <n v="66825"/>
    <s v="Abril"/>
    <s v="Canada"/>
    <s v="James Brown"/>
  </r>
  <r>
    <n v="10110"/>
    <x v="0"/>
    <x v="3"/>
    <x v="109"/>
    <x v="0"/>
    <x v="4"/>
    <x v="3"/>
    <n v="29"/>
    <n v="355"/>
    <n v="301750"/>
    <n v="93542.5"/>
    <s v="Abril"/>
    <s v="Usa"/>
    <s v="Liam Lee"/>
  </r>
  <r>
    <n v="10111"/>
    <x v="0"/>
    <x v="3"/>
    <x v="110"/>
    <x v="2"/>
    <x v="2"/>
    <x v="2"/>
    <n v="44"/>
    <n v="459"/>
    <n v="114750"/>
    <n v="42457.5"/>
    <s v="Abril"/>
    <s v="Australia"/>
    <s v="Jane Doe"/>
  </r>
  <r>
    <n v="10112"/>
    <x v="0"/>
    <x v="3"/>
    <x v="111"/>
    <x v="3"/>
    <x v="2"/>
    <x v="1"/>
    <n v="20"/>
    <n v="420"/>
    <n v="210000"/>
    <n v="35700"/>
    <s v="Abril"/>
    <s v="New Zealand"/>
    <s v="Jane Doe"/>
  </r>
  <r>
    <n v="10113"/>
    <x v="0"/>
    <x v="3"/>
    <x v="112"/>
    <x v="2"/>
    <x v="2"/>
    <x v="0"/>
    <n v="10"/>
    <n v="237"/>
    <n v="177750"/>
    <n v="19552.5"/>
    <s v="Abril"/>
    <s v="Australia"/>
    <s v="Jane Doe"/>
  </r>
  <r>
    <n v="10114"/>
    <x v="0"/>
    <x v="3"/>
    <x v="113"/>
    <x v="3"/>
    <x v="3"/>
    <x v="0"/>
    <n v="15"/>
    <n v="343"/>
    <n v="257250"/>
    <n v="33442.5"/>
    <s v="Abril"/>
    <s v="New Zealand"/>
    <s v="John Smith"/>
  </r>
  <r>
    <n v="10115"/>
    <x v="0"/>
    <x v="3"/>
    <x v="114"/>
    <x v="1"/>
    <x v="0"/>
    <x v="0"/>
    <n v="17"/>
    <n v="189"/>
    <n v="141750"/>
    <n v="56700"/>
    <s v="Abril"/>
    <s v="Canada"/>
    <s v="Emily White"/>
  </r>
  <r>
    <n v="10116"/>
    <x v="0"/>
    <x v="3"/>
    <x v="115"/>
    <x v="4"/>
    <x v="3"/>
    <x v="3"/>
    <n v="27"/>
    <n v="338"/>
    <n v="287300"/>
    <n v="77571"/>
    <s v="Abril"/>
    <s v="Uk"/>
    <s v="John Smith"/>
  </r>
  <r>
    <n v="10117"/>
    <x v="0"/>
    <x v="3"/>
    <x v="116"/>
    <x v="3"/>
    <x v="3"/>
    <x v="0"/>
    <n v="22"/>
    <n v="432"/>
    <n v="324000"/>
    <n v="68040"/>
    <s v="Abril"/>
    <s v="New Zealand"/>
    <s v="John Smith"/>
  </r>
  <r>
    <n v="10118"/>
    <x v="0"/>
    <x v="3"/>
    <x v="117"/>
    <x v="0"/>
    <x v="2"/>
    <x v="4"/>
    <n v="16"/>
    <n v="494"/>
    <n v="172900"/>
    <n v="53599"/>
    <s v="Abril"/>
    <s v="Usa"/>
    <s v="Jane Doe"/>
  </r>
  <r>
    <n v="10119"/>
    <x v="0"/>
    <x v="3"/>
    <x v="118"/>
    <x v="4"/>
    <x v="4"/>
    <x v="2"/>
    <n v="9"/>
    <n v="411"/>
    <n v="102750"/>
    <n v="30825"/>
    <s v="Abril"/>
    <s v="Uk"/>
    <s v="Liam Lee"/>
  </r>
  <r>
    <n v="10120"/>
    <x v="0"/>
    <x v="3"/>
    <x v="119"/>
    <x v="0"/>
    <x v="2"/>
    <x v="1"/>
    <n v="21"/>
    <n v="344"/>
    <n v="172000"/>
    <n v="58480.000000000007"/>
    <s v="Abril"/>
    <s v="Usa"/>
    <s v="Jane Doe"/>
  </r>
  <r>
    <n v="10121"/>
    <x v="0"/>
    <x v="4"/>
    <x v="120"/>
    <x v="4"/>
    <x v="4"/>
    <x v="1"/>
    <n v="8"/>
    <n v="308"/>
    <n v="154000"/>
    <n v="66220"/>
    <s v="Maio"/>
    <s v="Uk"/>
    <s v="Liam Lee"/>
  </r>
  <r>
    <n v="10122"/>
    <x v="0"/>
    <x v="4"/>
    <x v="121"/>
    <x v="4"/>
    <x v="2"/>
    <x v="4"/>
    <n v="18"/>
    <n v="220"/>
    <n v="77000"/>
    <n v="23100"/>
    <s v="Maio"/>
    <s v="Uk"/>
    <s v="Jane Doe"/>
  </r>
  <r>
    <n v="10123"/>
    <x v="0"/>
    <x v="4"/>
    <x v="122"/>
    <x v="1"/>
    <x v="0"/>
    <x v="3"/>
    <n v="3"/>
    <n v="64"/>
    <n v="54400"/>
    <n v="5984"/>
    <s v="Maio"/>
    <s v="Canada"/>
    <s v="Emily White"/>
  </r>
  <r>
    <n v="10124"/>
    <x v="0"/>
    <x v="4"/>
    <x v="123"/>
    <x v="4"/>
    <x v="2"/>
    <x v="1"/>
    <n v="8"/>
    <n v="459"/>
    <n v="229500"/>
    <n v="29835"/>
    <s v="Maio"/>
    <s v="Uk"/>
    <s v="Jane Doe"/>
  </r>
  <r>
    <n v="10125"/>
    <x v="0"/>
    <x v="4"/>
    <x v="124"/>
    <x v="2"/>
    <x v="3"/>
    <x v="3"/>
    <n v="4"/>
    <n v="257"/>
    <n v="218450"/>
    <n v="96118"/>
    <s v="Maio"/>
    <s v="Australia"/>
    <s v="John Smith"/>
  </r>
  <r>
    <n v="10126"/>
    <x v="0"/>
    <x v="4"/>
    <x v="125"/>
    <x v="0"/>
    <x v="3"/>
    <x v="0"/>
    <n v="10"/>
    <n v="132"/>
    <n v="99000"/>
    <n v="21780"/>
    <s v="Maio"/>
    <s v="Usa"/>
    <s v="John Smith"/>
  </r>
  <r>
    <n v="10127"/>
    <x v="0"/>
    <x v="4"/>
    <x v="126"/>
    <x v="4"/>
    <x v="3"/>
    <x v="0"/>
    <n v="3"/>
    <n v="61"/>
    <n v="45750"/>
    <n v="12810.000000000002"/>
    <s v="Maio"/>
    <s v="Uk"/>
    <s v="John Smith"/>
  </r>
  <r>
    <n v="10128"/>
    <x v="0"/>
    <x v="4"/>
    <x v="127"/>
    <x v="3"/>
    <x v="1"/>
    <x v="4"/>
    <n v="34"/>
    <n v="461"/>
    <n v="161350"/>
    <n v="56472.5"/>
    <s v="Maio"/>
    <s v="New Zealand"/>
    <s v="James Brown"/>
  </r>
  <r>
    <n v="10129"/>
    <x v="0"/>
    <x v="4"/>
    <x v="128"/>
    <x v="1"/>
    <x v="2"/>
    <x v="2"/>
    <n v="16"/>
    <n v="272"/>
    <n v="68000"/>
    <n v="24480"/>
    <s v="Maio"/>
    <s v="Canada"/>
    <s v="Jane Doe"/>
  </r>
  <r>
    <n v="10130"/>
    <x v="0"/>
    <x v="4"/>
    <x v="129"/>
    <x v="3"/>
    <x v="1"/>
    <x v="0"/>
    <n v="25"/>
    <n v="500"/>
    <n v="375000"/>
    <n v="82500"/>
    <s v="Maio"/>
    <s v="New Zealand"/>
    <s v="James Brown"/>
  </r>
  <r>
    <n v="10131"/>
    <x v="0"/>
    <x v="4"/>
    <x v="130"/>
    <x v="0"/>
    <x v="2"/>
    <x v="1"/>
    <n v="18"/>
    <n v="368"/>
    <n v="184000"/>
    <n v="64399.999999999993"/>
    <s v="Maio"/>
    <s v="Usa"/>
    <s v="Jane Doe"/>
  </r>
  <r>
    <n v="10132"/>
    <x v="0"/>
    <x v="4"/>
    <x v="131"/>
    <x v="1"/>
    <x v="1"/>
    <x v="0"/>
    <n v="42"/>
    <n v="473"/>
    <n v="354750"/>
    <n v="60307.500000000007"/>
    <s v="Maio"/>
    <s v="Canada"/>
    <s v="James Brown"/>
  </r>
  <r>
    <n v="10133"/>
    <x v="0"/>
    <x v="4"/>
    <x v="132"/>
    <x v="0"/>
    <x v="3"/>
    <x v="4"/>
    <n v="31"/>
    <n v="439"/>
    <n v="153650"/>
    <n v="30730"/>
    <s v="Maio"/>
    <s v="Usa"/>
    <s v="John Smith"/>
  </r>
  <r>
    <n v="10134"/>
    <x v="0"/>
    <x v="4"/>
    <x v="133"/>
    <x v="1"/>
    <x v="1"/>
    <x v="3"/>
    <n v="35"/>
    <n v="445"/>
    <n v="378250"/>
    <n v="121040"/>
    <s v="Maio"/>
    <s v="Canada"/>
    <s v="James Brown"/>
  </r>
  <r>
    <n v="10135"/>
    <x v="0"/>
    <x v="4"/>
    <x v="134"/>
    <x v="2"/>
    <x v="3"/>
    <x v="3"/>
    <n v="37"/>
    <n v="413"/>
    <n v="351050"/>
    <n v="122867.49999999999"/>
    <s v="Maio"/>
    <s v="Australia"/>
    <s v="John Smith"/>
  </r>
  <r>
    <n v="10136"/>
    <x v="0"/>
    <x v="4"/>
    <x v="135"/>
    <x v="1"/>
    <x v="4"/>
    <x v="3"/>
    <n v="24"/>
    <n v="480"/>
    <n v="408000"/>
    <n v="65280"/>
    <s v="Maio"/>
    <s v="Canada"/>
    <s v="Liam Lee"/>
  </r>
  <r>
    <n v="10137"/>
    <x v="0"/>
    <x v="4"/>
    <x v="136"/>
    <x v="0"/>
    <x v="3"/>
    <x v="1"/>
    <n v="2"/>
    <n v="37"/>
    <n v="18500"/>
    <n v="4255"/>
    <s v="Maio"/>
    <s v="Usa"/>
    <s v="John Smith"/>
  </r>
  <r>
    <n v="10138"/>
    <x v="0"/>
    <x v="4"/>
    <x v="137"/>
    <x v="1"/>
    <x v="3"/>
    <x v="3"/>
    <n v="5"/>
    <n v="255"/>
    <n v="216750"/>
    <n v="62857.499999999993"/>
    <s v="Maio"/>
    <s v="Canada"/>
    <s v="John Smith"/>
  </r>
  <r>
    <n v="10139"/>
    <x v="0"/>
    <x v="4"/>
    <x v="138"/>
    <x v="4"/>
    <x v="1"/>
    <x v="2"/>
    <n v="29"/>
    <n v="345"/>
    <n v="86250"/>
    <n v="22425"/>
    <s v="Maio"/>
    <s v="Uk"/>
    <s v="James Brown"/>
  </r>
  <r>
    <n v="10140"/>
    <x v="0"/>
    <x v="4"/>
    <x v="139"/>
    <x v="4"/>
    <x v="1"/>
    <x v="0"/>
    <n v="6"/>
    <n v="366"/>
    <n v="274500"/>
    <n v="76860.000000000015"/>
    <s v="Maio"/>
    <s v="Uk"/>
    <s v="James Brown"/>
  </r>
  <r>
    <n v="10141"/>
    <x v="0"/>
    <x v="4"/>
    <x v="140"/>
    <x v="4"/>
    <x v="0"/>
    <x v="1"/>
    <n v="11"/>
    <n v="259"/>
    <n v="129500"/>
    <n v="36260"/>
    <s v="Maio"/>
    <s v="Uk"/>
    <s v="Emily White"/>
  </r>
  <r>
    <n v="10142"/>
    <x v="0"/>
    <x v="4"/>
    <x v="141"/>
    <x v="1"/>
    <x v="1"/>
    <x v="1"/>
    <n v="12"/>
    <n v="337"/>
    <n v="168500"/>
    <n v="50550"/>
    <s v="Maio"/>
    <s v="Canada"/>
    <s v="James Brown"/>
  </r>
  <r>
    <n v="10143"/>
    <x v="0"/>
    <x v="4"/>
    <x v="142"/>
    <x v="3"/>
    <x v="1"/>
    <x v="2"/>
    <n v="7"/>
    <n v="222"/>
    <n v="55500"/>
    <n v="8325"/>
    <s v="Maio"/>
    <s v="New Zealand"/>
    <s v="James Brown"/>
  </r>
  <r>
    <n v="10144"/>
    <x v="0"/>
    <x v="4"/>
    <x v="143"/>
    <x v="0"/>
    <x v="2"/>
    <x v="0"/>
    <n v="5"/>
    <n v="201"/>
    <n v="150750"/>
    <n v="36180"/>
    <s v="Maio"/>
    <s v="Usa"/>
    <s v="Jane Doe"/>
  </r>
  <r>
    <n v="10145"/>
    <x v="0"/>
    <x v="4"/>
    <x v="144"/>
    <x v="2"/>
    <x v="1"/>
    <x v="2"/>
    <n v="16"/>
    <n v="375"/>
    <n v="93750"/>
    <n v="36562.5"/>
    <s v="Maio"/>
    <s v="Australia"/>
    <s v="James Brown"/>
  </r>
  <r>
    <n v="10146"/>
    <x v="0"/>
    <x v="4"/>
    <x v="145"/>
    <x v="4"/>
    <x v="4"/>
    <x v="3"/>
    <n v="10"/>
    <n v="337"/>
    <n v="286450"/>
    <n v="60154.5"/>
    <s v="Maio"/>
    <s v="Uk"/>
    <s v="Liam Lee"/>
  </r>
  <r>
    <n v="10147"/>
    <x v="0"/>
    <x v="4"/>
    <x v="146"/>
    <x v="4"/>
    <x v="3"/>
    <x v="3"/>
    <n v="22"/>
    <n v="285"/>
    <n v="242250"/>
    <n v="99322.5"/>
    <s v="Maio"/>
    <s v="Uk"/>
    <s v="John Smith"/>
  </r>
  <r>
    <n v="10148"/>
    <x v="0"/>
    <x v="4"/>
    <x v="147"/>
    <x v="1"/>
    <x v="1"/>
    <x v="3"/>
    <n v="10"/>
    <n v="104"/>
    <n v="88400"/>
    <n v="20332"/>
    <s v="Maio"/>
    <s v="Canada"/>
    <s v="James Brown"/>
  </r>
  <r>
    <n v="10149"/>
    <x v="0"/>
    <x v="4"/>
    <x v="148"/>
    <x v="3"/>
    <x v="4"/>
    <x v="4"/>
    <n v="11"/>
    <n v="247"/>
    <n v="86450"/>
    <n v="17290"/>
    <s v="Maio"/>
    <s v="New Zealand"/>
    <s v="Liam Lee"/>
  </r>
  <r>
    <n v="10150"/>
    <x v="0"/>
    <x v="4"/>
    <x v="149"/>
    <x v="3"/>
    <x v="2"/>
    <x v="4"/>
    <n v="11"/>
    <n v="190"/>
    <n v="66500"/>
    <n v="25935"/>
    <s v="Maio"/>
    <s v="New Zealand"/>
    <s v="Jane Doe"/>
  </r>
  <r>
    <n v="10151"/>
    <x v="0"/>
    <x v="4"/>
    <x v="150"/>
    <x v="1"/>
    <x v="0"/>
    <x v="1"/>
    <n v="10"/>
    <n v="249"/>
    <n v="124500"/>
    <n v="36105"/>
    <s v="Maio"/>
    <s v="Canada"/>
    <s v="Emily White"/>
  </r>
  <r>
    <n v="10152"/>
    <x v="0"/>
    <x v="5"/>
    <x v="151"/>
    <x v="2"/>
    <x v="1"/>
    <x v="4"/>
    <n v="5"/>
    <n v="63"/>
    <n v="22050"/>
    <n v="9040.5"/>
    <s v="Junho"/>
    <s v="Australia"/>
    <s v="James Brown"/>
  </r>
  <r>
    <n v="10153"/>
    <x v="0"/>
    <x v="5"/>
    <x v="152"/>
    <x v="2"/>
    <x v="1"/>
    <x v="0"/>
    <n v="18"/>
    <n v="484"/>
    <n v="363000"/>
    <n v="72600"/>
    <s v="Junho"/>
    <s v="Australia"/>
    <s v="James Brown"/>
  </r>
  <r>
    <n v="10154"/>
    <x v="0"/>
    <x v="5"/>
    <x v="153"/>
    <x v="3"/>
    <x v="0"/>
    <x v="0"/>
    <n v="4"/>
    <n v="352"/>
    <n v="264000"/>
    <n v="36960"/>
    <s v="Junho"/>
    <s v="New Zealand"/>
    <s v="Emily White"/>
  </r>
  <r>
    <n v="10155"/>
    <x v="0"/>
    <x v="5"/>
    <x v="154"/>
    <x v="1"/>
    <x v="0"/>
    <x v="4"/>
    <n v="8"/>
    <n v="241"/>
    <n v="84350"/>
    <n v="9278.5"/>
    <s v="Junho"/>
    <s v="Canada"/>
    <s v="Emily White"/>
  </r>
  <r>
    <n v="10156"/>
    <x v="0"/>
    <x v="5"/>
    <x v="155"/>
    <x v="1"/>
    <x v="3"/>
    <x v="0"/>
    <n v="34"/>
    <n v="431"/>
    <n v="323250"/>
    <n v="93742.5"/>
    <s v="Junho"/>
    <s v="Canada"/>
    <s v="John Smith"/>
  </r>
  <r>
    <n v="10157"/>
    <x v="0"/>
    <x v="5"/>
    <x v="156"/>
    <x v="0"/>
    <x v="1"/>
    <x v="0"/>
    <n v="5"/>
    <n v="64"/>
    <n v="48000"/>
    <n v="11040"/>
    <s v="Junho"/>
    <s v="Usa"/>
    <s v="James Brown"/>
  </r>
  <r>
    <n v="10158"/>
    <x v="0"/>
    <x v="5"/>
    <x v="157"/>
    <x v="2"/>
    <x v="4"/>
    <x v="0"/>
    <n v="5"/>
    <n v="53"/>
    <n v="39750"/>
    <n v="5565.0000000000009"/>
    <s v="Junho"/>
    <s v="Australia"/>
    <s v="Liam Lee"/>
  </r>
  <r>
    <n v="10159"/>
    <x v="0"/>
    <x v="5"/>
    <x v="158"/>
    <x v="3"/>
    <x v="1"/>
    <x v="1"/>
    <n v="1"/>
    <n v="23"/>
    <n v="11500"/>
    <n v="3220.0000000000005"/>
    <s v="Junho"/>
    <s v="New Zealand"/>
    <s v="James Brown"/>
  </r>
  <r>
    <n v="10160"/>
    <x v="0"/>
    <x v="5"/>
    <x v="159"/>
    <x v="4"/>
    <x v="0"/>
    <x v="4"/>
    <n v="1"/>
    <n v="27"/>
    <n v="9450"/>
    <n v="4063.5"/>
    <s v="Junho"/>
    <s v="Uk"/>
    <s v="Emily White"/>
  </r>
  <r>
    <n v="10161"/>
    <x v="0"/>
    <x v="5"/>
    <x v="160"/>
    <x v="0"/>
    <x v="0"/>
    <x v="4"/>
    <n v="10"/>
    <n v="122"/>
    <n v="42700"/>
    <n v="11529"/>
    <s v="Junho"/>
    <s v="Usa"/>
    <s v="Emily White"/>
  </r>
  <r>
    <n v="10162"/>
    <x v="0"/>
    <x v="5"/>
    <x v="161"/>
    <x v="2"/>
    <x v="1"/>
    <x v="3"/>
    <n v="26"/>
    <n v="339"/>
    <n v="288150"/>
    <n v="72037.5"/>
    <s v="Junho"/>
    <s v="Australia"/>
    <s v="James Brown"/>
  </r>
  <r>
    <n v="10163"/>
    <x v="0"/>
    <x v="5"/>
    <x v="162"/>
    <x v="2"/>
    <x v="4"/>
    <x v="2"/>
    <n v="13"/>
    <n v="414"/>
    <n v="103500"/>
    <n v="43470"/>
    <s v="Junho"/>
    <s v="Australia"/>
    <s v="Liam Lee"/>
  </r>
  <r>
    <n v="10164"/>
    <x v="0"/>
    <x v="5"/>
    <x v="163"/>
    <x v="3"/>
    <x v="0"/>
    <x v="4"/>
    <n v="25"/>
    <n v="337"/>
    <n v="117950"/>
    <n v="15333.5"/>
    <s v="Junho"/>
    <s v="New Zealand"/>
    <s v="Emily White"/>
  </r>
  <r>
    <n v="10165"/>
    <x v="0"/>
    <x v="5"/>
    <x v="164"/>
    <x v="0"/>
    <x v="0"/>
    <x v="4"/>
    <n v="13"/>
    <n v="490"/>
    <n v="171500"/>
    <n v="54880"/>
    <s v="Junho"/>
    <s v="Usa"/>
    <s v="Emily White"/>
  </r>
  <r>
    <n v="10166"/>
    <x v="0"/>
    <x v="5"/>
    <x v="165"/>
    <x v="0"/>
    <x v="4"/>
    <x v="3"/>
    <n v="11"/>
    <n v="122"/>
    <n v="103700"/>
    <n v="26962"/>
    <s v="Junho"/>
    <s v="Usa"/>
    <s v="Liam Lee"/>
  </r>
  <r>
    <n v="10167"/>
    <x v="0"/>
    <x v="5"/>
    <x v="166"/>
    <x v="0"/>
    <x v="2"/>
    <x v="1"/>
    <n v="3"/>
    <n v="105"/>
    <n v="52500"/>
    <n v="7350.0000000000009"/>
    <s v="Junho"/>
    <s v="Usa"/>
    <s v="Jane Doe"/>
  </r>
  <r>
    <n v="10168"/>
    <x v="0"/>
    <x v="5"/>
    <x v="167"/>
    <x v="2"/>
    <x v="4"/>
    <x v="0"/>
    <n v="6"/>
    <n v="155"/>
    <n v="116250"/>
    <n v="46500"/>
    <s v="Junho"/>
    <s v="Australia"/>
    <s v="Liam Lee"/>
  </r>
  <r>
    <n v="10169"/>
    <x v="0"/>
    <x v="5"/>
    <x v="168"/>
    <x v="1"/>
    <x v="0"/>
    <x v="3"/>
    <n v="17"/>
    <n v="179"/>
    <n v="152150"/>
    <n v="19779.5"/>
    <s v="Junho"/>
    <s v="Canada"/>
    <s v="Emily White"/>
  </r>
  <r>
    <n v="10170"/>
    <x v="0"/>
    <x v="5"/>
    <x v="169"/>
    <x v="4"/>
    <x v="0"/>
    <x v="4"/>
    <n v="4"/>
    <n v="52"/>
    <n v="18200"/>
    <n v="2002"/>
    <s v="Junho"/>
    <s v="Uk"/>
    <s v="Emily White"/>
  </r>
  <r>
    <n v="10171"/>
    <x v="0"/>
    <x v="5"/>
    <x v="170"/>
    <x v="2"/>
    <x v="2"/>
    <x v="2"/>
    <n v="22"/>
    <n v="317"/>
    <n v="79250"/>
    <n v="10302.5"/>
    <s v="Junho"/>
    <s v="Australia"/>
    <s v="Jane Doe"/>
  </r>
  <r>
    <n v="10172"/>
    <x v="0"/>
    <x v="5"/>
    <x v="171"/>
    <x v="2"/>
    <x v="0"/>
    <x v="4"/>
    <n v="28"/>
    <n v="433"/>
    <n v="151550"/>
    <n v="22732.5"/>
    <s v="Junho"/>
    <s v="Australia"/>
    <s v="Emily White"/>
  </r>
  <r>
    <n v="10173"/>
    <x v="0"/>
    <x v="5"/>
    <x v="172"/>
    <x v="1"/>
    <x v="1"/>
    <x v="0"/>
    <n v="14"/>
    <n v="260"/>
    <n v="195000"/>
    <n v="78000"/>
    <s v="Junho"/>
    <s v="Canada"/>
    <s v="James Brown"/>
  </r>
  <r>
    <n v="10174"/>
    <x v="0"/>
    <x v="5"/>
    <x v="173"/>
    <x v="3"/>
    <x v="0"/>
    <x v="2"/>
    <n v="28"/>
    <n v="419"/>
    <n v="104750"/>
    <n v="11522.5"/>
    <s v="Junho"/>
    <s v="New Zealand"/>
    <s v="Emily White"/>
  </r>
  <r>
    <n v="10175"/>
    <x v="0"/>
    <x v="5"/>
    <x v="174"/>
    <x v="1"/>
    <x v="4"/>
    <x v="0"/>
    <n v="10"/>
    <n v="183"/>
    <n v="137250"/>
    <n v="31567.5"/>
    <s v="Junho"/>
    <s v="Canada"/>
    <s v="Liam Lee"/>
  </r>
  <r>
    <n v="10176"/>
    <x v="0"/>
    <x v="5"/>
    <x v="175"/>
    <x v="1"/>
    <x v="3"/>
    <x v="3"/>
    <n v="4"/>
    <n v="208"/>
    <n v="176800"/>
    <n v="53040"/>
    <s v="Junho"/>
    <s v="Canada"/>
    <s v="John Smith"/>
  </r>
  <r>
    <n v="10177"/>
    <x v="0"/>
    <x v="5"/>
    <x v="176"/>
    <x v="2"/>
    <x v="4"/>
    <x v="1"/>
    <n v="7"/>
    <n v="302"/>
    <n v="151000"/>
    <n v="49830"/>
    <s v="Junho"/>
    <s v="Australia"/>
    <s v="Liam Lee"/>
  </r>
  <r>
    <n v="10178"/>
    <x v="0"/>
    <x v="5"/>
    <x v="177"/>
    <x v="0"/>
    <x v="3"/>
    <x v="0"/>
    <n v="1"/>
    <n v="69"/>
    <n v="51750"/>
    <n v="21735"/>
    <s v="Junho"/>
    <s v="Usa"/>
    <s v="John Smith"/>
  </r>
  <r>
    <n v="10179"/>
    <x v="0"/>
    <x v="5"/>
    <x v="178"/>
    <x v="1"/>
    <x v="0"/>
    <x v="4"/>
    <n v="9"/>
    <n v="392"/>
    <n v="137200"/>
    <n v="46648"/>
    <s v="Junho"/>
    <s v="Canada"/>
    <s v="Emily White"/>
  </r>
  <r>
    <n v="10180"/>
    <x v="0"/>
    <x v="5"/>
    <x v="179"/>
    <x v="1"/>
    <x v="1"/>
    <x v="1"/>
    <n v="9"/>
    <n v="128"/>
    <n v="64000"/>
    <n v="24320"/>
    <s v="Junho"/>
    <s v="Canada"/>
    <s v="James Brown"/>
  </r>
  <r>
    <n v="10181"/>
    <x v="0"/>
    <x v="5"/>
    <x v="180"/>
    <x v="3"/>
    <x v="4"/>
    <x v="0"/>
    <n v="5"/>
    <n v="146"/>
    <n v="109500"/>
    <n v="45990"/>
    <s v="Junho"/>
    <s v="New Zealand"/>
    <s v="Liam Lee"/>
  </r>
  <r>
    <n v="10182"/>
    <x v="0"/>
    <x v="6"/>
    <x v="181"/>
    <x v="4"/>
    <x v="2"/>
    <x v="1"/>
    <n v="10"/>
    <n v="190"/>
    <n v="95000"/>
    <n v="29450"/>
    <s v="Julho"/>
    <s v="Uk"/>
    <s v="Jane Doe"/>
  </r>
  <r>
    <n v="10183"/>
    <x v="0"/>
    <x v="6"/>
    <x v="182"/>
    <x v="1"/>
    <x v="4"/>
    <x v="1"/>
    <n v="13"/>
    <n v="176"/>
    <n v="88000"/>
    <n v="37840"/>
    <s v="Julho"/>
    <s v="Canada"/>
    <s v="Liam Lee"/>
  </r>
  <r>
    <n v="10184"/>
    <x v="0"/>
    <x v="6"/>
    <x v="183"/>
    <x v="2"/>
    <x v="4"/>
    <x v="0"/>
    <n v="1"/>
    <n v="80"/>
    <n v="60000"/>
    <n v="16200.000000000002"/>
    <s v="Julho"/>
    <s v="Australia"/>
    <s v="Liam Lee"/>
  </r>
  <r>
    <n v="10185"/>
    <x v="0"/>
    <x v="6"/>
    <x v="184"/>
    <x v="0"/>
    <x v="2"/>
    <x v="0"/>
    <n v="13"/>
    <n v="247"/>
    <n v="185250"/>
    <n v="46312.5"/>
    <s v="Julho"/>
    <s v="Usa"/>
    <s v="Jane Doe"/>
  </r>
  <r>
    <n v="10186"/>
    <x v="0"/>
    <x v="6"/>
    <x v="185"/>
    <x v="2"/>
    <x v="1"/>
    <x v="4"/>
    <n v="9"/>
    <n v="160"/>
    <n v="56000"/>
    <n v="6720"/>
    <s v="Julho"/>
    <s v="Australia"/>
    <s v="James Brown"/>
  </r>
  <r>
    <n v="10187"/>
    <x v="0"/>
    <x v="6"/>
    <x v="186"/>
    <x v="2"/>
    <x v="3"/>
    <x v="4"/>
    <n v="2"/>
    <n v="49"/>
    <n v="17150"/>
    <n v="2744"/>
    <s v="Julho"/>
    <s v="Australia"/>
    <s v="John Smith"/>
  </r>
  <r>
    <n v="10188"/>
    <x v="0"/>
    <x v="6"/>
    <x v="187"/>
    <x v="0"/>
    <x v="4"/>
    <x v="2"/>
    <n v="5"/>
    <n v="75"/>
    <n v="18750"/>
    <n v="3000"/>
    <s v="Julho"/>
    <s v="Usa"/>
    <s v="Liam Lee"/>
  </r>
  <r>
    <n v="10189"/>
    <x v="0"/>
    <x v="6"/>
    <x v="188"/>
    <x v="3"/>
    <x v="4"/>
    <x v="1"/>
    <n v="2"/>
    <n v="42"/>
    <n v="21000"/>
    <n v="6510"/>
    <s v="Julho"/>
    <s v="New Zealand"/>
    <s v="Liam Lee"/>
  </r>
  <r>
    <n v="10190"/>
    <x v="0"/>
    <x v="6"/>
    <x v="189"/>
    <x v="4"/>
    <x v="3"/>
    <x v="3"/>
    <n v="3"/>
    <n v="39"/>
    <n v="33150"/>
    <n v="7956"/>
    <s v="Julho"/>
    <s v="Uk"/>
    <s v="John Smith"/>
  </r>
  <r>
    <n v="10191"/>
    <x v="0"/>
    <x v="6"/>
    <x v="190"/>
    <x v="2"/>
    <x v="3"/>
    <x v="4"/>
    <n v="35"/>
    <n v="479"/>
    <n v="167650"/>
    <n v="35206.5"/>
    <s v="Julho"/>
    <s v="Australia"/>
    <s v="John Smith"/>
  </r>
  <r>
    <n v="10192"/>
    <x v="0"/>
    <x v="6"/>
    <x v="191"/>
    <x v="2"/>
    <x v="3"/>
    <x v="3"/>
    <n v="25"/>
    <n v="274"/>
    <n v="232900"/>
    <n v="58225"/>
    <s v="Julho"/>
    <s v="Australia"/>
    <s v="John Smith"/>
  </r>
  <r>
    <n v="10193"/>
    <x v="0"/>
    <x v="6"/>
    <x v="192"/>
    <x v="0"/>
    <x v="1"/>
    <x v="3"/>
    <n v="17"/>
    <n v="317"/>
    <n v="269450"/>
    <n v="35028.5"/>
    <s v="Julho"/>
    <s v="Usa"/>
    <s v="James Brown"/>
  </r>
  <r>
    <n v="10194"/>
    <x v="0"/>
    <x v="6"/>
    <x v="193"/>
    <x v="3"/>
    <x v="3"/>
    <x v="2"/>
    <n v="35"/>
    <n v="381"/>
    <n v="95250"/>
    <n v="27622.499999999996"/>
    <s v="Julho"/>
    <s v="New Zealand"/>
    <s v="John Smith"/>
  </r>
  <r>
    <n v="10195"/>
    <x v="0"/>
    <x v="6"/>
    <x v="194"/>
    <x v="4"/>
    <x v="3"/>
    <x v="3"/>
    <n v="12"/>
    <n v="171"/>
    <n v="145350"/>
    <n v="21802.5"/>
    <s v="Julho"/>
    <s v="Uk"/>
    <s v="John Smith"/>
  </r>
  <r>
    <n v="10196"/>
    <x v="0"/>
    <x v="6"/>
    <x v="195"/>
    <x v="2"/>
    <x v="3"/>
    <x v="4"/>
    <n v="22"/>
    <n v="268"/>
    <n v="93800"/>
    <n v="26264.000000000004"/>
    <s v="Julho"/>
    <s v="Australia"/>
    <s v="John Smith"/>
  </r>
  <r>
    <n v="10197"/>
    <x v="0"/>
    <x v="6"/>
    <x v="196"/>
    <x v="0"/>
    <x v="0"/>
    <x v="1"/>
    <n v="4"/>
    <n v="295"/>
    <n v="147500"/>
    <n v="38350"/>
    <s v="Julho"/>
    <s v="Usa"/>
    <s v="Emily White"/>
  </r>
  <r>
    <n v="10198"/>
    <x v="0"/>
    <x v="6"/>
    <x v="197"/>
    <x v="0"/>
    <x v="1"/>
    <x v="4"/>
    <n v="1"/>
    <n v="70"/>
    <n v="24500"/>
    <n v="5390"/>
    <s v="Julho"/>
    <s v="Usa"/>
    <s v="James Brown"/>
  </r>
  <r>
    <n v="10199"/>
    <x v="0"/>
    <x v="6"/>
    <x v="198"/>
    <x v="2"/>
    <x v="2"/>
    <x v="4"/>
    <n v="9"/>
    <n v="110"/>
    <n v="38500"/>
    <n v="7315"/>
    <s v="Julho"/>
    <s v="Australia"/>
    <s v="Jane Doe"/>
  </r>
  <r>
    <n v="10200"/>
    <x v="0"/>
    <x v="6"/>
    <x v="199"/>
    <x v="1"/>
    <x v="4"/>
    <x v="3"/>
    <n v="24"/>
    <n v="299"/>
    <n v="254150"/>
    <n v="94035.5"/>
    <s v="Julho"/>
    <s v="Canada"/>
    <s v="Liam Lee"/>
  </r>
  <r>
    <n v="10201"/>
    <x v="0"/>
    <x v="6"/>
    <x v="200"/>
    <x v="2"/>
    <x v="2"/>
    <x v="2"/>
    <n v="21"/>
    <n v="343"/>
    <n v="85750"/>
    <n v="24867.5"/>
    <s v="Julho"/>
    <s v="Australia"/>
    <s v="Jane Doe"/>
  </r>
  <r>
    <n v="10202"/>
    <x v="0"/>
    <x v="6"/>
    <x v="201"/>
    <x v="4"/>
    <x v="1"/>
    <x v="2"/>
    <n v="7"/>
    <n v="104"/>
    <n v="26000"/>
    <n v="7020.0000000000009"/>
    <s v="Julho"/>
    <s v="Uk"/>
    <s v="James Brown"/>
  </r>
  <r>
    <n v="10203"/>
    <x v="0"/>
    <x v="6"/>
    <x v="202"/>
    <x v="4"/>
    <x v="2"/>
    <x v="2"/>
    <n v="6"/>
    <n v="293"/>
    <n v="73250"/>
    <n v="7325"/>
    <s v="Julho"/>
    <s v="Uk"/>
    <s v="Jane Doe"/>
  </r>
  <r>
    <n v="10204"/>
    <x v="0"/>
    <x v="6"/>
    <x v="203"/>
    <x v="4"/>
    <x v="0"/>
    <x v="0"/>
    <n v="17"/>
    <n v="351"/>
    <n v="263250"/>
    <n v="97402.5"/>
    <s v="Julho"/>
    <s v="Uk"/>
    <s v="Emily White"/>
  </r>
  <r>
    <n v="10205"/>
    <x v="0"/>
    <x v="6"/>
    <x v="204"/>
    <x v="2"/>
    <x v="4"/>
    <x v="3"/>
    <n v="14"/>
    <n v="328"/>
    <n v="278800"/>
    <n v="55760"/>
    <s v="Julho"/>
    <s v="Australia"/>
    <s v="Liam Lee"/>
  </r>
  <r>
    <n v="10206"/>
    <x v="0"/>
    <x v="6"/>
    <x v="205"/>
    <x v="1"/>
    <x v="0"/>
    <x v="2"/>
    <n v="32"/>
    <n v="378"/>
    <n v="94500"/>
    <n v="15120"/>
    <s v="Julho"/>
    <s v="Canada"/>
    <s v="Emily White"/>
  </r>
  <r>
    <n v="10207"/>
    <x v="0"/>
    <x v="6"/>
    <x v="206"/>
    <x v="2"/>
    <x v="2"/>
    <x v="2"/>
    <n v="5"/>
    <n v="95"/>
    <n v="23750"/>
    <n v="9737.5"/>
    <s v="Julho"/>
    <s v="Australia"/>
    <s v="Jane Doe"/>
  </r>
  <r>
    <n v="10208"/>
    <x v="0"/>
    <x v="6"/>
    <x v="207"/>
    <x v="0"/>
    <x v="1"/>
    <x v="0"/>
    <n v="2"/>
    <n v="47"/>
    <n v="35250"/>
    <n v="4582.5"/>
    <s v="Julho"/>
    <s v="Usa"/>
    <s v="James Brown"/>
  </r>
  <r>
    <n v="10209"/>
    <x v="0"/>
    <x v="6"/>
    <x v="208"/>
    <x v="2"/>
    <x v="3"/>
    <x v="4"/>
    <n v="21"/>
    <n v="243"/>
    <n v="85050"/>
    <n v="16159.5"/>
    <s v="Julho"/>
    <s v="Australia"/>
    <s v="John Smith"/>
  </r>
  <r>
    <n v="10210"/>
    <x v="0"/>
    <x v="6"/>
    <x v="209"/>
    <x v="0"/>
    <x v="0"/>
    <x v="0"/>
    <n v="17"/>
    <n v="455"/>
    <n v="341250"/>
    <n v="129675"/>
    <s v="Julho"/>
    <s v="Usa"/>
    <s v="Emily White"/>
  </r>
  <r>
    <n v="10211"/>
    <x v="0"/>
    <x v="6"/>
    <x v="210"/>
    <x v="3"/>
    <x v="0"/>
    <x v="0"/>
    <n v="3"/>
    <n v="50"/>
    <n v="37500"/>
    <n v="4875"/>
    <s v="Julho"/>
    <s v="New Zealand"/>
    <s v="Emily White"/>
  </r>
  <r>
    <n v="10212"/>
    <x v="0"/>
    <x v="6"/>
    <x v="211"/>
    <x v="2"/>
    <x v="3"/>
    <x v="1"/>
    <n v="9"/>
    <n v="310"/>
    <n v="155000"/>
    <n v="66650"/>
    <s v="Julho"/>
    <s v="Australia"/>
    <s v="John Smith"/>
  </r>
  <r>
    <n v="10213"/>
    <x v="0"/>
    <x v="7"/>
    <x v="212"/>
    <x v="2"/>
    <x v="3"/>
    <x v="4"/>
    <n v="16"/>
    <n v="171"/>
    <n v="59850"/>
    <n v="11970"/>
    <s v="Agosto"/>
    <s v="Australia"/>
    <s v="John Smith"/>
  </r>
  <r>
    <n v="10214"/>
    <x v="0"/>
    <x v="7"/>
    <x v="213"/>
    <x v="1"/>
    <x v="3"/>
    <x v="4"/>
    <n v="11"/>
    <n v="234"/>
    <n v="81900"/>
    <n v="30303"/>
    <s v="Agosto"/>
    <s v="Canada"/>
    <s v="John Smith"/>
  </r>
  <r>
    <n v="10215"/>
    <x v="0"/>
    <x v="7"/>
    <x v="214"/>
    <x v="1"/>
    <x v="2"/>
    <x v="3"/>
    <n v="15"/>
    <n v="259"/>
    <n v="220150"/>
    <n v="59440.500000000007"/>
    <s v="Agosto"/>
    <s v="Canada"/>
    <s v="Jane Doe"/>
  </r>
  <r>
    <n v="10216"/>
    <x v="0"/>
    <x v="7"/>
    <x v="215"/>
    <x v="2"/>
    <x v="1"/>
    <x v="3"/>
    <n v="11"/>
    <n v="340"/>
    <n v="289000"/>
    <n v="92480"/>
    <s v="Agosto"/>
    <s v="Australia"/>
    <s v="James Brown"/>
  </r>
  <r>
    <n v="10217"/>
    <x v="0"/>
    <x v="7"/>
    <x v="216"/>
    <x v="0"/>
    <x v="1"/>
    <x v="1"/>
    <n v="13"/>
    <n v="460"/>
    <n v="230000"/>
    <n v="89700"/>
    <s v="Agosto"/>
    <s v="Usa"/>
    <s v="James Brown"/>
  </r>
  <r>
    <n v="10218"/>
    <x v="0"/>
    <x v="7"/>
    <x v="217"/>
    <x v="1"/>
    <x v="4"/>
    <x v="4"/>
    <n v="37"/>
    <n v="422"/>
    <n v="147700"/>
    <n v="31017"/>
    <s v="Agosto"/>
    <s v="Canada"/>
    <s v="Liam Lee"/>
  </r>
  <r>
    <n v="10219"/>
    <x v="0"/>
    <x v="7"/>
    <x v="218"/>
    <x v="4"/>
    <x v="2"/>
    <x v="1"/>
    <n v="20"/>
    <n v="332"/>
    <n v="166000"/>
    <n v="28220.000000000004"/>
    <s v="Agosto"/>
    <s v="Uk"/>
    <s v="Jane Doe"/>
  </r>
  <r>
    <n v="10220"/>
    <x v="0"/>
    <x v="7"/>
    <x v="219"/>
    <x v="3"/>
    <x v="3"/>
    <x v="0"/>
    <n v="21"/>
    <n v="327"/>
    <n v="245250"/>
    <n v="110362.5"/>
    <s v="Agosto"/>
    <s v="New Zealand"/>
    <s v="John Smith"/>
  </r>
  <r>
    <n v="10221"/>
    <x v="0"/>
    <x v="7"/>
    <x v="220"/>
    <x v="1"/>
    <x v="2"/>
    <x v="3"/>
    <n v="23"/>
    <n v="452"/>
    <n v="384200"/>
    <n v="161364"/>
    <s v="Agosto"/>
    <s v="Canada"/>
    <s v="Jane Doe"/>
  </r>
  <r>
    <n v="10222"/>
    <x v="0"/>
    <x v="7"/>
    <x v="221"/>
    <x v="4"/>
    <x v="2"/>
    <x v="4"/>
    <n v="5"/>
    <n v="154"/>
    <n v="53900"/>
    <n v="19404"/>
    <s v="Agosto"/>
    <s v="Uk"/>
    <s v="Jane Doe"/>
  </r>
  <r>
    <n v="10223"/>
    <x v="0"/>
    <x v="7"/>
    <x v="222"/>
    <x v="3"/>
    <x v="0"/>
    <x v="2"/>
    <n v="8"/>
    <n v="171"/>
    <n v="42750"/>
    <n v="10260"/>
    <s v="Agosto"/>
    <s v="New Zealand"/>
    <s v="Emily White"/>
  </r>
  <r>
    <n v="10224"/>
    <x v="0"/>
    <x v="7"/>
    <x v="223"/>
    <x v="3"/>
    <x v="1"/>
    <x v="1"/>
    <n v="12"/>
    <n v="377"/>
    <n v="188500"/>
    <n v="32045.000000000004"/>
    <s v="Agosto"/>
    <s v="New Zealand"/>
    <s v="James Brown"/>
  </r>
  <r>
    <n v="10225"/>
    <x v="0"/>
    <x v="7"/>
    <x v="224"/>
    <x v="0"/>
    <x v="2"/>
    <x v="2"/>
    <n v="5"/>
    <n v="231"/>
    <n v="57750"/>
    <n v="13282.5"/>
    <s v="Agosto"/>
    <s v="Usa"/>
    <s v="Jane Doe"/>
  </r>
  <r>
    <n v="10226"/>
    <x v="0"/>
    <x v="7"/>
    <x v="225"/>
    <x v="4"/>
    <x v="3"/>
    <x v="0"/>
    <n v="2"/>
    <n v="173"/>
    <n v="129750"/>
    <n v="46710"/>
    <s v="Agosto"/>
    <s v="Uk"/>
    <s v="John Smith"/>
  </r>
  <r>
    <n v="10227"/>
    <x v="0"/>
    <x v="7"/>
    <x v="226"/>
    <x v="0"/>
    <x v="3"/>
    <x v="3"/>
    <n v="8"/>
    <n v="260"/>
    <n v="221000"/>
    <n v="33150"/>
    <s v="Agosto"/>
    <s v="Usa"/>
    <s v="John Smith"/>
  </r>
  <r>
    <n v="10228"/>
    <x v="0"/>
    <x v="7"/>
    <x v="227"/>
    <x v="4"/>
    <x v="3"/>
    <x v="1"/>
    <n v="35"/>
    <n v="432"/>
    <n v="216000"/>
    <n v="54000"/>
    <s v="Agosto"/>
    <s v="Uk"/>
    <s v="John Smith"/>
  </r>
  <r>
    <n v="10229"/>
    <x v="0"/>
    <x v="7"/>
    <x v="228"/>
    <x v="2"/>
    <x v="3"/>
    <x v="3"/>
    <n v="12"/>
    <n v="299"/>
    <n v="254150"/>
    <n v="63537.5"/>
    <s v="Agosto"/>
    <s v="Australia"/>
    <s v="John Smith"/>
  </r>
  <r>
    <n v="10230"/>
    <x v="0"/>
    <x v="7"/>
    <x v="229"/>
    <x v="3"/>
    <x v="3"/>
    <x v="2"/>
    <n v="11"/>
    <n v="110"/>
    <n v="27500"/>
    <n v="3850.0000000000005"/>
    <s v="Agosto"/>
    <s v="New Zealand"/>
    <s v="John Smith"/>
  </r>
  <r>
    <n v="10231"/>
    <x v="0"/>
    <x v="7"/>
    <x v="230"/>
    <x v="2"/>
    <x v="3"/>
    <x v="1"/>
    <n v="3"/>
    <n v="101"/>
    <n v="50500"/>
    <n v="8585"/>
    <s v="Agosto"/>
    <s v="Australia"/>
    <s v="John Smith"/>
  </r>
  <r>
    <n v="10232"/>
    <x v="0"/>
    <x v="7"/>
    <x v="231"/>
    <x v="0"/>
    <x v="1"/>
    <x v="1"/>
    <n v="17"/>
    <n v="450"/>
    <n v="225000"/>
    <n v="49500"/>
    <s v="Agosto"/>
    <s v="Usa"/>
    <s v="James Brown"/>
  </r>
  <r>
    <n v="10233"/>
    <x v="0"/>
    <x v="7"/>
    <x v="232"/>
    <x v="0"/>
    <x v="2"/>
    <x v="3"/>
    <n v="6"/>
    <n v="345"/>
    <n v="293250"/>
    <n v="73312.5"/>
    <s v="Agosto"/>
    <s v="Usa"/>
    <s v="Jane Doe"/>
  </r>
  <r>
    <n v="10234"/>
    <x v="0"/>
    <x v="7"/>
    <x v="233"/>
    <x v="1"/>
    <x v="0"/>
    <x v="1"/>
    <n v="7"/>
    <n v="88"/>
    <n v="44000"/>
    <n v="13200"/>
    <s v="Agosto"/>
    <s v="Canada"/>
    <s v="Emily White"/>
  </r>
  <r>
    <n v="10235"/>
    <x v="0"/>
    <x v="7"/>
    <x v="234"/>
    <x v="3"/>
    <x v="2"/>
    <x v="4"/>
    <n v="17"/>
    <n v="472"/>
    <n v="165200"/>
    <n v="64428"/>
    <s v="Agosto"/>
    <s v="New Zealand"/>
    <s v="Jane Doe"/>
  </r>
  <r>
    <n v="10236"/>
    <x v="0"/>
    <x v="7"/>
    <x v="235"/>
    <x v="3"/>
    <x v="0"/>
    <x v="2"/>
    <n v="4"/>
    <n v="130"/>
    <n v="32500"/>
    <n v="11050"/>
    <s v="Agosto"/>
    <s v="New Zealand"/>
    <s v="Emily White"/>
  </r>
  <r>
    <n v="10237"/>
    <x v="0"/>
    <x v="7"/>
    <x v="236"/>
    <x v="4"/>
    <x v="0"/>
    <x v="4"/>
    <n v="22"/>
    <n v="425"/>
    <n v="148750"/>
    <n v="49087.5"/>
    <s v="Agosto"/>
    <s v="Uk"/>
    <s v="Emily White"/>
  </r>
  <r>
    <n v="10238"/>
    <x v="0"/>
    <x v="7"/>
    <x v="237"/>
    <x v="2"/>
    <x v="0"/>
    <x v="1"/>
    <n v="3"/>
    <n v="207"/>
    <n v="103500"/>
    <n v="30014.999999999996"/>
    <s v="Agosto"/>
    <s v="Australia"/>
    <s v="Emily White"/>
  </r>
  <r>
    <n v="10239"/>
    <x v="0"/>
    <x v="7"/>
    <x v="238"/>
    <x v="4"/>
    <x v="1"/>
    <x v="0"/>
    <n v="23"/>
    <n v="368"/>
    <n v="276000"/>
    <n v="30360"/>
    <s v="Agosto"/>
    <s v="Uk"/>
    <s v="James Brown"/>
  </r>
  <r>
    <n v="10240"/>
    <x v="0"/>
    <x v="7"/>
    <x v="239"/>
    <x v="1"/>
    <x v="3"/>
    <x v="0"/>
    <n v="7"/>
    <n v="360"/>
    <n v="270000"/>
    <n v="78300"/>
    <s v="Agosto"/>
    <s v="Canada"/>
    <s v="John Smith"/>
  </r>
  <r>
    <n v="10241"/>
    <x v="0"/>
    <x v="7"/>
    <x v="240"/>
    <x v="3"/>
    <x v="0"/>
    <x v="2"/>
    <n v="29"/>
    <n v="498"/>
    <n v="124500"/>
    <n v="33615"/>
    <s v="Agosto"/>
    <s v="New Zealand"/>
    <s v="Emily White"/>
  </r>
  <r>
    <n v="10242"/>
    <x v="0"/>
    <x v="7"/>
    <x v="241"/>
    <x v="3"/>
    <x v="2"/>
    <x v="3"/>
    <n v="7"/>
    <n v="111"/>
    <n v="94350"/>
    <n v="23587.5"/>
    <s v="Agosto"/>
    <s v="New Zealand"/>
    <s v="Jane Doe"/>
  </r>
  <r>
    <n v="10243"/>
    <x v="0"/>
    <x v="7"/>
    <x v="242"/>
    <x v="4"/>
    <x v="3"/>
    <x v="0"/>
    <n v="8"/>
    <n v="446"/>
    <n v="334500"/>
    <n v="43485"/>
    <s v="Agosto"/>
    <s v="Uk"/>
    <s v="John Smith"/>
  </r>
  <r>
    <n v="10244"/>
    <x v="0"/>
    <x v="8"/>
    <x v="243"/>
    <x v="0"/>
    <x v="3"/>
    <x v="3"/>
    <n v="13"/>
    <n v="142"/>
    <n v="120700"/>
    <n v="39831"/>
    <s v="Setembro"/>
    <s v="Usa"/>
    <s v="John Smith"/>
  </r>
  <r>
    <n v="10245"/>
    <x v="0"/>
    <x v="8"/>
    <x v="244"/>
    <x v="2"/>
    <x v="0"/>
    <x v="0"/>
    <n v="10"/>
    <n v="100"/>
    <n v="75000"/>
    <n v="9750"/>
    <s v="Setembro"/>
    <s v="Australia"/>
    <s v="Emily White"/>
  </r>
  <r>
    <n v="10246"/>
    <x v="0"/>
    <x v="8"/>
    <x v="245"/>
    <x v="3"/>
    <x v="4"/>
    <x v="3"/>
    <n v="37"/>
    <n v="381"/>
    <n v="323850"/>
    <n v="45339.000000000007"/>
    <s v="Setembro"/>
    <s v="New Zealand"/>
    <s v="Liam Lee"/>
  </r>
  <r>
    <n v="10247"/>
    <x v="0"/>
    <x v="8"/>
    <x v="246"/>
    <x v="3"/>
    <x v="2"/>
    <x v="1"/>
    <n v="8"/>
    <n v="192"/>
    <n v="96000"/>
    <n v="25920"/>
    <s v="Setembro"/>
    <s v="New Zealand"/>
    <s v="Jane Doe"/>
  </r>
  <r>
    <n v="10248"/>
    <x v="0"/>
    <x v="8"/>
    <x v="247"/>
    <x v="0"/>
    <x v="1"/>
    <x v="3"/>
    <n v="18"/>
    <n v="182"/>
    <n v="154700"/>
    <n v="18564"/>
    <s v="Setembro"/>
    <s v="Usa"/>
    <s v="James Brown"/>
  </r>
  <r>
    <n v="10249"/>
    <x v="0"/>
    <x v="8"/>
    <x v="248"/>
    <x v="1"/>
    <x v="0"/>
    <x v="4"/>
    <n v="9"/>
    <n v="374"/>
    <n v="130900"/>
    <n v="28798"/>
    <s v="Setembro"/>
    <s v="Canada"/>
    <s v="Emily White"/>
  </r>
  <r>
    <n v="10250"/>
    <x v="0"/>
    <x v="8"/>
    <x v="249"/>
    <x v="3"/>
    <x v="2"/>
    <x v="3"/>
    <n v="1"/>
    <n v="12"/>
    <n v="10200"/>
    <n v="3978"/>
    <s v="Setembro"/>
    <s v="New Zealand"/>
    <s v="Jane Doe"/>
  </r>
  <r>
    <n v="10251"/>
    <x v="0"/>
    <x v="8"/>
    <x v="250"/>
    <x v="0"/>
    <x v="1"/>
    <x v="3"/>
    <n v="15"/>
    <n v="314"/>
    <n v="266900"/>
    <n v="106760"/>
    <s v="Setembro"/>
    <s v="Usa"/>
    <s v="James Brown"/>
  </r>
  <r>
    <n v="10252"/>
    <x v="0"/>
    <x v="8"/>
    <x v="251"/>
    <x v="4"/>
    <x v="4"/>
    <x v="2"/>
    <n v="15"/>
    <n v="278"/>
    <n v="69500"/>
    <n v="13205"/>
    <s v="Setembro"/>
    <s v="Uk"/>
    <s v="Liam Lee"/>
  </r>
  <r>
    <n v="10253"/>
    <x v="0"/>
    <x v="8"/>
    <x v="252"/>
    <x v="4"/>
    <x v="1"/>
    <x v="0"/>
    <n v="22"/>
    <n v="489"/>
    <n v="366750"/>
    <n v="84352.5"/>
    <s v="Setembro"/>
    <s v="Uk"/>
    <s v="James Brown"/>
  </r>
  <r>
    <n v="10254"/>
    <x v="0"/>
    <x v="8"/>
    <x v="253"/>
    <x v="0"/>
    <x v="3"/>
    <x v="2"/>
    <n v="4"/>
    <n v="168"/>
    <n v="42000"/>
    <n v="8400"/>
    <s v="Setembro"/>
    <s v="Usa"/>
    <s v="John Smith"/>
  </r>
  <r>
    <n v="10255"/>
    <x v="0"/>
    <x v="8"/>
    <x v="254"/>
    <x v="4"/>
    <x v="2"/>
    <x v="4"/>
    <n v="24"/>
    <n v="244"/>
    <n v="85400"/>
    <n v="11956.000000000002"/>
    <s v="Setembro"/>
    <s v="Uk"/>
    <s v="Jane Doe"/>
  </r>
  <r>
    <n v="10256"/>
    <x v="0"/>
    <x v="8"/>
    <x v="255"/>
    <x v="2"/>
    <x v="0"/>
    <x v="3"/>
    <n v="5"/>
    <n v="108"/>
    <n v="91800"/>
    <n v="37638"/>
    <s v="Setembro"/>
    <s v="Australia"/>
    <s v="Emily White"/>
  </r>
  <r>
    <n v="10257"/>
    <x v="0"/>
    <x v="8"/>
    <x v="256"/>
    <x v="4"/>
    <x v="3"/>
    <x v="4"/>
    <n v="5"/>
    <n v="447"/>
    <n v="156450"/>
    <n v="54757.5"/>
    <s v="Setembro"/>
    <s v="Uk"/>
    <s v="John Smith"/>
  </r>
  <r>
    <n v="10258"/>
    <x v="0"/>
    <x v="8"/>
    <x v="257"/>
    <x v="2"/>
    <x v="0"/>
    <x v="2"/>
    <n v="2"/>
    <n v="24"/>
    <n v="6000"/>
    <n v="1380"/>
    <s v="Setembro"/>
    <s v="Australia"/>
    <s v="Emily White"/>
  </r>
  <r>
    <n v="10259"/>
    <x v="0"/>
    <x v="8"/>
    <x v="258"/>
    <x v="4"/>
    <x v="2"/>
    <x v="4"/>
    <n v="9"/>
    <n v="245"/>
    <n v="85750"/>
    <n v="18007.5"/>
    <s v="Setembro"/>
    <s v="Uk"/>
    <s v="Jane Doe"/>
  </r>
  <r>
    <n v="10260"/>
    <x v="0"/>
    <x v="8"/>
    <x v="259"/>
    <x v="1"/>
    <x v="0"/>
    <x v="3"/>
    <n v="5"/>
    <n v="243"/>
    <n v="206550"/>
    <n v="30982.5"/>
    <s v="Setembro"/>
    <s v="Canada"/>
    <s v="Emily White"/>
  </r>
  <r>
    <n v="10261"/>
    <x v="0"/>
    <x v="8"/>
    <x v="260"/>
    <x v="4"/>
    <x v="3"/>
    <x v="0"/>
    <n v="8"/>
    <n v="174"/>
    <n v="130500"/>
    <n v="26100"/>
    <s v="Setembro"/>
    <s v="Uk"/>
    <s v="John Smith"/>
  </r>
  <r>
    <n v="10262"/>
    <x v="0"/>
    <x v="8"/>
    <x v="261"/>
    <x v="0"/>
    <x v="2"/>
    <x v="0"/>
    <n v="22"/>
    <n v="288"/>
    <n v="216000"/>
    <n v="51840"/>
    <s v="Setembro"/>
    <s v="Usa"/>
    <s v="Jane Doe"/>
  </r>
  <r>
    <n v="10263"/>
    <x v="0"/>
    <x v="8"/>
    <x v="262"/>
    <x v="2"/>
    <x v="3"/>
    <x v="2"/>
    <n v="8"/>
    <n v="111"/>
    <n v="27750"/>
    <n v="12487.5"/>
    <s v="Setembro"/>
    <s v="Australia"/>
    <s v="John Smith"/>
  </r>
  <r>
    <n v="10264"/>
    <x v="0"/>
    <x v="8"/>
    <x v="263"/>
    <x v="3"/>
    <x v="2"/>
    <x v="2"/>
    <n v="8"/>
    <n v="106"/>
    <n v="26500"/>
    <n v="4505"/>
    <s v="Setembro"/>
    <s v="New Zealand"/>
    <s v="Jane Doe"/>
  </r>
  <r>
    <n v="10265"/>
    <x v="0"/>
    <x v="8"/>
    <x v="264"/>
    <x v="3"/>
    <x v="1"/>
    <x v="0"/>
    <n v="26"/>
    <n v="367"/>
    <n v="275250"/>
    <n v="46792.5"/>
    <s v="Setembro"/>
    <s v="New Zealand"/>
    <s v="James Brown"/>
  </r>
  <r>
    <n v="10266"/>
    <x v="0"/>
    <x v="8"/>
    <x v="265"/>
    <x v="4"/>
    <x v="1"/>
    <x v="0"/>
    <n v="5"/>
    <n v="126"/>
    <n v="94500"/>
    <n v="22680"/>
    <s v="Setembro"/>
    <s v="Uk"/>
    <s v="James Brown"/>
  </r>
  <r>
    <n v="10267"/>
    <x v="0"/>
    <x v="8"/>
    <x v="266"/>
    <x v="1"/>
    <x v="1"/>
    <x v="1"/>
    <n v="1"/>
    <n v="17"/>
    <n v="8500"/>
    <n v="3060"/>
    <s v="Setembro"/>
    <s v="Canada"/>
    <s v="James Brown"/>
  </r>
  <r>
    <n v="10268"/>
    <x v="0"/>
    <x v="8"/>
    <x v="267"/>
    <x v="2"/>
    <x v="0"/>
    <x v="2"/>
    <n v="4"/>
    <n v="345"/>
    <n v="86250"/>
    <n v="27600"/>
    <s v="Setembro"/>
    <s v="Australia"/>
    <s v="Emily White"/>
  </r>
  <r>
    <n v="10269"/>
    <x v="0"/>
    <x v="8"/>
    <x v="268"/>
    <x v="4"/>
    <x v="4"/>
    <x v="0"/>
    <n v="8"/>
    <n v="157"/>
    <n v="117750"/>
    <n v="52987.5"/>
    <s v="Setembro"/>
    <s v="Uk"/>
    <s v="Liam Lee"/>
  </r>
  <r>
    <n v="10270"/>
    <x v="0"/>
    <x v="8"/>
    <x v="269"/>
    <x v="3"/>
    <x v="2"/>
    <x v="3"/>
    <n v="24"/>
    <n v="319"/>
    <n v="271150"/>
    <n v="65076"/>
    <s v="Setembro"/>
    <s v="New Zealand"/>
    <s v="Jane Doe"/>
  </r>
  <r>
    <n v="10271"/>
    <x v="0"/>
    <x v="8"/>
    <x v="270"/>
    <x v="4"/>
    <x v="2"/>
    <x v="2"/>
    <n v="7"/>
    <n v="96"/>
    <n v="24000"/>
    <n v="3600"/>
    <s v="Setembro"/>
    <s v="Uk"/>
    <s v="Jane Doe"/>
  </r>
  <r>
    <n v="10272"/>
    <x v="0"/>
    <x v="8"/>
    <x v="271"/>
    <x v="1"/>
    <x v="0"/>
    <x v="3"/>
    <n v="3"/>
    <n v="47"/>
    <n v="39950"/>
    <n v="14781.5"/>
    <s v="Setembro"/>
    <s v="Canada"/>
    <s v="Emily White"/>
  </r>
  <r>
    <n v="10273"/>
    <x v="0"/>
    <x v="8"/>
    <x v="272"/>
    <x v="3"/>
    <x v="3"/>
    <x v="3"/>
    <n v="9"/>
    <n v="438"/>
    <n v="372300"/>
    <n v="122859"/>
    <s v="Setembro"/>
    <s v="New Zealand"/>
    <s v="John Smith"/>
  </r>
  <r>
    <n v="10274"/>
    <x v="0"/>
    <x v="9"/>
    <x v="273"/>
    <x v="1"/>
    <x v="3"/>
    <x v="1"/>
    <n v="19"/>
    <n v="216"/>
    <n v="108000"/>
    <n v="43200"/>
    <s v="Outubro"/>
    <s v="Canada"/>
    <s v="John Smith"/>
  </r>
  <r>
    <n v="10275"/>
    <x v="0"/>
    <x v="9"/>
    <x v="274"/>
    <x v="3"/>
    <x v="4"/>
    <x v="2"/>
    <n v="14"/>
    <n v="153"/>
    <n v="38250"/>
    <n v="5737.5"/>
    <s v="Outubro"/>
    <s v="New Zealand"/>
    <s v="Liam Lee"/>
  </r>
  <r>
    <n v="10276"/>
    <x v="0"/>
    <x v="9"/>
    <x v="275"/>
    <x v="3"/>
    <x v="2"/>
    <x v="3"/>
    <n v="32"/>
    <n v="330"/>
    <n v="280500"/>
    <n v="106590"/>
    <s v="Outubro"/>
    <s v="New Zealand"/>
    <s v="Jane Doe"/>
  </r>
  <r>
    <n v="10277"/>
    <x v="0"/>
    <x v="9"/>
    <x v="276"/>
    <x v="0"/>
    <x v="2"/>
    <x v="3"/>
    <n v="38"/>
    <n v="385"/>
    <n v="327250"/>
    <n v="143990"/>
    <s v="Outubro"/>
    <s v="Usa"/>
    <s v="Jane Doe"/>
  </r>
  <r>
    <n v="10278"/>
    <x v="0"/>
    <x v="9"/>
    <x v="277"/>
    <x v="3"/>
    <x v="0"/>
    <x v="1"/>
    <n v="7"/>
    <n v="184"/>
    <n v="92000"/>
    <n v="18400"/>
    <s v="Outubro"/>
    <s v="New Zealand"/>
    <s v="Emily White"/>
  </r>
  <r>
    <n v="10279"/>
    <x v="0"/>
    <x v="9"/>
    <x v="278"/>
    <x v="4"/>
    <x v="1"/>
    <x v="3"/>
    <n v="1"/>
    <n v="28"/>
    <n v="23800"/>
    <n v="5236"/>
    <s v="Outubro"/>
    <s v="Uk"/>
    <s v="James Brown"/>
  </r>
  <r>
    <n v="10280"/>
    <x v="0"/>
    <x v="9"/>
    <x v="279"/>
    <x v="1"/>
    <x v="1"/>
    <x v="0"/>
    <n v="2"/>
    <n v="80"/>
    <n v="60000"/>
    <n v="6000"/>
    <s v="Outubro"/>
    <s v="Canada"/>
    <s v="James Brown"/>
  </r>
  <r>
    <n v="10281"/>
    <x v="0"/>
    <x v="9"/>
    <x v="280"/>
    <x v="4"/>
    <x v="0"/>
    <x v="2"/>
    <n v="20"/>
    <n v="286"/>
    <n v="71500"/>
    <n v="20020.000000000004"/>
    <s v="Outubro"/>
    <s v="Uk"/>
    <s v="Emily White"/>
  </r>
  <r>
    <n v="10282"/>
    <x v="0"/>
    <x v="9"/>
    <x v="281"/>
    <x v="2"/>
    <x v="4"/>
    <x v="4"/>
    <n v="5"/>
    <n v="160"/>
    <n v="56000"/>
    <n v="6720"/>
    <s v="Outubro"/>
    <s v="Australia"/>
    <s v="Liam Lee"/>
  </r>
  <r>
    <n v="10283"/>
    <x v="0"/>
    <x v="9"/>
    <x v="282"/>
    <x v="2"/>
    <x v="3"/>
    <x v="0"/>
    <n v="28"/>
    <n v="284"/>
    <n v="213000"/>
    <n v="36210"/>
    <s v="Outubro"/>
    <s v="Australia"/>
    <s v="John Smith"/>
  </r>
  <r>
    <n v="10284"/>
    <x v="0"/>
    <x v="9"/>
    <x v="283"/>
    <x v="4"/>
    <x v="3"/>
    <x v="1"/>
    <n v="33"/>
    <n v="447"/>
    <n v="223500"/>
    <n v="31290.000000000004"/>
    <s v="Outubro"/>
    <s v="Uk"/>
    <s v="John Smith"/>
  </r>
  <r>
    <n v="10285"/>
    <x v="0"/>
    <x v="9"/>
    <x v="284"/>
    <x v="4"/>
    <x v="4"/>
    <x v="2"/>
    <n v="12"/>
    <n v="144"/>
    <n v="36000"/>
    <n v="6840"/>
    <s v="Outubro"/>
    <s v="Uk"/>
    <s v="Liam Lee"/>
  </r>
  <r>
    <n v="10286"/>
    <x v="0"/>
    <x v="9"/>
    <x v="285"/>
    <x v="0"/>
    <x v="0"/>
    <x v="4"/>
    <n v="6"/>
    <n v="237"/>
    <n v="82950"/>
    <n v="36498"/>
    <s v="Outubro"/>
    <s v="Usa"/>
    <s v="Emily White"/>
  </r>
  <r>
    <n v="10287"/>
    <x v="0"/>
    <x v="9"/>
    <x v="286"/>
    <x v="1"/>
    <x v="4"/>
    <x v="1"/>
    <n v="7"/>
    <n v="146"/>
    <n v="73000"/>
    <n v="29930"/>
    <s v="Outubro"/>
    <s v="Canada"/>
    <s v="Liam Lee"/>
  </r>
  <r>
    <n v="10288"/>
    <x v="0"/>
    <x v="9"/>
    <x v="287"/>
    <x v="4"/>
    <x v="0"/>
    <x v="2"/>
    <n v="6"/>
    <n v="366"/>
    <n v="91500"/>
    <n v="9150"/>
    <s v="Outubro"/>
    <s v="Uk"/>
    <s v="Emily White"/>
  </r>
  <r>
    <n v="10289"/>
    <x v="0"/>
    <x v="9"/>
    <x v="288"/>
    <x v="0"/>
    <x v="2"/>
    <x v="3"/>
    <n v="23"/>
    <n v="443"/>
    <n v="376550"/>
    <n v="105434.00000000001"/>
    <s v="Outubro"/>
    <s v="Usa"/>
    <s v="Jane Doe"/>
  </r>
  <r>
    <n v="10290"/>
    <x v="0"/>
    <x v="9"/>
    <x v="289"/>
    <x v="0"/>
    <x v="3"/>
    <x v="2"/>
    <n v="13"/>
    <n v="371"/>
    <n v="92750"/>
    <n v="22260"/>
    <s v="Outubro"/>
    <s v="Usa"/>
    <s v="John Smith"/>
  </r>
  <r>
    <n v="10291"/>
    <x v="0"/>
    <x v="9"/>
    <x v="290"/>
    <x v="0"/>
    <x v="2"/>
    <x v="2"/>
    <n v="21"/>
    <n v="313"/>
    <n v="78250"/>
    <n v="28170"/>
    <s v="Outubro"/>
    <s v="Usa"/>
    <s v="Jane Doe"/>
  </r>
  <r>
    <n v="10292"/>
    <x v="0"/>
    <x v="9"/>
    <x v="291"/>
    <x v="4"/>
    <x v="2"/>
    <x v="1"/>
    <n v="21"/>
    <n v="370"/>
    <n v="185000"/>
    <n v="42550"/>
    <s v="Outubro"/>
    <s v="Uk"/>
    <s v="Jane Doe"/>
  </r>
  <r>
    <n v="10293"/>
    <x v="0"/>
    <x v="9"/>
    <x v="292"/>
    <x v="2"/>
    <x v="2"/>
    <x v="3"/>
    <n v="13"/>
    <n v="141"/>
    <n v="119850"/>
    <n v="22771.5"/>
    <s v="Outubro"/>
    <s v="Australia"/>
    <s v="Jane Doe"/>
  </r>
  <r>
    <n v="10294"/>
    <x v="0"/>
    <x v="9"/>
    <x v="293"/>
    <x v="1"/>
    <x v="0"/>
    <x v="2"/>
    <n v="5"/>
    <n v="229"/>
    <n v="57250"/>
    <n v="9732.5"/>
    <s v="Outubro"/>
    <s v="Canada"/>
    <s v="Emily White"/>
  </r>
  <r>
    <n v="10295"/>
    <x v="0"/>
    <x v="9"/>
    <x v="294"/>
    <x v="3"/>
    <x v="1"/>
    <x v="3"/>
    <n v="10"/>
    <n v="294"/>
    <n v="249900"/>
    <n v="34986"/>
    <s v="Outubro"/>
    <s v="New Zealand"/>
    <s v="James Brown"/>
  </r>
  <r>
    <n v="10296"/>
    <x v="0"/>
    <x v="9"/>
    <x v="295"/>
    <x v="0"/>
    <x v="0"/>
    <x v="1"/>
    <n v="9"/>
    <n v="302"/>
    <n v="151000"/>
    <n v="33220"/>
    <s v="Outubro"/>
    <s v="Usa"/>
    <s v="Emily White"/>
  </r>
  <r>
    <n v="10297"/>
    <x v="0"/>
    <x v="9"/>
    <x v="296"/>
    <x v="4"/>
    <x v="4"/>
    <x v="4"/>
    <n v="28"/>
    <n v="358"/>
    <n v="125300"/>
    <n v="56385"/>
    <s v="Outubro"/>
    <s v="Uk"/>
    <s v="Liam Lee"/>
  </r>
  <r>
    <n v="10298"/>
    <x v="0"/>
    <x v="9"/>
    <x v="297"/>
    <x v="2"/>
    <x v="1"/>
    <x v="1"/>
    <n v="1"/>
    <n v="12"/>
    <n v="6000"/>
    <n v="2520"/>
    <s v="Outubro"/>
    <s v="Australia"/>
    <s v="James Brown"/>
  </r>
  <r>
    <n v="10299"/>
    <x v="0"/>
    <x v="9"/>
    <x v="298"/>
    <x v="1"/>
    <x v="1"/>
    <x v="4"/>
    <n v="14"/>
    <n v="257"/>
    <n v="89950"/>
    <n v="26985"/>
    <s v="Outubro"/>
    <s v="Canada"/>
    <s v="James Brown"/>
  </r>
  <r>
    <n v="10300"/>
    <x v="0"/>
    <x v="9"/>
    <x v="299"/>
    <x v="1"/>
    <x v="3"/>
    <x v="1"/>
    <n v="29"/>
    <n v="341"/>
    <n v="170500"/>
    <n v="57970.000000000007"/>
    <s v="Outubro"/>
    <s v="Canada"/>
    <s v="John Smith"/>
  </r>
  <r>
    <n v="10301"/>
    <x v="0"/>
    <x v="9"/>
    <x v="300"/>
    <x v="4"/>
    <x v="0"/>
    <x v="4"/>
    <n v="8"/>
    <n v="180"/>
    <n v="63000"/>
    <n v="25200"/>
    <s v="Outubro"/>
    <s v="Uk"/>
    <s v="Emily White"/>
  </r>
  <r>
    <n v="10302"/>
    <x v="0"/>
    <x v="9"/>
    <x v="301"/>
    <x v="2"/>
    <x v="0"/>
    <x v="2"/>
    <n v="18"/>
    <n v="205"/>
    <n v="51250"/>
    <n v="22550"/>
    <s v="Outubro"/>
    <s v="Australia"/>
    <s v="Emily White"/>
  </r>
  <r>
    <n v="10303"/>
    <x v="0"/>
    <x v="9"/>
    <x v="302"/>
    <x v="4"/>
    <x v="1"/>
    <x v="2"/>
    <n v="14"/>
    <n v="490"/>
    <n v="122500"/>
    <n v="40425"/>
    <s v="Outubro"/>
    <s v="Uk"/>
    <s v="James Brown"/>
  </r>
  <r>
    <n v="10304"/>
    <x v="0"/>
    <x v="9"/>
    <x v="303"/>
    <x v="2"/>
    <x v="3"/>
    <x v="3"/>
    <n v="23"/>
    <n v="448"/>
    <n v="380800"/>
    <n v="91392"/>
    <s v="Outubro"/>
    <s v="Australia"/>
    <s v="John Smith"/>
  </r>
  <r>
    <n v="10305"/>
    <x v="0"/>
    <x v="10"/>
    <x v="304"/>
    <x v="0"/>
    <x v="3"/>
    <x v="0"/>
    <n v="8"/>
    <n v="238"/>
    <n v="178500"/>
    <n v="64260"/>
    <s v="Novembro"/>
    <s v="Usa"/>
    <s v="John Smith"/>
  </r>
  <r>
    <n v="10306"/>
    <x v="0"/>
    <x v="10"/>
    <x v="305"/>
    <x v="4"/>
    <x v="1"/>
    <x v="2"/>
    <n v="18"/>
    <n v="195"/>
    <n v="48750"/>
    <n v="21937.5"/>
    <s v="Novembro"/>
    <s v="Uk"/>
    <s v="James Brown"/>
  </r>
  <r>
    <n v="10307"/>
    <x v="0"/>
    <x v="10"/>
    <x v="306"/>
    <x v="3"/>
    <x v="1"/>
    <x v="1"/>
    <n v="5"/>
    <n v="311"/>
    <n v="155500"/>
    <n v="59090"/>
    <s v="Novembro"/>
    <s v="New Zealand"/>
    <s v="James Brown"/>
  </r>
  <r>
    <n v="10308"/>
    <x v="0"/>
    <x v="10"/>
    <x v="307"/>
    <x v="0"/>
    <x v="1"/>
    <x v="0"/>
    <n v="24"/>
    <n v="437"/>
    <n v="327750"/>
    <n v="111435.00000000001"/>
    <s v="Novembro"/>
    <s v="Usa"/>
    <s v="James Brown"/>
  </r>
  <r>
    <n v="10309"/>
    <x v="0"/>
    <x v="10"/>
    <x v="308"/>
    <x v="3"/>
    <x v="3"/>
    <x v="4"/>
    <n v="14"/>
    <n v="392"/>
    <n v="137200"/>
    <n v="16464"/>
    <s v="Novembro"/>
    <s v="New Zealand"/>
    <s v="John Smith"/>
  </r>
  <r>
    <n v="10310"/>
    <x v="0"/>
    <x v="10"/>
    <x v="309"/>
    <x v="2"/>
    <x v="4"/>
    <x v="2"/>
    <n v="27"/>
    <n v="446"/>
    <n v="111500"/>
    <n v="41255"/>
    <s v="Novembro"/>
    <s v="Australia"/>
    <s v="Liam Lee"/>
  </r>
  <r>
    <n v="10311"/>
    <x v="0"/>
    <x v="10"/>
    <x v="310"/>
    <x v="3"/>
    <x v="2"/>
    <x v="0"/>
    <n v="2"/>
    <n v="79"/>
    <n v="59250"/>
    <n v="14220"/>
    <s v="Novembro"/>
    <s v="New Zealand"/>
    <s v="Jane Doe"/>
  </r>
  <r>
    <n v="10312"/>
    <x v="0"/>
    <x v="10"/>
    <x v="311"/>
    <x v="1"/>
    <x v="1"/>
    <x v="0"/>
    <n v="4"/>
    <n v="160"/>
    <n v="120000"/>
    <n v="40800"/>
    <s v="Novembro"/>
    <s v="Canada"/>
    <s v="James Brown"/>
  </r>
  <r>
    <n v="10313"/>
    <x v="0"/>
    <x v="10"/>
    <x v="312"/>
    <x v="4"/>
    <x v="4"/>
    <x v="3"/>
    <n v="3"/>
    <n v="136"/>
    <n v="115600"/>
    <n v="12716"/>
    <s v="Novembro"/>
    <s v="Uk"/>
    <s v="Liam Lee"/>
  </r>
  <r>
    <n v="10314"/>
    <x v="0"/>
    <x v="10"/>
    <x v="313"/>
    <x v="2"/>
    <x v="4"/>
    <x v="0"/>
    <n v="6"/>
    <n v="129"/>
    <n v="96750"/>
    <n v="12577.5"/>
    <s v="Novembro"/>
    <s v="Australia"/>
    <s v="Liam Lee"/>
  </r>
  <r>
    <n v="10315"/>
    <x v="0"/>
    <x v="10"/>
    <x v="314"/>
    <x v="4"/>
    <x v="1"/>
    <x v="1"/>
    <n v="3"/>
    <n v="46"/>
    <n v="23000"/>
    <n v="4600"/>
    <s v="Novembro"/>
    <s v="Uk"/>
    <s v="James Brown"/>
  </r>
  <r>
    <n v="10316"/>
    <x v="0"/>
    <x v="10"/>
    <x v="315"/>
    <x v="1"/>
    <x v="1"/>
    <x v="0"/>
    <n v="12"/>
    <n v="219"/>
    <n v="164250"/>
    <n v="60772.5"/>
    <s v="Novembro"/>
    <s v="Canada"/>
    <s v="James Brown"/>
  </r>
  <r>
    <n v="10317"/>
    <x v="0"/>
    <x v="10"/>
    <x v="316"/>
    <x v="1"/>
    <x v="0"/>
    <x v="1"/>
    <n v="26"/>
    <n v="320"/>
    <n v="160000"/>
    <n v="59200"/>
    <s v="Novembro"/>
    <s v="Canada"/>
    <s v="Emily White"/>
  </r>
  <r>
    <n v="10318"/>
    <x v="0"/>
    <x v="10"/>
    <x v="317"/>
    <x v="0"/>
    <x v="1"/>
    <x v="2"/>
    <n v="40"/>
    <n v="463"/>
    <n v="115750"/>
    <n v="20835"/>
    <s v="Novembro"/>
    <s v="Usa"/>
    <s v="James Brown"/>
  </r>
  <r>
    <n v="10319"/>
    <x v="0"/>
    <x v="10"/>
    <x v="318"/>
    <x v="3"/>
    <x v="0"/>
    <x v="4"/>
    <n v="6"/>
    <n v="85"/>
    <n v="29750"/>
    <n v="11900"/>
    <s v="Novembro"/>
    <s v="New Zealand"/>
    <s v="Emily White"/>
  </r>
  <r>
    <n v="10320"/>
    <x v="0"/>
    <x v="10"/>
    <x v="319"/>
    <x v="4"/>
    <x v="1"/>
    <x v="3"/>
    <n v="15"/>
    <n v="316"/>
    <n v="268600"/>
    <n v="64464"/>
    <s v="Novembro"/>
    <s v="Uk"/>
    <s v="James Brown"/>
  </r>
  <r>
    <n v="10321"/>
    <x v="0"/>
    <x v="10"/>
    <x v="320"/>
    <x v="1"/>
    <x v="0"/>
    <x v="4"/>
    <n v="1"/>
    <n v="15"/>
    <n v="5250"/>
    <n v="2257.5"/>
    <s v="Novembro"/>
    <s v="Canada"/>
    <s v="Emily White"/>
  </r>
  <r>
    <n v="10322"/>
    <x v="0"/>
    <x v="10"/>
    <x v="321"/>
    <x v="1"/>
    <x v="3"/>
    <x v="1"/>
    <n v="17"/>
    <n v="402"/>
    <n v="201000"/>
    <n v="90450"/>
    <s v="Novembro"/>
    <s v="Canada"/>
    <s v="John Smith"/>
  </r>
  <r>
    <n v="10323"/>
    <x v="0"/>
    <x v="10"/>
    <x v="322"/>
    <x v="3"/>
    <x v="4"/>
    <x v="1"/>
    <n v="10"/>
    <n v="111"/>
    <n v="55500"/>
    <n v="8325"/>
    <s v="Novembro"/>
    <s v="New Zealand"/>
    <s v="Liam Lee"/>
  </r>
  <r>
    <n v="10324"/>
    <x v="0"/>
    <x v="10"/>
    <x v="323"/>
    <x v="0"/>
    <x v="0"/>
    <x v="1"/>
    <n v="6"/>
    <n v="265"/>
    <n v="132500"/>
    <n v="50350"/>
    <s v="Novembro"/>
    <s v="Usa"/>
    <s v="Emily White"/>
  </r>
  <r>
    <n v="10325"/>
    <x v="0"/>
    <x v="10"/>
    <x v="324"/>
    <x v="2"/>
    <x v="1"/>
    <x v="1"/>
    <n v="8"/>
    <n v="190"/>
    <n v="95000"/>
    <n v="31350"/>
    <s v="Novembro"/>
    <s v="Australia"/>
    <s v="James Brown"/>
  </r>
  <r>
    <n v="10326"/>
    <x v="0"/>
    <x v="10"/>
    <x v="325"/>
    <x v="2"/>
    <x v="1"/>
    <x v="1"/>
    <n v="6"/>
    <n v="62"/>
    <n v="31000"/>
    <n v="9300"/>
    <s v="Novembro"/>
    <s v="Australia"/>
    <s v="James Brown"/>
  </r>
  <r>
    <n v="10327"/>
    <x v="0"/>
    <x v="10"/>
    <x v="326"/>
    <x v="3"/>
    <x v="0"/>
    <x v="2"/>
    <n v="1"/>
    <n v="46"/>
    <n v="11500"/>
    <n v="4945"/>
    <s v="Novembro"/>
    <s v="New Zealand"/>
    <s v="Emily White"/>
  </r>
  <r>
    <n v="10328"/>
    <x v="0"/>
    <x v="10"/>
    <x v="327"/>
    <x v="0"/>
    <x v="2"/>
    <x v="0"/>
    <n v="9"/>
    <n v="279"/>
    <n v="209250"/>
    <n v="31387.5"/>
    <s v="Novembro"/>
    <s v="Usa"/>
    <s v="Jane Doe"/>
  </r>
  <r>
    <n v="10329"/>
    <x v="0"/>
    <x v="10"/>
    <x v="328"/>
    <x v="1"/>
    <x v="1"/>
    <x v="1"/>
    <n v="16"/>
    <n v="243"/>
    <n v="121500"/>
    <n v="32805"/>
    <s v="Novembro"/>
    <s v="Canada"/>
    <s v="James Brown"/>
  </r>
  <r>
    <n v="10330"/>
    <x v="0"/>
    <x v="10"/>
    <x v="329"/>
    <x v="1"/>
    <x v="1"/>
    <x v="0"/>
    <n v="27"/>
    <n v="314"/>
    <n v="235500"/>
    <n v="82425"/>
    <s v="Novembro"/>
    <s v="Canada"/>
    <s v="James Brown"/>
  </r>
  <r>
    <n v="10331"/>
    <x v="0"/>
    <x v="10"/>
    <x v="330"/>
    <x v="4"/>
    <x v="4"/>
    <x v="2"/>
    <n v="11"/>
    <n v="194"/>
    <n v="48500"/>
    <n v="15035"/>
    <s v="Novembro"/>
    <s v="Uk"/>
    <s v="Liam Lee"/>
  </r>
  <r>
    <n v="10332"/>
    <x v="0"/>
    <x v="10"/>
    <x v="331"/>
    <x v="4"/>
    <x v="4"/>
    <x v="0"/>
    <n v="36"/>
    <n v="395"/>
    <n v="296250"/>
    <n v="65175"/>
    <s v="Novembro"/>
    <s v="Uk"/>
    <s v="Liam Lee"/>
  </r>
  <r>
    <n v="10333"/>
    <x v="0"/>
    <x v="10"/>
    <x v="332"/>
    <x v="1"/>
    <x v="3"/>
    <x v="2"/>
    <n v="6"/>
    <n v="234"/>
    <n v="58500"/>
    <n v="7020"/>
    <s v="Novembro"/>
    <s v="Canada"/>
    <s v="John Smith"/>
  </r>
  <r>
    <n v="10334"/>
    <x v="0"/>
    <x v="10"/>
    <x v="333"/>
    <x v="0"/>
    <x v="1"/>
    <x v="1"/>
    <n v="1"/>
    <n v="10"/>
    <n v="5000"/>
    <n v="1500"/>
    <s v="Novembro"/>
    <s v="Usa"/>
    <s v="James Brown"/>
  </r>
  <r>
    <n v="10335"/>
    <x v="0"/>
    <x v="11"/>
    <x v="334"/>
    <x v="4"/>
    <x v="3"/>
    <x v="4"/>
    <n v="12"/>
    <n v="496"/>
    <n v="173600"/>
    <n v="74648"/>
    <s v="Dezembro"/>
    <s v="Uk"/>
    <s v="John Smith"/>
  </r>
  <r>
    <n v="10336"/>
    <x v="0"/>
    <x v="11"/>
    <x v="335"/>
    <x v="0"/>
    <x v="1"/>
    <x v="2"/>
    <n v="28"/>
    <n v="325"/>
    <n v="81250"/>
    <n v="32500"/>
    <s v="Dezembro"/>
    <s v="Usa"/>
    <s v="James Brown"/>
  </r>
  <r>
    <n v="10337"/>
    <x v="0"/>
    <x v="11"/>
    <x v="336"/>
    <x v="0"/>
    <x v="1"/>
    <x v="0"/>
    <n v="13"/>
    <n v="241"/>
    <n v="180750"/>
    <n v="74107.5"/>
    <s v="Dezembro"/>
    <s v="Usa"/>
    <s v="James Brown"/>
  </r>
  <r>
    <n v="10338"/>
    <x v="0"/>
    <x v="11"/>
    <x v="337"/>
    <x v="1"/>
    <x v="0"/>
    <x v="0"/>
    <n v="35"/>
    <n v="404"/>
    <n v="303000"/>
    <n v="112110"/>
    <s v="Dezembro"/>
    <s v="Canada"/>
    <s v="Emily White"/>
  </r>
  <r>
    <n v="10339"/>
    <x v="0"/>
    <x v="11"/>
    <x v="338"/>
    <x v="2"/>
    <x v="4"/>
    <x v="1"/>
    <n v="9"/>
    <n v="203"/>
    <n v="101500"/>
    <n v="11165"/>
    <s v="Dezembro"/>
    <s v="Australia"/>
    <s v="Liam Lee"/>
  </r>
  <r>
    <n v="10340"/>
    <x v="0"/>
    <x v="11"/>
    <x v="339"/>
    <x v="0"/>
    <x v="2"/>
    <x v="1"/>
    <n v="13"/>
    <n v="330"/>
    <n v="165000"/>
    <n v="59400"/>
    <s v="Dezembro"/>
    <s v="Usa"/>
    <s v="Jane Doe"/>
  </r>
  <r>
    <n v="10341"/>
    <x v="0"/>
    <x v="11"/>
    <x v="340"/>
    <x v="4"/>
    <x v="4"/>
    <x v="1"/>
    <n v="16"/>
    <n v="314"/>
    <n v="157000"/>
    <n v="37680"/>
    <s v="Dezembro"/>
    <s v="Uk"/>
    <s v="Liam Lee"/>
  </r>
  <r>
    <n v="10342"/>
    <x v="0"/>
    <x v="11"/>
    <x v="341"/>
    <x v="2"/>
    <x v="2"/>
    <x v="2"/>
    <n v="24"/>
    <n v="466"/>
    <n v="116500"/>
    <n v="51260"/>
    <s v="Dezembro"/>
    <s v="Australia"/>
    <s v="Jane Doe"/>
  </r>
  <r>
    <n v="10343"/>
    <x v="0"/>
    <x v="11"/>
    <x v="342"/>
    <x v="1"/>
    <x v="3"/>
    <x v="3"/>
    <n v="18"/>
    <n v="249"/>
    <n v="211650"/>
    <n v="71961"/>
    <s v="Dezembro"/>
    <s v="Canada"/>
    <s v="John Smith"/>
  </r>
  <r>
    <n v="10344"/>
    <x v="0"/>
    <x v="11"/>
    <x v="343"/>
    <x v="3"/>
    <x v="1"/>
    <x v="1"/>
    <n v="2"/>
    <n v="23"/>
    <n v="11500"/>
    <n v="4255"/>
    <s v="Dezembro"/>
    <s v="New Zealand"/>
    <s v="James Brown"/>
  </r>
  <r>
    <n v="10345"/>
    <x v="0"/>
    <x v="11"/>
    <x v="344"/>
    <x v="2"/>
    <x v="2"/>
    <x v="2"/>
    <n v="10"/>
    <n v="263"/>
    <n v="65750"/>
    <n v="25642.5"/>
    <s v="Dezembro"/>
    <s v="Australia"/>
    <s v="Jane Doe"/>
  </r>
  <r>
    <n v="10346"/>
    <x v="0"/>
    <x v="11"/>
    <x v="345"/>
    <x v="1"/>
    <x v="3"/>
    <x v="3"/>
    <n v="10"/>
    <n v="141"/>
    <n v="119850"/>
    <n v="53932.5"/>
    <s v="Dezembro"/>
    <s v="Canada"/>
    <s v="John Smith"/>
  </r>
  <r>
    <n v="10347"/>
    <x v="0"/>
    <x v="11"/>
    <x v="346"/>
    <x v="2"/>
    <x v="3"/>
    <x v="1"/>
    <n v="15"/>
    <n v="347"/>
    <n v="173500"/>
    <n v="69400"/>
    <s v="Dezembro"/>
    <s v="Australia"/>
    <s v="John Smith"/>
  </r>
  <r>
    <n v="10348"/>
    <x v="0"/>
    <x v="11"/>
    <x v="347"/>
    <x v="4"/>
    <x v="3"/>
    <x v="1"/>
    <n v="15"/>
    <n v="486"/>
    <n v="243000"/>
    <n v="77760"/>
    <s v="Dezembro"/>
    <s v="Uk"/>
    <s v="John Smith"/>
  </r>
  <r>
    <n v="10349"/>
    <x v="0"/>
    <x v="11"/>
    <x v="348"/>
    <x v="2"/>
    <x v="0"/>
    <x v="2"/>
    <n v="16"/>
    <n v="383"/>
    <n v="95750"/>
    <n v="14362.5"/>
    <s v="Dezembro"/>
    <s v="Australia"/>
    <s v="Emily White"/>
  </r>
  <r>
    <n v="10350"/>
    <x v="0"/>
    <x v="11"/>
    <x v="349"/>
    <x v="1"/>
    <x v="2"/>
    <x v="4"/>
    <n v="6"/>
    <n v="324"/>
    <n v="113400"/>
    <n v="26082"/>
    <s v="Dezembro"/>
    <s v="Canada"/>
    <s v="Jane Doe"/>
  </r>
  <r>
    <n v="10351"/>
    <x v="0"/>
    <x v="11"/>
    <x v="350"/>
    <x v="0"/>
    <x v="2"/>
    <x v="0"/>
    <n v="3"/>
    <n v="269"/>
    <n v="201750"/>
    <n v="54472.5"/>
    <s v="Dezembro"/>
    <s v="Usa"/>
    <s v="Jane Doe"/>
  </r>
  <r>
    <n v="10352"/>
    <x v="0"/>
    <x v="11"/>
    <x v="351"/>
    <x v="4"/>
    <x v="3"/>
    <x v="1"/>
    <n v="3"/>
    <n v="235"/>
    <n v="117500"/>
    <n v="16450"/>
    <s v="Dezembro"/>
    <s v="Uk"/>
    <s v="John Smith"/>
  </r>
  <r>
    <n v="10353"/>
    <x v="0"/>
    <x v="11"/>
    <x v="352"/>
    <x v="2"/>
    <x v="1"/>
    <x v="1"/>
    <n v="18"/>
    <n v="204"/>
    <n v="102000"/>
    <n v="27540"/>
    <s v="Dezembro"/>
    <s v="Australia"/>
    <s v="James Brown"/>
  </r>
  <r>
    <n v="10354"/>
    <x v="0"/>
    <x v="11"/>
    <x v="353"/>
    <x v="1"/>
    <x v="3"/>
    <x v="4"/>
    <n v="18"/>
    <n v="224"/>
    <n v="78400"/>
    <n v="16464"/>
    <s v="Dezembro"/>
    <s v="Canada"/>
    <s v="John Smith"/>
  </r>
  <r>
    <n v="10355"/>
    <x v="0"/>
    <x v="11"/>
    <x v="354"/>
    <x v="4"/>
    <x v="2"/>
    <x v="4"/>
    <n v="1"/>
    <n v="70"/>
    <n v="24500"/>
    <n v="10780"/>
    <s v="Dezembro"/>
    <s v="Uk"/>
    <s v="Jane Doe"/>
  </r>
  <r>
    <n v="10356"/>
    <x v="0"/>
    <x v="11"/>
    <x v="355"/>
    <x v="0"/>
    <x v="3"/>
    <x v="4"/>
    <n v="42"/>
    <n v="426"/>
    <n v="149100"/>
    <n v="47712"/>
    <s v="Dezembro"/>
    <s v="Usa"/>
    <s v="John Smith"/>
  </r>
  <r>
    <n v="10357"/>
    <x v="0"/>
    <x v="11"/>
    <x v="356"/>
    <x v="3"/>
    <x v="4"/>
    <x v="3"/>
    <n v="3"/>
    <n v="223"/>
    <n v="189550"/>
    <n v="79611"/>
    <s v="Dezembro"/>
    <s v="New Zealand"/>
    <s v="Liam Lee"/>
  </r>
  <r>
    <n v="10358"/>
    <x v="0"/>
    <x v="11"/>
    <x v="357"/>
    <x v="1"/>
    <x v="3"/>
    <x v="0"/>
    <n v="24"/>
    <n v="440"/>
    <n v="330000"/>
    <n v="75900"/>
    <s v="Dezembro"/>
    <s v="Canada"/>
    <s v="John Smith"/>
  </r>
  <r>
    <n v="10359"/>
    <x v="0"/>
    <x v="11"/>
    <x v="358"/>
    <x v="0"/>
    <x v="0"/>
    <x v="0"/>
    <n v="25"/>
    <n v="401"/>
    <n v="300750"/>
    <n v="57142.5"/>
    <s v="Dezembro"/>
    <s v="Usa"/>
    <s v="Emily White"/>
  </r>
  <r>
    <n v="10360"/>
    <x v="0"/>
    <x v="11"/>
    <x v="359"/>
    <x v="3"/>
    <x v="2"/>
    <x v="4"/>
    <n v="21"/>
    <n v="273"/>
    <n v="95550"/>
    <n v="34398"/>
    <s v="Dezembro"/>
    <s v="New Zealand"/>
    <s v="Jane Doe"/>
  </r>
  <r>
    <n v="10361"/>
    <x v="0"/>
    <x v="11"/>
    <x v="360"/>
    <x v="0"/>
    <x v="0"/>
    <x v="1"/>
    <n v="12"/>
    <n v="284"/>
    <n v="142000"/>
    <n v="58220"/>
    <s v="Dezembro"/>
    <s v="Usa"/>
    <s v="Emily White"/>
  </r>
  <r>
    <n v="10362"/>
    <x v="0"/>
    <x v="11"/>
    <x v="361"/>
    <x v="3"/>
    <x v="2"/>
    <x v="4"/>
    <n v="1"/>
    <n v="28"/>
    <n v="9800"/>
    <n v="2940"/>
    <s v="Dezembro"/>
    <s v="New Zealand"/>
    <s v="Jane Doe"/>
  </r>
  <r>
    <n v="10363"/>
    <x v="0"/>
    <x v="11"/>
    <x v="362"/>
    <x v="1"/>
    <x v="0"/>
    <x v="0"/>
    <n v="15"/>
    <n v="168"/>
    <n v="126000"/>
    <n v="50400"/>
    <s v="Dezembro"/>
    <s v="Canada"/>
    <s v="Emily White"/>
  </r>
  <r>
    <n v="10364"/>
    <x v="0"/>
    <x v="11"/>
    <x v="363"/>
    <x v="3"/>
    <x v="3"/>
    <x v="1"/>
    <n v="4"/>
    <n v="140"/>
    <n v="70000"/>
    <n v="30100"/>
    <s v="Dezembro"/>
    <s v="New Zealand"/>
    <s v="John Smith"/>
  </r>
  <r>
    <n v="10365"/>
    <x v="0"/>
    <x v="11"/>
    <x v="364"/>
    <x v="3"/>
    <x v="3"/>
    <x v="3"/>
    <n v="1"/>
    <n v="33"/>
    <n v="28050"/>
    <n v="11220"/>
    <s v="Dezembro"/>
    <s v="New Zealand"/>
    <s v="John Smith"/>
  </r>
  <r>
    <n v="10366"/>
    <x v="1"/>
    <x v="0"/>
    <x v="365"/>
    <x v="3"/>
    <x v="1"/>
    <x v="1"/>
    <n v="9"/>
    <n v="132"/>
    <n v="66000"/>
    <n v="17160"/>
    <s v="Janeiro"/>
    <s v="New Zealand"/>
    <s v="James Brown"/>
  </r>
  <r>
    <n v="10367"/>
    <x v="1"/>
    <x v="0"/>
    <x v="366"/>
    <x v="3"/>
    <x v="4"/>
    <x v="1"/>
    <n v="12"/>
    <n v="349"/>
    <n v="174500"/>
    <n v="22685"/>
    <s v="Janeiro"/>
    <s v="New Zealand"/>
    <s v="Liam Lee"/>
  </r>
  <r>
    <n v="10368"/>
    <x v="1"/>
    <x v="0"/>
    <x v="367"/>
    <x v="1"/>
    <x v="3"/>
    <x v="3"/>
    <n v="7"/>
    <n v="248"/>
    <n v="210800"/>
    <n v="35836"/>
    <s v="Janeiro"/>
    <s v="Canada"/>
    <s v="John Smith"/>
  </r>
  <r>
    <n v="10369"/>
    <x v="1"/>
    <x v="0"/>
    <x v="368"/>
    <x v="1"/>
    <x v="4"/>
    <x v="1"/>
    <n v="1"/>
    <n v="60"/>
    <n v="30000"/>
    <n v="6900"/>
    <s v="Janeiro"/>
    <s v="Canada"/>
    <s v="Liam Lee"/>
  </r>
  <r>
    <n v="10370"/>
    <x v="1"/>
    <x v="0"/>
    <x v="369"/>
    <x v="0"/>
    <x v="4"/>
    <x v="1"/>
    <n v="3"/>
    <n v="225"/>
    <n v="112500"/>
    <n v="11250"/>
    <s v="Janeiro"/>
    <s v="Usa"/>
    <s v="Liam Lee"/>
  </r>
  <r>
    <n v="10371"/>
    <x v="1"/>
    <x v="0"/>
    <x v="370"/>
    <x v="1"/>
    <x v="4"/>
    <x v="1"/>
    <n v="40"/>
    <n v="437"/>
    <n v="218500"/>
    <n v="43700"/>
    <s v="Janeiro"/>
    <s v="Canada"/>
    <s v="Liam Lee"/>
  </r>
  <r>
    <n v="10372"/>
    <x v="1"/>
    <x v="0"/>
    <x v="371"/>
    <x v="2"/>
    <x v="4"/>
    <x v="4"/>
    <n v="18"/>
    <n v="207"/>
    <n v="72450"/>
    <n v="26082"/>
    <s v="Janeiro"/>
    <s v="Australia"/>
    <s v="Liam Lee"/>
  </r>
  <r>
    <n v="10373"/>
    <x v="1"/>
    <x v="0"/>
    <x v="372"/>
    <x v="3"/>
    <x v="2"/>
    <x v="2"/>
    <n v="1"/>
    <n v="22"/>
    <n v="5500"/>
    <n v="1540.0000000000002"/>
    <s v="Janeiro"/>
    <s v="New Zealand"/>
    <s v="Jane Doe"/>
  </r>
  <r>
    <n v="10374"/>
    <x v="1"/>
    <x v="0"/>
    <x v="373"/>
    <x v="1"/>
    <x v="4"/>
    <x v="2"/>
    <n v="4"/>
    <n v="155"/>
    <n v="38750"/>
    <n v="13175.000000000002"/>
    <s v="Janeiro"/>
    <s v="Canada"/>
    <s v="Liam Lee"/>
  </r>
  <r>
    <n v="10375"/>
    <x v="1"/>
    <x v="0"/>
    <x v="374"/>
    <x v="1"/>
    <x v="0"/>
    <x v="1"/>
    <n v="35"/>
    <n v="442"/>
    <n v="221000"/>
    <n v="26520"/>
    <s v="Janeiro"/>
    <s v="Canada"/>
    <s v="Emily White"/>
  </r>
  <r>
    <n v="10376"/>
    <x v="1"/>
    <x v="0"/>
    <x v="375"/>
    <x v="3"/>
    <x v="1"/>
    <x v="4"/>
    <n v="33"/>
    <n v="417"/>
    <n v="145950"/>
    <n v="45244.5"/>
    <s v="Janeiro"/>
    <s v="New Zealand"/>
    <s v="James Brown"/>
  </r>
  <r>
    <n v="10377"/>
    <x v="1"/>
    <x v="0"/>
    <x v="376"/>
    <x v="0"/>
    <x v="0"/>
    <x v="3"/>
    <n v="7"/>
    <n v="99"/>
    <n v="84150"/>
    <n v="19354.5"/>
    <s v="Janeiro"/>
    <s v="Usa"/>
    <s v="Emily White"/>
  </r>
  <r>
    <n v="10378"/>
    <x v="1"/>
    <x v="0"/>
    <x v="377"/>
    <x v="0"/>
    <x v="3"/>
    <x v="1"/>
    <n v="16"/>
    <n v="237"/>
    <n v="118500"/>
    <n v="53325"/>
    <s v="Janeiro"/>
    <s v="Usa"/>
    <s v="John Smith"/>
  </r>
  <r>
    <n v="10379"/>
    <x v="1"/>
    <x v="0"/>
    <x v="378"/>
    <x v="1"/>
    <x v="1"/>
    <x v="3"/>
    <n v="6"/>
    <n v="90"/>
    <n v="76500"/>
    <n v="7650"/>
    <s v="Janeiro"/>
    <s v="Canada"/>
    <s v="James Brown"/>
  </r>
  <r>
    <n v="10380"/>
    <x v="1"/>
    <x v="0"/>
    <x v="379"/>
    <x v="1"/>
    <x v="1"/>
    <x v="0"/>
    <n v="7"/>
    <n v="77"/>
    <n v="57750"/>
    <n v="12705"/>
    <s v="Janeiro"/>
    <s v="Canada"/>
    <s v="James Brown"/>
  </r>
  <r>
    <n v="10381"/>
    <x v="1"/>
    <x v="0"/>
    <x v="380"/>
    <x v="0"/>
    <x v="3"/>
    <x v="0"/>
    <n v="25"/>
    <n v="472"/>
    <n v="354000"/>
    <n v="63720"/>
    <s v="Janeiro"/>
    <s v="Usa"/>
    <s v="John Smith"/>
  </r>
  <r>
    <n v="10382"/>
    <x v="1"/>
    <x v="0"/>
    <x v="381"/>
    <x v="4"/>
    <x v="0"/>
    <x v="1"/>
    <n v="8"/>
    <n v="138"/>
    <n v="69000"/>
    <n v="13110"/>
    <s v="Janeiro"/>
    <s v="Uk"/>
    <s v="Emily White"/>
  </r>
  <r>
    <n v="10383"/>
    <x v="1"/>
    <x v="0"/>
    <x v="382"/>
    <x v="3"/>
    <x v="2"/>
    <x v="1"/>
    <n v="17"/>
    <n v="186"/>
    <n v="93000"/>
    <n v="19530"/>
    <s v="Janeiro"/>
    <s v="New Zealand"/>
    <s v="Jane Doe"/>
  </r>
  <r>
    <n v="10384"/>
    <x v="1"/>
    <x v="0"/>
    <x v="383"/>
    <x v="4"/>
    <x v="3"/>
    <x v="1"/>
    <n v="9"/>
    <n v="336"/>
    <n v="168000"/>
    <n v="48720"/>
    <s v="Janeiro"/>
    <s v="Uk"/>
    <s v="John Smith"/>
  </r>
  <r>
    <n v="10385"/>
    <x v="1"/>
    <x v="0"/>
    <x v="384"/>
    <x v="1"/>
    <x v="0"/>
    <x v="1"/>
    <n v="18"/>
    <n v="208"/>
    <n v="104000"/>
    <n v="28080.000000000004"/>
    <s v="Janeiro"/>
    <s v="Canada"/>
    <s v="Emily White"/>
  </r>
  <r>
    <n v="10386"/>
    <x v="1"/>
    <x v="0"/>
    <x v="385"/>
    <x v="3"/>
    <x v="2"/>
    <x v="3"/>
    <n v="32"/>
    <n v="342"/>
    <n v="290700"/>
    <n v="127908"/>
    <s v="Janeiro"/>
    <s v="New Zealand"/>
    <s v="Jane Doe"/>
  </r>
  <r>
    <n v="10387"/>
    <x v="1"/>
    <x v="0"/>
    <x v="386"/>
    <x v="0"/>
    <x v="2"/>
    <x v="4"/>
    <n v="3"/>
    <n v="66"/>
    <n v="23100"/>
    <n v="3465"/>
    <s v="Janeiro"/>
    <s v="Usa"/>
    <s v="Jane Doe"/>
  </r>
  <r>
    <n v="10388"/>
    <x v="1"/>
    <x v="0"/>
    <x v="387"/>
    <x v="1"/>
    <x v="3"/>
    <x v="2"/>
    <n v="9"/>
    <n v="220"/>
    <n v="55000"/>
    <n v="5500"/>
    <s v="Janeiro"/>
    <s v="Canada"/>
    <s v="John Smith"/>
  </r>
  <r>
    <n v="10389"/>
    <x v="1"/>
    <x v="0"/>
    <x v="388"/>
    <x v="3"/>
    <x v="0"/>
    <x v="0"/>
    <n v="7"/>
    <n v="87"/>
    <n v="65250"/>
    <n v="19575"/>
    <s v="Janeiro"/>
    <s v="New Zealand"/>
    <s v="Emily White"/>
  </r>
  <r>
    <n v="10390"/>
    <x v="1"/>
    <x v="0"/>
    <x v="389"/>
    <x v="4"/>
    <x v="4"/>
    <x v="3"/>
    <n v="1"/>
    <n v="42"/>
    <n v="35700"/>
    <n v="8211"/>
    <s v="Janeiro"/>
    <s v="Uk"/>
    <s v="Liam Lee"/>
  </r>
  <r>
    <n v="10391"/>
    <x v="1"/>
    <x v="0"/>
    <x v="390"/>
    <x v="2"/>
    <x v="4"/>
    <x v="4"/>
    <n v="42"/>
    <n v="497"/>
    <n v="173950"/>
    <n v="76538"/>
    <s v="Janeiro"/>
    <s v="Australia"/>
    <s v="Liam Lee"/>
  </r>
  <r>
    <n v="10392"/>
    <x v="1"/>
    <x v="0"/>
    <x v="391"/>
    <x v="0"/>
    <x v="4"/>
    <x v="3"/>
    <n v="35"/>
    <n v="356"/>
    <n v="302600"/>
    <n v="133144"/>
    <s v="Janeiro"/>
    <s v="Usa"/>
    <s v="Liam Lee"/>
  </r>
  <r>
    <n v="10393"/>
    <x v="1"/>
    <x v="0"/>
    <x v="392"/>
    <x v="3"/>
    <x v="0"/>
    <x v="0"/>
    <n v="11"/>
    <n v="121"/>
    <n v="90750"/>
    <n v="16335"/>
    <s v="Janeiro"/>
    <s v="New Zealand"/>
    <s v="Emily White"/>
  </r>
  <r>
    <n v="10394"/>
    <x v="1"/>
    <x v="0"/>
    <x v="393"/>
    <x v="2"/>
    <x v="0"/>
    <x v="2"/>
    <n v="1"/>
    <n v="72"/>
    <n v="18000"/>
    <n v="7740"/>
    <s v="Janeiro"/>
    <s v="Australia"/>
    <s v="Emily White"/>
  </r>
  <r>
    <n v="10395"/>
    <x v="1"/>
    <x v="0"/>
    <x v="394"/>
    <x v="1"/>
    <x v="4"/>
    <x v="4"/>
    <n v="9"/>
    <n v="366"/>
    <n v="128100"/>
    <n v="48678"/>
    <s v="Janeiro"/>
    <s v="Canada"/>
    <s v="Liam Lee"/>
  </r>
  <r>
    <n v="10396"/>
    <x v="1"/>
    <x v="0"/>
    <x v="395"/>
    <x v="3"/>
    <x v="4"/>
    <x v="4"/>
    <n v="26"/>
    <n v="264"/>
    <n v="92400"/>
    <n v="13860"/>
    <s v="Janeiro"/>
    <s v="New Zealand"/>
    <s v="Liam Lee"/>
  </r>
  <r>
    <n v="10397"/>
    <x v="1"/>
    <x v="1"/>
    <x v="396"/>
    <x v="3"/>
    <x v="1"/>
    <x v="2"/>
    <n v="5"/>
    <n v="167"/>
    <n v="41750"/>
    <n v="6680"/>
    <s v="Fevereiro"/>
    <s v="New Zealand"/>
    <s v="James Brown"/>
  </r>
  <r>
    <n v="10398"/>
    <x v="1"/>
    <x v="1"/>
    <x v="397"/>
    <x v="1"/>
    <x v="2"/>
    <x v="0"/>
    <n v="12"/>
    <n v="496"/>
    <n v="372000"/>
    <n v="89280"/>
    <s v="Fevereiro"/>
    <s v="Canada"/>
    <s v="Jane Doe"/>
  </r>
  <r>
    <n v="10399"/>
    <x v="1"/>
    <x v="1"/>
    <x v="398"/>
    <x v="0"/>
    <x v="3"/>
    <x v="1"/>
    <n v="23"/>
    <n v="279"/>
    <n v="139500"/>
    <n v="19530.000000000004"/>
    <s v="Fevereiro"/>
    <s v="Usa"/>
    <s v="John Smith"/>
  </r>
  <r>
    <n v="10400"/>
    <x v="1"/>
    <x v="1"/>
    <x v="399"/>
    <x v="2"/>
    <x v="3"/>
    <x v="2"/>
    <n v="37"/>
    <n v="477"/>
    <n v="119250"/>
    <n v="50085"/>
    <s v="Fevereiro"/>
    <s v="Australia"/>
    <s v="John Smith"/>
  </r>
  <r>
    <n v="10401"/>
    <x v="1"/>
    <x v="1"/>
    <x v="400"/>
    <x v="3"/>
    <x v="4"/>
    <x v="2"/>
    <n v="7"/>
    <n v="306"/>
    <n v="76500"/>
    <n v="13770"/>
    <s v="Fevereiro"/>
    <s v="New Zealand"/>
    <s v="Liam Lee"/>
  </r>
  <r>
    <n v="10402"/>
    <x v="1"/>
    <x v="1"/>
    <x v="401"/>
    <x v="2"/>
    <x v="3"/>
    <x v="1"/>
    <n v="46"/>
    <n v="492"/>
    <n v="246000"/>
    <n v="76260"/>
    <s v="Fevereiro"/>
    <s v="Australia"/>
    <s v="John Smith"/>
  </r>
  <r>
    <n v="10403"/>
    <x v="1"/>
    <x v="1"/>
    <x v="402"/>
    <x v="0"/>
    <x v="1"/>
    <x v="2"/>
    <n v="9"/>
    <n v="365"/>
    <n v="91250"/>
    <n v="10037.5"/>
    <s v="Fevereiro"/>
    <s v="Usa"/>
    <s v="James Brown"/>
  </r>
  <r>
    <n v="10404"/>
    <x v="1"/>
    <x v="1"/>
    <x v="403"/>
    <x v="1"/>
    <x v="0"/>
    <x v="1"/>
    <n v="11"/>
    <n v="449"/>
    <n v="224500"/>
    <n v="101025"/>
    <s v="Fevereiro"/>
    <s v="Canada"/>
    <s v="Emily White"/>
  </r>
  <r>
    <n v="10405"/>
    <x v="1"/>
    <x v="1"/>
    <x v="404"/>
    <x v="3"/>
    <x v="4"/>
    <x v="0"/>
    <n v="3"/>
    <n v="41"/>
    <n v="30750"/>
    <n v="7380"/>
    <s v="Fevereiro"/>
    <s v="New Zealand"/>
    <s v="Liam Lee"/>
  </r>
  <r>
    <n v="10406"/>
    <x v="1"/>
    <x v="1"/>
    <x v="405"/>
    <x v="4"/>
    <x v="2"/>
    <x v="3"/>
    <n v="6"/>
    <n v="149"/>
    <n v="126650"/>
    <n v="16464.5"/>
    <s v="Fevereiro"/>
    <s v="Uk"/>
    <s v="Jane Doe"/>
  </r>
  <r>
    <n v="10407"/>
    <x v="1"/>
    <x v="1"/>
    <x v="406"/>
    <x v="0"/>
    <x v="2"/>
    <x v="4"/>
    <n v="24"/>
    <n v="279"/>
    <n v="97650"/>
    <n v="27342.000000000004"/>
    <s v="Fevereiro"/>
    <s v="Usa"/>
    <s v="Jane Doe"/>
  </r>
  <r>
    <n v="10408"/>
    <x v="1"/>
    <x v="1"/>
    <x v="407"/>
    <x v="2"/>
    <x v="3"/>
    <x v="0"/>
    <n v="14"/>
    <n v="142"/>
    <n v="106500"/>
    <n v="15975"/>
    <s v="Fevereiro"/>
    <s v="Australia"/>
    <s v="John Smith"/>
  </r>
  <r>
    <n v="10409"/>
    <x v="1"/>
    <x v="1"/>
    <x v="408"/>
    <x v="1"/>
    <x v="3"/>
    <x v="2"/>
    <n v="3"/>
    <n v="107"/>
    <n v="26750"/>
    <n v="12037.5"/>
    <s v="Fevereiro"/>
    <s v="Canada"/>
    <s v="John Smith"/>
  </r>
  <r>
    <n v="10410"/>
    <x v="1"/>
    <x v="1"/>
    <x v="409"/>
    <x v="4"/>
    <x v="3"/>
    <x v="4"/>
    <n v="16"/>
    <n v="246"/>
    <n v="86100"/>
    <n v="24969"/>
    <s v="Fevereiro"/>
    <s v="Uk"/>
    <s v="John Smith"/>
  </r>
  <r>
    <n v="10411"/>
    <x v="1"/>
    <x v="1"/>
    <x v="410"/>
    <x v="0"/>
    <x v="3"/>
    <x v="1"/>
    <n v="1"/>
    <n v="78"/>
    <n v="39000"/>
    <n v="13650"/>
    <s v="Fevereiro"/>
    <s v="Usa"/>
    <s v="John Smith"/>
  </r>
  <r>
    <n v="10412"/>
    <x v="1"/>
    <x v="1"/>
    <x v="411"/>
    <x v="4"/>
    <x v="0"/>
    <x v="3"/>
    <n v="2"/>
    <n v="98"/>
    <n v="83300"/>
    <n v="14994"/>
    <s v="Fevereiro"/>
    <s v="Uk"/>
    <s v="Emily White"/>
  </r>
  <r>
    <n v="10413"/>
    <x v="1"/>
    <x v="1"/>
    <x v="412"/>
    <x v="3"/>
    <x v="1"/>
    <x v="1"/>
    <n v="1"/>
    <n v="16"/>
    <n v="8000"/>
    <n v="1920"/>
    <s v="Fevereiro"/>
    <s v="New Zealand"/>
    <s v="James Brown"/>
  </r>
  <r>
    <n v="10414"/>
    <x v="1"/>
    <x v="1"/>
    <x v="413"/>
    <x v="0"/>
    <x v="3"/>
    <x v="3"/>
    <n v="3"/>
    <n v="48"/>
    <n v="40800"/>
    <n v="6120"/>
    <s v="Fevereiro"/>
    <s v="Usa"/>
    <s v="John Smith"/>
  </r>
  <r>
    <n v="10415"/>
    <x v="1"/>
    <x v="1"/>
    <x v="414"/>
    <x v="4"/>
    <x v="0"/>
    <x v="3"/>
    <n v="1"/>
    <n v="63"/>
    <n v="53550"/>
    <n v="18207"/>
    <s v="Fevereiro"/>
    <s v="Uk"/>
    <s v="Emily White"/>
  </r>
  <r>
    <n v="10416"/>
    <x v="1"/>
    <x v="1"/>
    <x v="415"/>
    <x v="0"/>
    <x v="4"/>
    <x v="1"/>
    <n v="37"/>
    <n v="376"/>
    <n v="188000"/>
    <n v="24440"/>
    <s v="Fevereiro"/>
    <s v="Usa"/>
    <s v="Liam Lee"/>
  </r>
  <r>
    <n v="10417"/>
    <x v="1"/>
    <x v="1"/>
    <x v="416"/>
    <x v="1"/>
    <x v="3"/>
    <x v="0"/>
    <n v="12"/>
    <n v="291"/>
    <n v="218250"/>
    <n v="65475"/>
    <s v="Fevereiro"/>
    <s v="Canada"/>
    <s v="John Smith"/>
  </r>
  <r>
    <n v="10418"/>
    <x v="1"/>
    <x v="1"/>
    <x v="417"/>
    <x v="0"/>
    <x v="1"/>
    <x v="4"/>
    <n v="9"/>
    <n v="271"/>
    <n v="94850"/>
    <n v="19918.5"/>
    <s v="Fevereiro"/>
    <s v="Usa"/>
    <s v="James Brown"/>
  </r>
  <r>
    <n v="10419"/>
    <x v="1"/>
    <x v="1"/>
    <x v="418"/>
    <x v="1"/>
    <x v="1"/>
    <x v="4"/>
    <n v="17"/>
    <n v="223"/>
    <n v="78050"/>
    <n v="25756.5"/>
    <s v="Fevereiro"/>
    <s v="Canada"/>
    <s v="James Brown"/>
  </r>
  <r>
    <n v="10420"/>
    <x v="1"/>
    <x v="1"/>
    <x v="419"/>
    <x v="1"/>
    <x v="3"/>
    <x v="2"/>
    <n v="28"/>
    <n v="344"/>
    <n v="86000"/>
    <n v="18060"/>
    <s v="Fevereiro"/>
    <s v="Canada"/>
    <s v="John Smith"/>
  </r>
  <r>
    <n v="10421"/>
    <x v="1"/>
    <x v="1"/>
    <x v="420"/>
    <x v="4"/>
    <x v="2"/>
    <x v="4"/>
    <n v="23"/>
    <n v="435"/>
    <n v="152250"/>
    <n v="18270"/>
    <s v="Fevereiro"/>
    <s v="Uk"/>
    <s v="Jane Doe"/>
  </r>
  <r>
    <n v="10422"/>
    <x v="1"/>
    <x v="1"/>
    <x v="421"/>
    <x v="1"/>
    <x v="4"/>
    <x v="4"/>
    <n v="5"/>
    <n v="436"/>
    <n v="152600"/>
    <n v="16786"/>
    <s v="Fevereiro"/>
    <s v="Canada"/>
    <s v="Liam Lee"/>
  </r>
  <r>
    <n v="10423"/>
    <x v="1"/>
    <x v="1"/>
    <x v="422"/>
    <x v="2"/>
    <x v="4"/>
    <x v="2"/>
    <n v="35"/>
    <n v="472"/>
    <n v="118000"/>
    <n v="28320"/>
    <s v="Fevereiro"/>
    <s v="Australia"/>
    <s v="Liam Lee"/>
  </r>
  <r>
    <n v="10424"/>
    <x v="1"/>
    <x v="1"/>
    <x v="423"/>
    <x v="3"/>
    <x v="0"/>
    <x v="3"/>
    <n v="6"/>
    <n v="178"/>
    <n v="151300"/>
    <n v="30260"/>
    <s v="Fevereiro"/>
    <s v="New Zealand"/>
    <s v="Emily White"/>
  </r>
  <r>
    <n v="10425"/>
    <x v="1"/>
    <x v="1"/>
    <x v="424"/>
    <x v="0"/>
    <x v="4"/>
    <x v="2"/>
    <n v="30"/>
    <n v="363"/>
    <n v="90750"/>
    <n v="39930"/>
    <s v="Fevereiro"/>
    <s v="Usa"/>
    <s v="Liam Lee"/>
  </r>
  <r>
    <n v="10426"/>
    <x v="1"/>
    <x v="2"/>
    <x v="425"/>
    <x v="0"/>
    <x v="1"/>
    <x v="3"/>
    <n v="1"/>
    <n v="24"/>
    <n v="20400"/>
    <n v="8568"/>
    <s v="Março"/>
    <s v="Usa"/>
    <s v="James Brown"/>
  </r>
  <r>
    <n v="10427"/>
    <x v="1"/>
    <x v="2"/>
    <x v="426"/>
    <x v="0"/>
    <x v="4"/>
    <x v="0"/>
    <n v="12"/>
    <n v="124"/>
    <n v="93000"/>
    <n v="32549.999999999996"/>
    <s v="Março"/>
    <s v="Usa"/>
    <s v="Liam Lee"/>
  </r>
  <r>
    <n v="10428"/>
    <x v="1"/>
    <x v="2"/>
    <x v="427"/>
    <x v="0"/>
    <x v="3"/>
    <x v="3"/>
    <n v="35"/>
    <n v="429"/>
    <n v="364650"/>
    <n v="98455.5"/>
    <s v="Março"/>
    <s v="Usa"/>
    <s v="John Smith"/>
  </r>
  <r>
    <n v="10429"/>
    <x v="1"/>
    <x v="2"/>
    <x v="428"/>
    <x v="4"/>
    <x v="4"/>
    <x v="2"/>
    <n v="25"/>
    <n v="338"/>
    <n v="84500"/>
    <n v="22815"/>
    <s v="Março"/>
    <s v="Uk"/>
    <s v="Liam Lee"/>
  </r>
  <r>
    <n v="10430"/>
    <x v="1"/>
    <x v="2"/>
    <x v="429"/>
    <x v="1"/>
    <x v="3"/>
    <x v="4"/>
    <n v="15"/>
    <n v="175"/>
    <n v="61250"/>
    <n v="15925"/>
    <s v="Março"/>
    <s v="Canada"/>
    <s v="John Smith"/>
  </r>
  <r>
    <n v="10431"/>
    <x v="1"/>
    <x v="2"/>
    <x v="430"/>
    <x v="0"/>
    <x v="4"/>
    <x v="3"/>
    <n v="1"/>
    <n v="18"/>
    <n v="15300"/>
    <n v="6732"/>
    <s v="Março"/>
    <s v="Usa"/>
    <s v="Liam Lee"/>
  </r>
  <r>
    <n v="10432"/>
    <x v="1"/>
    <x v="2"/>
    <x v="431"/>
    <x v="4"/>
    <x v="2"/>
    <x v="2"/>
    <n v="6"/>
    <n v="327"/>
    <n v="81750"/>
    <n v="30247.5"/>
    <s v="Março"/>
    <s v="Uk"/>
    <s v="Jane Doe"/>
  </r>
  <r>
    <n v="10433"/>
    <x v="1"/>
    <x v="2"/>
    <x v="432"/>
    <x v="3"/>
    <x v="0"/>
    <x v="3"/>
    <n v="13"/>
    <n v="330"/>
    <n v="280500"/>
    <n v="100980"/>
    <s v="Março"/>
    <s v="New Zealand"/>
    <s v="Emily White"/>
  </r>
  <r>
    <n v="10434"/>
    <x v="1"/>
    <x v="2"/>
    <x v="433"/>
    <x v="4"/>
    <x v="1"/>
    <x v="0"/>
    <n v="8"/>
    <n v="185"/>
    <n v="138750"/>
    <n v="36075"/>
    <s v="Março"/>
    <s v="Uk"/>
    <s v="James Brown"/>
  </r>
  <r>
    <n v="10435"/>
    <x v="1"/>
    <x v="2"/>
    <x v="434"/>
    <x v="4"/>
    <x v="0"/>
    <x v="2"/>
    <n v="6"/>
    <n v="221"/>
    <n v="55250"/>
    <n v="8840"/>
    <s v="Março"/>
    <s v="Uk"/>
    <s v="Emily White"/>
  </r>
  <r>
    <n v="10436"/>
    <x v="1"/>
    <x v="2"/>
    <x v="435"/>
    <x v="4"/>
    <x v="0"/>
    <x v="4"/>
    <n v="22"/>
    <n v="475"/>
    <n v="166250"/>
    <n v="21612.5"/>
    <s v="Março"/>
    <s v="Uk"/>
    <s v="Emily White"/>
  </r>
  <r>
    <n v="10437"/>
    <x v="1"/>
    <x v="2"/>
    <x v="436"/>
    <x v="3"/>
    <x v="1"/>
    <x v="2"/>
    <n v="6"/>
    <n v="246"/>
    <n v="61500"/>
    <n v="12300"/>
    <s v="Março"/>
    <s v="New Zealand"/>
    <s v="James Brown"/>
  </r>
  <r>
    <n v="10438"/>
    <x v="1"/>
    <x v="2"/>
    <x v="437"/>
    <x v="3"/>
    <x v="3"/>
    <x v="4"/>
    <n v="23"/>
    <n v="326"/>
    <n v="114100"/>
    <n v="23961"/>
    <s v="Março"/>
    <s v="New Zealand"/>
    <s v="John Smith"/>
  </r>
  <r>
    <n v="10439"/>
    <x v="1"/>
    <x v="2"/>
    <x v="438"/>
    <x v="3"/>
    <x v="4"/>
    <x v="3"/>
    <n v="2"/>
    <n v="39"/>
    <n v="33150"/>
    <n v="5967"/>
    <s v="Março"/>
    <s v="New Zealand"/>
    <s v="Liam Lee"/>
  </r>
  <r>
    <n v="10440"/>
    <x v="1"/>
    <x v="2"/>
    <x v="439"/>
    <x v="4"/>
    <x v="0"/>
    <x v="1"/>
    <n v="1"/>
    <n v="11"/>
    <n v="5500"/>
    <n v="2200"/>
    <s v="Março"/>
    <s v="Uk"/>
    <s v="Emily White"/>
  </r>
  <r>
    <n v="10441"/>
    <x v="1"/>
    <x v="2"/>
    <x v="440"/>
    <x v="2"/>
    <x v="4"/>
    <x v="3"/>
    <n v="1"/>
    <n v="13"/>
    <n v="11050"/>
    <n v="2431"/>
    <s v="Março"/>
    <s v="Australia"/>
    <s v="Liam Lee"/>
  </r>
  <r>
    <n v="10442"/>
    <x v="1"/>
    <x v="2"/>
    <x v="441"/>
    <x v="0"/>
    <x v="2"/>
    <x v="0"/>
    <n v="31"/>
    <n v="390"/>
    <n v="292500"/>
    <n v="40950.000000000007"/>
    <s v="Março"/>
    <s v="Usa"/>
    <s v="Jane Doe"/>
  </r>
  <r>
    <n v="10443"/>
    <x v="1"/>
    <x v="2"/>
    <x v="442"/>
    <x v="1"/>
    <x v="2"/>
    <x v="3"/>
    <n v="3"/>
    <n v="95"/>
    <n v="80750"/>
    <n v="9690"/>
    <s v="Março"/>
    <s v="Canada"/>
    <s v="Jane Doe"/>
  </r>
  <r>
    <n v="10444"/>
    <x v="1"/>
    <x v="2"/>
    <x v="443"/>
    <x v="3"/>
    <x v="4"/>
    <x v="4"/>
    <n v="21"/>
    <n v="294"/>
    <n v="102900"/>
    <n v="45276"/>
    <s v="Março"/>
    <s v="New Zealand"/>
    <s v="Liam Lee"/>
  </r>
  <r>
    <n v="10445"/>
    <x v="1"/>
    <x v="2"/>
    <x v="444"/>
    <x v="1"/>
    <x v="1"/>
    <x v="4"/>
    <n v="28"/>
    <n v="413"/>
    <n v="144550"/>
    <n v="57820"/>
    <s v="Março"/>
    <s v="Canada"/>
    <s v="James Brown"/>
  </r>
  <r>
    <n v="10446"/>
    <x v="1"/>
    <x v="2"/>
    <x v="445"/>
    <x v="3"/>
    <x v="1"/>
    <x v="2"/>
    <n v="9"/>
    <n v="103"/>
    <n v="25750"/>
    <n v="10300"/>
    <s v="Março"/>
    <s v="New Zealand"/>
    <s v="James Brown"/>
  </r>
  <r>
    <n v="10447"/>
    <x v="1"/>
    <x v="2"/>
    <x v="446"/>
    <x v="1"/>
    <x v="4"/>
    <x v="2"/>
    <n v="6"/>
    <n v="177"/>
    <n v="44250"/>
    <n v="9292.5"/>
    <s v="Março"/>
    <s v="Canada"/>
    <s v="Liam Lee"/>
  </r>
  <r>
    <n v="10448"/>
    <x v="1"/>
    <x v="2"/>
    <x v="447"/>
    <x v="3"/>
    <x v="3"/>
    <x v="2"/>
    <n v="2"/>
    <n v="104"/>
    <n v="26000"/>
    <n v="2600"/>
    <s v="Março"/>
    <s v="New Zealand"/>
    <s v="John Smith"/>
  </r>
  <r>
    <n v="10449"/>
    <x v="1"/>
    <x v="2"/>
    <x v="448"/>
    <x v="4"/>
    <x v="4"/>
    <x v="4"/>
    <n v="28"/>
    <n v="294"/>
    <n v="102900"/>
    <n v="28812.000000000004"/>
    <s v="Março"/>
    <s v="Uk"/>
    <s v="Liam Lee"/>
  </r>
  <r>
    <n v="10450"/>
    <x v="1"/>
    <x v="2"/>
    <x v="449"/>
    <x v="2"/>
    <x v="3"/>
    <x v="0"/>
    <n v="4"/>
    <n v="44"/>
    <n v="33000"/>
    <n v="8910"/>
    <s v="Março"/>
    <s v="Australia"/>
    <s v="John Smith"/>
  </r>
  <r>
    <n v="10451"/>
    <x v="1"/>
    <x v="2"/>
    <x v="450"/>
    <x v="4"/>
    <x v="0"/>
    <x v="1"/>
    <n v="10"/>
    <n v="337"/>
    <n v="168500"/>
    <n v="23590.000000000004"/>
    <s v="Março"/>
    <s v="Uk"/>
    <s v="Emily White"/>
  </r>
  <r>
    <n v="10452"/>
    <x v="1"/>
    <x v="2"/>
    <x v="451"/>
    <x v="3"/>
    <x v="0"/>
    <x v="4"/>
    <n v="10"/>
    <n v="339"/>
    <n v="118650"/>
    <n v="26103"/>
    <s v="Março"/>
    <s v="New Zealand"/>
    <s v="Emily White"/>
  </r>
  <r>
    <n v="10453"/>
    <x v="1"/>
    <x v="2"/>
    <x v="452"/>
    <x v="1"/>
    <x v="3"/>
    <x v="3"/>
    <n v="10"/>
    <n v="331"/>
    <n v="281350"/>
    <n v="118167"/>
    <s v="Março"/>
    <s v="Canada"/>
    <s v="John Smith"/>
  </r>
  <r>
    <n v="10454"/>
    <x v="1"/>
    <x v="2"/>
    <x v="453"/>
    <x v="2"/>
    <x v="3"/>
    <x v="0"/>
    <n v="19"/>
    <n v="444"/>
    <n v="333000"/>
    <n v="123210"/>
    <s v="Março"/>
    <s v="Australia"/>
    <s v="John Smith"/>
  </r>
  <r>
    <n v="10455"/>
    <x v="1"/>
    <x v="2"/>
    <x v="454"/>
    <x v="2"/>
    <x v="2"/>
    <x v="2"/>
    <n v="15"/>
    <n v="173"/>
    <n v="43250"/>
    <n v="6055.0000000000009"/>
    <s v="Março"/>
    <s v="Australia"/>
    <s v="Jane Doe"/>
  </r>
  <r>
    <n v="10456"/>
    <x v="1"/>
    <x v="2"/>
    <x v="455"/>
    <x v="0"/>
    <x v="2"/>
    <x v="0"/>
    <n v="1"/>
    <n v="32"/>
    <n v="24000"/>
    <n v="2880"/>
    <s v="Março"/>
    <s v="Usa"/>
    <s v="Jane Doe"/>
  </r>
  <r>
    <n v="10457"/>
    <x v="1"/>
    <x v="3"/>
    <x v="456"/>
    <x v="3"/>
    <x v="1"/>
    <x v="2"/>
    <n v="13"/>
    <n v="500"/>
    <n v="125000"/>
    <n v="28750"/>
    <s v="Abril"/>
    <s v="New Zealand"/>
    <s v="James Brown"/>
  </r>
  <r>
    <n v="10458"/>
    <x v="1"/>
    <x v="3"/>
    <x v="457"/>
    <x v="3"/>
    <x v="1"/>
    <x v="4"/>
    <n v="8"/>
    <n v="116"/>
    <n v="40600"/>
    <n v="6496"/>
    <s v="Abril"/>
    <s v="New Zealand"/>
    <s v="James Brown"/>
  </r>
  <r>
    <n v="10459"/>
    <x v="1"/>
    <x v="3"/>
    <x v="458"/>
    <x v="2"/>
    <x v="0"/>
    <x v="3"/>
    <n v="35"/>
    <n v="386"/>
    <n v="328100"/>
    <n v="137802"/>
    <s v="Abril"/>
    <s v="Australia"/>
    <s v="Emily White"/>
  </r>
  <r>
    <n v="10460"/>
    <x v="1"/>
    <x v="3"/>
    <x v="459"/>
    <x v="3"/>
    <x v="3"/>
    <x v="4"/>
    <n v="9"/>
    <n v="384"/>
    <n v="134400"/>
    <n v="22848"/>
    <s v="Abril"/>
    <s v="New Zealand"/>
    <s v="John Smith"/>
  </r>
  <r>
    <n v="10461"/>
    <x v="1"/>
    <x v="3"/>
    <x v="460"/>
    <x v="3"/>
    <x v="1"/>
    <x v="3"/>
    <n v="25"/>
    <n v="418"/>
    <n v="355300"/>
    <n v="78166"/>
    <s v="Abril"/>
    <s v="New Zealand"/>
    <s v="James Brown"/>
  </r>
  <r>
    <n v="10462"/>
    <x v="1"/>
    <x v="3"/>
    <x v="461"/>
    <x v="4"/>
    <x v="3"/>
    <x v="4"/>
    <n v="5"/>
    <n v="115"/>
    <n v="40250"/>
    <n v="8452.5"/>
    <s v="Abril"/>
    <s v="Uk"/>
    <s v="John Smith"/>
  </r>
  <r>
    <n v="10463"/>
    <x v="1"/>
    <x v="3"/>
    <x v="462"/>
    <x v="3"/>
    <x v="3"/>
    <x v="3"/>
    <n v="14"/>
    <n v="152"/>
    <n v="129200"/>
    <n v="25840"/>
    <s v="Abril"/>
    <s v="New Zealand"/>
    <s v="John Smith"/>
  </r>
  <r>
    <n v="10464"/>
    <x v="1"/>
    <x v="3"/>
    <x v="463"/>
    <x v="2"/>
    <x v="2"/>
    <x v="0"/>
    <n v="5"/>
    <n v="362"/>
    <n v="271500"/>
    <n v="40725"/>
    <s v="Abril"/>
    <s v="Australia"/>
    <s v="Jane Doe"/>
  </r>
  <r>
    <n v="10465"/>
    <x v="1"/>
    <x v="3"/>
    <x v="464"/>
    <x v="0"/>
    <x v="1"/>
    <x v="3"/>
    <n v="12"/>
    <n v="405"/>
    <n v="344250"/>
    <n v="130815"/>
    <s v="Abril"/>
    <s v="Usa"/>
    <s v="James Brown"/>
  </r>
  <r>
    <n v="10466"/>
    <x v="1"/>
    <x v="3"/>
    <x v="465"/>
    <x v="2"/>
    <x v="4"/>
    <x v="4"/>
    <n v="6"/>
    <n v="90"/>
    <n v="31500"/>
    <n v="8190"/>
    <s v="Abril"/>
    <s v="Australia"/>
    <s v="Liam Lee"/>
  </r>
  <r>
    <n v="10467"/>
    <x v="1"/>
    <x v="3"/>
    <x v="466"/>
    <x v="4"/>
    <x v="3"/>
    <x v="1"/>
    <n v="26"/>
    <n v="339"/>
    <n v="169500"/>
    <n v="74580"/>
    <s v="Abril"/>
    <s v="Uk"/>
    <s v="John Smith"/>
  </r>
  <r>
    <n v="10468"/>
    <x v="1"/>
    <x v="3"/>
    <x v="467"/>
    <x v="1"/>
    <x v="4"/>
    <x v="0"/>
    <n v="8"/>
    <n v="152"/>
    <n v="114000"/>
    <n v="15960.000000000002"/>
    <s v="Abril"/>
    <s v="Canada"/>
    <s v="Liam Lee"/>
  </r>
  <r>
    <n v="10469"/>
    <x v="1"/>
    <x v="3"/>
    <x v="468"/>
    <x v="1"/>
    <x v="2"/>
    <x v="0"/>
    <n v="42"/>
    <n v="484"/>
    <n v="363000"/>
    <n v="152460"/>
    <s v="Abril"/>
    <s v="Canada"/>
    <s v="Jane Doe"/>
  </r>
  <r>
    <n v="10470"/>
    <x v="1"/>
    <x v="3"/>
    <x v="469"/>
    <x v="0"/>
    <x v="4"/>
    <x v="2"/>
    <n v="1"/>
    <n v="61"/>
    <n v="15250"/>
    <n v="3660"/>
    <s v="Abril"/>
    <s v="Usa"/>
    <s v="Liam Lee"/>
  </r>
  <r>
    <n v="10471"/>
    <x v="1"/>
    <x v="3"/>
    <x v="470"/>
    <x v="3"/>
    <x v="1"/>
    <x v="2"/>
    <n v="14"/>
    <n v="292"/>
    <n v="73000"/>
    <n v="8030"/>
    <s v="Abril"/>
    <s v="New Zealand"/>
    <s v="James Brown"/>
  </r>
  <r>
    <n v="10472"/>
    <x v="1"/>
    <x v="3"/>
    <x v="471"/>
    <x v="3"/>
    <x v="0"/>
    <x v="1"/>
    <n v="22"/>
    <n v="375"/>
    <n v="187500"/>
    <n v="48750"/>
    <s v="Abril"/>
    <s v="New Zealand"/>
    <s v="Emily White"/>
  </r>
  <r>
    <n v="10473"/>
    <x v="1"/>
    <x v="3"/>
    <x v="472"/>
    <x v="4"/>
    <x v="0"/>
    <x v="2"/>
    <n v="2"/>
    <n v="74"/>
    <n v="18500"/>
    <n v="6475"/>
    <s v="Abril"/>
    <s v="Uk"/>
    <s v="Emily White"/>
  </r>
  <r>
    <n v="10474"/>
    <x v="1"/>
    <x v="3"/>
    <x v="473"/>
    <x v="2"/>
    <x v="3"/>
    <x v="2"/>
    <n v="6"/>
    <n v="70"/>
    <n v="17500"/>
    <n v="3325"/>
    <s v="Abril"/>
    <s v="Australia"/>
    <s v="John Smith"/>
  </r>
  <r>
    <n v="10475"/>
    <x v="1"/>
    <x v="3"/>
    <x v="474"/>
    <x v="3"/>
    <x v="0"/>
    <x v="3"/>
    <n v="11"/>
    <n v="367"/>
    <n v="311950"/>
    <n v="49912"/>
    <s v="Abril"/>
    <s v="New Zealand"/>
    <s v="Emily White"/>
  </r>
  <r>
    <n v="10476"/>
    <x v="1"/>
    <x v="3"/>
    <x v="475"/>
    <x v="1"/>
    <x v="3"/>
    <x v="0"/>
    <n v="21"/>
    <n v="395"/>
    <n v="296250"/>
    <n v="85912.5"/>
    <s v="Abril"/>
    <s v="Canada"/>
    <s v="John Smith"/>
  </r>
  <r>
    <n v="10477"/>
    <x v="1"/>
    <x v="3"/>
    <x v="476"/>
    <x v="4"/>
    <x v="4"/>
    <x v="1"/>
    <n v="4"/>
    <n v="211"/>
    <n v="105500"/>
    <n v="13715"/>
    <s v="Abril"/>
    <s v="Uk"/>
    <s v="Liam Lee"/>
  </r>
  <r>
    <n v="10478"/>
    <x v="1"/>
    <x v="3"/>
    <x v="477"/>
    <x v="1"/>
    <x v="1"/>
    <x v="3"/>
    <n v="2"/>
    <n v="37"/>
    <n v="31450"/>
    <n v="9749.5"/>
    <s v="Abril"/>
    <s v="Canada"/>
    <s v="James Brown"/>
  </r>
  <r>
    <n v="10479"/>
    <x v="1"/>
    <x v="3"/>
    <x v="478"/>
    <x v="3"/>
    <x v="2"/>
    <x v="4"/>
    <n v="5"/>
    <n v="150"/>
    <n v="52500"/>
    <n v="6825"/>
    <s v="Abril"/>
    <s v="New Zealand"/>
    <s v="Jane Doe"/>
  </r>
  <r>
    <n v="10480"/>
    <x v="1"/>
    <x v="3"/>
    <x v="479"/>
    <x v="2"/>
    <x v="4"/>
    <x v="3"/>
    <n v="3"/>
    <n v="133"/>
    <n v="113050"/>
    <n v="39567.5"/>
    <s v="Abril"/>
    <s v="Australia"/>
    <s v="Liam Lee"/>
  </r>
  <r>
    <n v="10481"/>
    <x v="1"/>
    <x v="3"/>
    <x v="480"/>
    <x v="3"/>
    <x v="2"/>
    <x v="3"/>
    <n v="21"/>
    <n v="359"/>
    <n v="305150"/>
    <n v="82390.5"/>
    <s v="Abril"/>
    <s v="New Zealand"/>
    <s v="Jane Doe"/>
  </r>
  <r>
    <n v="10482"/>
    <x v="1"/>
    <x v="3"/>
    <x v="481"/>
    <x v="0"/>
    <x v="2"/>
    <x v="4"/>
    <n v="14"/>
    <n v="229"/>
    <n v="80150"/>
    <n v="36067.5"/>
    <s v="Abril"/>
    <s v="Usa"/>
    <s v="Jane Doe"/>
  </r>
  <r>
    <n v="10483"/>
    <x v="1"/>
    <x v="3"/>
    <x v="482"/>
    <x v="1"/>
    <x v="2"/>
    <x v="2"/>
    <n v="1"/>
    <n v="22"/>
    <n v="5500"/>
    <n v="1980"/>
    <s v="Abril"/>
    <s v="Canada"/>
    <s v="Jane Doe"/>
  </r>
  <r>
    <n v="10484"/>
    <x v="1"/>
    <x v="3"/>
    <x v="483"/>
    <x v="1"/>
    <x v="0"/>
    <x v="1"/>
    <n v="2"/>
    <n v="41"/>
    <n v="20500"/>
    <n v="6355"/>
    <s v="Abril"/>
    <s v="Canada"/>
    <s v="Emily White"/>
  </r>
  <r>
    <n v="10485"/>
    <x v="1"/>
    <x v="3"/>
    <x v="484"/>
    <x v="2"/>
    <x v="1"/>
    <x v="2"/>
    <n v="4"/>
    <n v="277"/>
    <n v="69250"/>
    <n v="24930"/>
    <s v="Abril"/>
    <s v="Australia"/>
    <s v="James Brown"/>
  </r>
  <r>
    <n v="10486"/>
    <x v="1"/>
    <x v="3"/>
    <x v="485"/>
    <x v="0"/>
    <x v="2"/>
    <x v="4"/>
    <n v="26"/>
    <n v="406"/>
    <n v="142100"/>
    <n v="21315"/>
    <s v="Abril"/>
    <s v="Usa"/>
    <s v="Jane Doe"/>
  </r>
  <r>
    <n v="10487"/>
    <x v="1"/>
    <x v="4"/>
    <x v="486"/>
    <x v="1"/>
    <x v="0"/>
    <x v="0"/>
    <n v="39"/>
    <n v="396"/>
    <n v="297000"/>
    <n v="38610"/>
    <s v="Maio"/>
    <s v="Canada"/>
    <s v="Emily White"/>
  </r>
  <r>
    <n v="10488"/>
    <x v="1"/>
    <x v="4"/>
    <x v="487"/>
    <x v="2"/>
    <x v="4"/>
    <x v="3"/>
    <n v="27"/>
    <n v="401"/>
    <n v="340850"/>
    <n v="71578.5"/>
    <s v="Maio"/>
    <s v="Australia"/>
    <s v="Liam Lee"/>
  </r>
  <r>
    <n v="10489"/>
    <x v="1"/>
    <x v="4"/>
    <x v="488"/>
    <x v="2"/>
    <x v="4"/>
    <x v="2"/>
    <n v="1"/>
    <n v="27"/>
    <n v="6750"/>
    <n v="2700"/>
    <s v="Maio"/>
    <s v="Australia"/>
    <s v="Liam Lee"/>
  </r>
  <r>
    <n v="10490"/>
    <x v="1"/>
    <x v="4"/>
    <x v="489"/>
    <x v="0"/>
    <x v="2"/>
    <x v="2"/>
    <n v="12"/>
    <n v="450"/>
    <n v="112500"/>
    <n v="20250"/>
    <s v="Maio"/>
    <s v="Usa"/>
    <s v="Jane Doe"/>
  </r>
  <r>
    <n v="10491"/>
    <x v="1"/>
    <x v="4"/>
    <x v="490"/>
    <x v="4"/>
    <x v="1"/>
    <x v="3"/>
    <n v="26"/>
    <n v="298"/>
    <n v="253300"/>
    <n v="53193"/>
    <s v="Maio"/>
    <s v="Uk"/>
    <s v="James Brown"/>
  </r>
  <r>
    <n v="10492"/>
    <x v="1"/>
    <x v="4"/>
    <x v="491"/>
    <x v="0"/>
    <x v="4"/>
    <x v="0"/>
    <n v="8"/>
    <n v="91"/>
    <n v="68250"/>
    <n v="6825"/>
    <s v="Maio"/>
    <s v="Usa"/>
    <s v="Liam Lee"/>
  </r>
  <r>
    <n v="10493"/>
    <x v="1"/>
    <x v="4"/>
    <x v="492"/>
    <x v="3"/>
    <x v="2"/>
    <x v="0"/>
    <n v="35"/>
    <n v="399"/>
    <n v="299250"/>
    <n v="62842.5"/>
    <s v="Maio"/>
    <s v="New Zealand"/>
    <s v="Jane Doe"/>
  </r>
  <r>
    <n v="10494"/>
    <x v="1"/>
    <x v="4"/>
    <x v="493"/>
    <x v="1"/>
    <x v="0"/>
    <x v="2"/>
    <n v="14"/>
    <n v="345"/>
    <n v="86250"/>
    <n v="25012.5"/>
    <s v="Maio"/>
    <s v="Canada"/>
    <s v="Emily White"/>
  </r>
  <r>
    <n v="10495"/>
    <x v="1"/>
    <x v="4"/>
    <x v="494"/>
    <x v="0"/>
    <x v="0"/>
    <x v="4"/>
    <n v="7"/>
    <n v="265"/>
    <n v="92750"/>
    <n v="20405"/>
    <s v="Maio"/>
    <s v="Usa"/>
    <s v="Emily White"/>
  </r>
  <r>
    <n v="10496"/>
    <x v="1"/>
    <x v="4"/>
    <x v="495"/>
    <x v="3"/>
    <x v="2"/>
    <x v="0"/>
    <n v="13"/>
    <n v="422"/>
    <n v="316500"/>
    <n v="75960"/>
    <s v="Maio"/>
    <s v="New Zealand"/>
    <s v="Jane Doe"/>
  </r>
  <r>
    <n v="10497"/>
    <x v="1"/>
    <x v="4"/>
    <x v="496"/>
    <x v="4"/>
    <x v="0"/>
    <x v="1"/>
    <n v="36"/>
    <n v="486"/>
    <n v="243000"/>
    <n v="65610"/>
    <s v="Maio"/>
    <s v="Uk"/>
    <s v="Emily White"/>
  </r>
  <r>
    <n v="10498"/>
    <x v="1"/>
    <x v="4"/>
    <x v="497"/>
    <x v="3"/>
    <x v="4"/>
    <x v="3"/>
    <n v="1"/>
    <n v="11"/>
    <n v="9350"/>
    <n v="2431"/>
    <s v="Maio"/>
    <s v="New Zealand"/>
    <s v="Liam Lee"/>
  </r>
  <r>
    <n v="10499"/>
    <x v="1"/>
    <x v="4"/>
    <x v="498"/>
    <x v="4"/>
    <x v="2"/>
    <x v="4"/>
    <n v="21"/>
    <n v="357"/>
    <n v="124950"/>
    <n v="43732.5"/>
    <s v="Maio"/>
    <s v="Uk"/>
    <s v="Jane Doe"/>
  </r>
  <r>
    <n v="10500"/>
    <x v="1"/>
    <x v="4"/>
    <x v="499"/>
    <x v="3"/>
    <x v="1"/>
    <x v="3"/>
    <n v="14"/>
    <n v="188"/>
    <n v="159800"/>
    <n v="43146"/>
    <s v="Maio"/>
    <s v="New Zealand"/>
    <s v="James Brown"/>
  </r>
  <r>
    <n v="10501"/>
    <x v="1"/>
    <x v="4"/>
    <x v="500"/>
    <x v="0"/>
    <x v="0"/>
    <x v="1"/>
    <n v="14"/>
    <n v="144"/>
    <n v="72000"/>
    <n v="10080.000000000002"/>
    <s v="Maio"/>
    <s v="Usa"/>
    <s v="Emily White"/>
  </r>
  <r>
    <n v="10502"/>
    <x v="1"/>
    <x v="4"/>
    <x v="501"/>
    <x v="2"/>
    <x v="3"/>
    <x v="2"/>
    <n v="18"/>
    <n v="218"/>
    <n v="54500"/>
    <n v="9810"/>
    <s v="Maio"/>
    <s v="Australia"/>
    <s v="John Smith"/>
  </r>
  <r>
    <n v="10503"/>
    <x v="1"/>
    <x v="4"/>
    <x v="502"/>
    <x v="1"/>
    <x v="3"/>
    <x v="1"/>
    <n v="3"/>
    <n v="119"/>
    <n v="59500"/>
    <n v="11900"/>
    <s v="Maio"/>
    <s v="Canada"/>
    <s v="John Smith"/>
  </r>
  <r>
    <n v="10504"/>
    <x v="1"/>
    <x v="4"/>
    <x v="503"/>
    <x v="1"/>
    <x v="0"/>
    <x v="2"/>
    <n v="13"/>
    <n v="339"/>
    <n v="84750"/>
    <n v="21187.5"/>
    <s v="Maio"/>
    <s v="Canada"/>
    <s v="Emily White"/>
  </r>
  <r>
    <n v="10505"/>
    <x v="1"/>
    <x v="4"/>
    <x v="504"/>
    <x v="2"/>
    <x v="1"/>
    <x v="1"/>
    <n v="10"/>
    <n v="276"/>
    <n v="138000"/>
    <n v="20700"/>
    <s v="Maio"/>
    <s v="Australia"/>
    <s v="James Brown"/>
  </r>
  <r>
    <n v="10506"/>
    <x v="1"/>
    <x v="4"/>
    <x v="505"/>
    <x v="3"/>
    <x v="3"/>
    <x v="3"/>
    <n v="10"/>
    <n v="256"/>
    <n v="217600"/>
    <n v="65280"/>
    <s v="Maio"/>
    <s v="New Zealand"/>
    <s v="John Smith"/>
  </r>
  <r>
    <n v="10507"/>
    <x v="1"/>
    <x v="4"/>
    <x v="506"/>
    <x v="0"/>
    <x v="1"/>
    <x v="1"/>
    <n v="3"/>
    <n v="90"/>
    <n v="45000"/>
    <n v="18900"/>
    <s v="Maio"/>
    <s v="Usa"/>
    <s v="James Brown"/>
  </r>
  <r>
    <n v="10508"/>
    <x v="1"/>
    <x v="4"/>
    <x v="507"/>
    <x v="2"/>
    <x v="0"/>
    <x v="4"/>
    <n v="8"/>
    <n v="223"/>
    <n v="78050"/>
    <n v="11707.5"/>
    <s v="Maio"/>
    <s v="Australia"/>
    <s v="Emily White"/>
  </r>
  <r>
    <n v="10509"/>
    <x v="1"/>
    <x v="4"/>
    <x v="508"/>
    <x v="4"/>
    <x v="1"/>
    <x v="0"/>
    <n v="5"/>
    <n v="197"/>
    <n v="147750"/>
    <n v="48757.5"/>
    <s v="Maio"/>
    <s v="Uk"/>
    <s v="James Brown"/>
  </r>
  <r>
    <n v="10510"/>
    <x v="1"/>
    <x v="4"/>
    <x v="509"/>
    <x v="1"/>
    <x v="1"/>
    <x v="3"/>
    <n v="12"/>
    <n v="298"/>
    <n v="253300"/>
    <n v="103853"/>
    <s v="Maio"/>
    <s v="Canada"/>
    <s v="James Brown"/>
  </r>
  <r>
    <n v="10511"/>
    <x v="1"/>
    <x v="4"/>
    <x v="510"/>
    <x v="4"/>
    <x v="4"/>
    <x v="0"/>
    <n v="30"/>
    <n v="409"/>
    <n v="306750"/>
    <n v="61350"/>
    <s v="Maio"/>
    <s v="Uk"/>
    <s v="Liam Lee"/>
  </r>
  <r>
    <n v="10512"/>
    <x v="1"/>
    <x v="4"/>
    <x v="511"/>
    <x v="3"/>
    <x v="3"/>
    <x v="1"/>
    <n v="25"/>
    <n v="379"/>
    <n v="189500"/>
    <n v="85275"/>
    <s v="Maio"/>
    <s v="New Zealand"/>
    <s v="John Smith"/>
  </r>
  <r>
    <n v="10513"/>
    <x v="1"/>
    <x v="4"/>
    <x v="512"/>
    <x v="3"/>
    <x v="3"/>
    <x v="4"/>
    <n v="3"/>
    <n v="119"/>
    <n v="41650"/>
    <n v="6664"/>
    <s v="Maio"/>
    <s v="New Zealand"/>
    <s v="John Smith"/>
  </r>
  <r>
    <n v="10514"/>
    <x v="1"/>
    <x v="4"/>
    <x v="513"/>
    <x v="1"/>
    <x v="2"/>
    <x v="0"/>
    <n v="7"/>
    <n v="153"/>
    <n v="114750"/>
    <n v="47047.5"/>
    <s v="Maio"/>
    <s v="Canada"/>
    <s v="Jane Doe"/>
  </r>
  <r>
    <n v="10515"/>
    <x v="1"/>
    <x v="4"/>
    <x v="514"/>
    <x v="1"/>
    <x v="3"/>
    <x v="4"/>
    <n v="24"/>
    <n v="265"/>
    <n v="92750"/>
    <n v="27825"/>
    <s v="Maio"/>
    <s v="Canada"/>
    <s v="John Smith"/>
  </r>
  <r>
    <n v="10516"/>
    <x v="1"/>
    <x v="4"/>
    <x v="515"/>
    <x v="3"/>
    <x v="0"/>
    <x v="3"/>
    <n v="11"/>
    <n v="113"/>
    <n v="96050"/>
    <n v="24973"/>
    <s v="Maio"/>
    <s v="New Zealand"/>
    <s v="Emily White"/>
  </r>
  <r>
    <n v="10517"/>
    <x v="1"/>
    <x v="4"/>
    <x v="516"/>
    <x v="0"/>
    <x v="1"/>
    <x v="1"/>
    <n v="11"/>
    <n v="196"/>
    <n v="98000"/>
    <n v="31360"/>
    <s v="Maio"/>
    <s v="Usa"/>
    <s v="James Brown"/>
  </r>
  <r>
    <n v="10518"/>
    <x v="1"/>
    <x v="5"/>
    <x v="517"/>
    <x v="1"/>
    <x v="3"/>
    <x v="1"/>
    <n v="4"/>
    <n v="107"/>
    <n v="53500"/>
    <n v="12305"/>
    <s v="Junho"/>
    <s v="Canada"/>
    <s v="John Smith"/>
  </r>
  <r>
    <n v="10519"/>
    <x v="1"/>
    <x v="5"/>
    <x v="518"/>
    <x v="0"/>
    <x v="4"/>
    <x v="1"/>
    <n v="11"/>
    <n v="130"/>
    <n v="65000"/>
    <n v="25350"/>
    <s v="Junho"/>
    <s v="Usa"/>
    <s v="Liam Lee"/>
  </r>
  <r>
    <n v="10520"/>
    <x v="1"/>
    <x v="5"/>
    <x v="519"/>
    <x v="2"/>
    <x v="3"/>
    <x v="3"/>
    <n v="28"/>
    <n v="285"/>
    <n v="242250"/>
    <n v="33915"/>
    <s v="Junho"/>
    <s v="Australia"/>
    <s v="John Smith"/>
  </r>
  <r>
    <n v="10521"/>
    <x v="1"/>
    <x v="5"/>
    <x v="520"/>
    <x v="2"/>
    <x v="2"/>
    <x v="4"/>
    <n v="6"/>
    <n v="166"/>
    <n v="58100"/>
    <n v="7553"/>
    <s v="Junho"/>
    <s v="Australia"/>
    <s v="Jane Doe"/>
  </r>
  <r>
    <n v="10522"/>
    <x v="1"/>
    <x v="5"/>
    <x v="521"/>
    <x v="2"/>
    <x v="1"/>
    <x v="1"/>
    <n v="17"/>
    <n v="443"/>
    <n v="221500"/>
    <n v="86385"/>
    <s v="Junho"/>
    <s v="Australia"/>
    <s v="James Brown"/>
  </r>
  <r>
    <n v="10523"/>
    <x v="1"/>
    <x v="5"/>
    <x v="522"/>
    <x v="4"/>
    <x v="1"/>
    <x v="0"/>
    <n v="15"/>
    <n v="375"/>
    <n v="281250"/>
    <n v="106875"/>
    <s v="Junho"/>
    <s v="Uk"/>
    <s v="James Brown"/>
  </r>
  <r>
    <n v="10524"/>
    <x v="1"/>
    <x v="5"/>
    <x v="523"/>
    <x v="3"/>
    <x v="4"/>
    <x v="0"/>
    <n v="27"/>
    <n v="300"/>
    <n v="225000"/>
    <n v="31500.000000000004"/>
    <s v="Junho"/>
    <s v="New Zealand"/>
    <s v="Liam Lee"/>
  </r>
  <r>
    <n v="10525"/>
    <x v="1"/>
    <x v="5"/>
    <x v="524"/>
    <x v="1"/>
    <x v="1"/>
    <x v="4"/>
    <n v="12"/>
    <n v="207"/>
    <n v="72450"/>
    <n v="21010.5"/>
    <s v="Junho"/>
    <s v="Canada"/>
    <s v="James Brown"/>
  </r>
  <r>
    <n v="10526"/>
    <x v="1"/>
    <x v="5"/>
    <x v="525"/>
    <x v="4"/>
    <x v="3"/>
    <x v="4"/>
    <n v="13"/>
    <n v="167"/>
    <n v="58450"/>
    <n v="11105.5"/>
    <s v="Junho"/>
    <s v="Uk"/>
    <s v="John Smith"/>
  </r>
  <r>
    <n v="10527"/>
    <x v="1"/>
    <x v="5"/>
    <x v="526"/>
    <x v="0"/>
    <x v="2"/>
    <x v="1"/>
    <n v="2"/>
    <n v="38"/>
    <n v="19000"/>
    <n v="8550"/>
    <s v="Junho"/>
    <s v="Usa"/>
    <s v="Jane Doe"/>
  </r>
  <r>
    <n v="10528"/>
    <x v="1"/>
    <x v="5"/>
    <x v="527"/>
    <x v="0"/>
    <x v="2"/>
    <x v="0"/>
    <n v="21"/>
    <n v="394"/>
    <n v="295500"/>
    <n v="50235"/>
    <s v="Junho"/>
    <s v="Usa"/>
    <s v="Jane Doe"/>
  </r>
  <r>
    <n v="10529"/>
    <x v="1"/>
    <x v="5"/>
    <x v="528"/>
    <x v="0"/>
    <x v="3"/>
    <x v="3"/>
    <n v="16"/>
    <n v="265"/>
    <n v="225250"/>
    <n v="69827.5"/>
    <s v="Junho"/>
    <s v="Usa"/>
    <s v="John Smith"/>
  </r>
  <r>
    <n v="10530"/>
    <x v="1"/>
    <x v="5"/>
    <x v="529"/>
    <x v="1"/>
    <x v="4"/>
    <x v="2"/>
    <n v="16"/>
    <n v="182"/>
    <n v="45500"/>
    <n v="8190"/>
    <s v="Junho"/>
    <s v="Canada"/>
    <s v="Liam Lee"/>
  </r>
  <r>
    <n v="10531"/>
    <x v="1"/>
    <x v="5"/>
    <x v="530"/>
    <x v="1"/>
    <x v="1"/>
    <x v="2"/>
    <n v="4"/>
    <n v="264"/>
    <n v="66000"/>
    <n v="24420"/>
    <s v="Junho"/>
    <s v="Canada"/>
    <s v="James Brown"/>
  </r>
  <r>
    <n v="10532"/>
    <x v="1"/>
    <x v="5"/>
    <x v="531"/>
    <x v="0"/>
    <x v="1"/>
    <x v="3"/>
    <n v="6"/>
    <n v="146"/>
    <n v="124100"/>
    <n v="29784"/>
    <s v="Junho"/>
    <s v="Usa"/>
    <s v="James Brown"/>
  </r>
  <r>
    <n v="10533"/>
    <x v="1"/>
    <x v="5"/>
    <x v="532"/>
    <x v="3"/>
    <x v="3"/>
    <x v="4"/>
    <n v="8"/>
    <n v="226"/>
    <n v="79100"/>
    <n v="14238"/>
    <s v="Junho"/>
    <s v="New Zealand"/>
    <s v="John Smith"/>
  </r>
  <r>
    <n v="10534"/>
    <x v="1"/>
    <x v="5"/>
    <x v="533"/>
    <x v="0"/>
    <x v="1"/>
    <x v="2"/>
    <n v="47"/>
    <n v="487"/>
    <n v="121750"/>
    <n v="14610"/>
    <s v="Junho"/>
    <s v="Usa"/>
    <s v="James Brown"/>
  </r>
  <r>
    <n v="10535"/>
    <x v="1"/>
    <x v="5"/>
    <x v="534"/>
    <x v="0"/>
    <x v="1"/>
    <x v="2"/>
    <n v="5"/>
    <n v="360"/>
    <n v="90000"/>
    <n v="20700"/>
    <s v="Junho"/>
    <s v="Usa"/>
    <s v="James Brown"/>
  </r>
  <r>
    <n v="10536"/>
    <x v="1"/>
    <x v="5"/>
    <x v="535"/>
    <x v="3"/>
    <x v="1"/>
    <x v="3"/>
    <n v="27"/>
    <n v="499"/>
    <n v="424150"/>
    <n v="97554.5"/>
    <s v="Junho"/>
    <s v="New Zealand"/>
    <s v="James Brown"/>
  </r>
  <r>
    <n v="10537"/>
    <x v="1"/>
    <x v="5"/>
    <x v="536"/>
    <x v="2"/>
    <x v="1"/>
    <x v="1"/>
    <n v="15"/>
    <n v="299"/>
    <n v="149500"/>
    <n v="16445"/>
    <s v="Junho"/>
    <s v="Australia"/>
    <s v="James Brown"/>
  </r>
  <r>
    <n v="10538"/>
    <x v="1"/>
    <x v="5"/>
    <x v="537"/>
    <x v="0"/>
    <x v="4"/>
    <x v="0"/>
    <n v="12"/>
    <n v="422"/>
    <n v="316500"/>
    <n v="139260"/>
    <s v="Junho"/>
    <s v="Usa"/>
    <s v="Liam Lee"/>
  </r>
  <r>
    <n v="10539"/>
    <x v="1"/>
    <x v="5"/>
    <x v="538"/>
    <x v="2"/>
    <x v="1"/>
    <x v="1"/>
    <n v="6"/>
    <n v="353"/>
    <n v="176500"/>
    <n v="30005.000000000004"/>
    <s v="Junho"/>
    <s v="Australia"/>
    <s v="James Brown"/>
  </r>
  <r>
    <n v="10540"/>
    <x v="1"/>
    <x v="5"/>
    <x v="539"/>
    <x v="3"/>
    <x v="1"/>
    <x v="4"/>
    <n v="21"/>
    <n v="333"/>
    <n v="116550"/>
    <n v="29137.5"/>
    <s v="Junho"/>
    <s v="New Zealand"/>
    <s v="James Brown"/>
  </r>
  <r>
    <n v="10541"/>
    <x v="1"/>
    <x v="5"/>
    <x v="540"/>
    <x v="4"/>
    <x v="2"/>
    <x v="2"/>
    <n v="10"/>
    <n v="418"/>
    <n v="104500"/>
    <n v="11495"/>
    <s v="Junho"/>
    <s v="Uk"/>
    <s v="Jane Doe"/>
  </r>
  <r>
    <n v="10542"/>
    <x v="1"/>
    <x v="5"/>
    <x v="541"/>
    <x v="1"/>
    <x v="2"/>
    <x v="2"/>
    <n v="5"/>
    <n v="194"/>
    <n v="48500"/>
    <n v="19885"/>
    <s v="Junho"/>
    <s v="Canada"/>
    <s v="Jane Doe"/>
  </r>
  <r>
    <n v="10543"/>
    <x v="1"/>
    <x v="5"/>
    <x v="542"/>
    <x v="0"/>
    <x v="0"/>
    <x v="4"/>
    <n v="27"/>
    <n v="355"/>
    <n v="124250"/>
    <n v="24850"/>
    <s v="Junho"/>
    <s v="Usa"/>
    <s v="Emily White"/>
  </r>
  <r>
    <n v="10544"/>
    <x v="1"/>
    <x v="5"/>
    <x v="543"/>
    <x v="2"/>
    <x v="4"/>
    <x v="2"/>
    <n v="11"/>
    <n v="192"/>
    <n v="48000"/>
    <n v="21120"/>
    <s v="Junho"/>
    <s v="Australia"/>
    <s v="Liam Lee"/>
  </r>
  <r>
    <n v="10545"/>
    <x v="1"/>
    <x v="5"/>
    <x v="544"/>
    <x v="3"/>
    <x v="1"/>
    <x v="4"/>
    <n v="19"/>
    <n v="302"/>
    <n v="105700"/>
    <n v="22197"/>
    <s v="Junho"/>
    <s v="New Zealand"/>
    <s v="James Brown"/>
  </r>
  <r>
    <n v="10546"/>
    <x v="1"/>
    <x v="5"/>
    <x v="545"/>
    <x v="0"/>
    <x v="1"/>
    <x v="1"/>
    <n v="39"/>
    <n v="419"/>
    <n v="209500"/>
    <n v="73325"/>
    <s v="Junho"/>
    <s v="Usa"/>
    <s v="James Brown"/>
  </r>
  <r>
    <n v="10547"/>
    <x v="1"/>
    <x v="5"/>
    <x v="546"/>
    <x v="4"/>
    <x v="2"/>
    <x v="1"/>
    <n v="8"/>
    <n v="377"/>
    <n v="188500"/>
    <n v="60320"/>
    <s v="Junho"/>
    <s v="Uk"/>
    <s v="Jane Doe"/>
  </r>
  <r>
    <n v="10548"/>
    <x v="1"/>
    <x v="6"/>
    <x v="547"/>
    <x v="3"/>
    <x v="1"/>
    <x v="2"/>
    <n v="5"/>
    <n v="97"/>
    <n v="24250"/>
    <n v="3152.5"/>
    <s v="Julho"/>
    <s v="New Zealand"/>
    <s v="James Brown"/>
  </r>
  <r>
    <n v="10549"/>
    <x v="1"/>
    <x v="6"/>
    <x v="548"/>
    <x v="3"/>
    <x v="1"/>
    <x v="0"/>
    <n v="37"/>
    <n v="496"/>
    <n v="372000"/>
    <n v="74400"/>
    <s v="Julho"/>
    <s v="New Zealand"/>
    <s v="James Brown"/>
  </r>
  <r>
    <n v="10550"/>
    <x v="1"/>
    <x v="6"/>
    <x v="549"/>
    <x v="2"/>
    <x v="3"/>
    <x v="0"/>
    <n v="7"/>
    <n v="406"/>
    <n v="304500"/>
    <n v="51765.000000000007"/>
    <s v="Julho"/>
    <s v="Australia"/>
    <s v="John Smith"/>
  </r>
  <r>
    <n v="10551"/>
    <x v="1"/>
    <x v="6"/>
    <x v="550"/>
    <x v="1"/>
    <x v="0"/>
    <x v="3"/>
    <n v="5"/>
    <n v="130"/>
    <n v="110500"/>
    <n v="47515"/>
    <s v="Julho"/>
    <s v="Canada"/>
    <s v="Emily White"/>
  </r>
  <r>
    <n v="10552"/>
    <x v="1"/>
    <x v="6"/>
    <x v="551"/>
    <x v="0"/>
    <x v="4"/>
    <x v="1"/>
    <n v="18"/>
    <n v="232"/>
    <n v="116000"/>
    <n v="25520"/>
    <s v="Julho"/>
    <s v="Usa"/>
    <s v="Liam Lee"/>
  </r>
  <r>
    <n v="10553"/>
    <x v="1"/>
    <x v="6"/>
    <x v="552"/>
    <x v="4"/>
    <x v="0"/>
    <x v="3"/>
    <n v="5"/>
    <n v="156"/>
    <n v="132600"/>
    <n v="19890"/>
    <s v="Julho"/>
    <s v="Uk"/>
    <s v="Emily White"/>
  </r>
  <r>
    <n v="10554"/>
    <x v="1"/>
    <x v="6"/>
    <x v="553"/>
    <x v="4"/>
    <x v="2"/>
    <x v="2"/>
    <n v="6"/>
    <n v="493"/>
    <n v="123250"/>
    <n v="20952.5"/>
    <s v="Julho"/>
    <s v="Uk"/>
    <s v="Jane Doe"/>
  </r>
  <r>
    <n v="10555"/>
    <x v="1"/>
    <x v="6"/>
    <x v="554"/>
    <x v="1"/>
    <x v="1"/>
    <x v="4"/>
    <n v="13"/>
    <n v="288"/>
    <n v="100800"/>
    <n v="33264"/>
    <s v="Julho"/>
    <s v="Canada"/>
    <s v="James Brown"/>
  </r>
  <r>
    <n v="10556"/>
    <x v="1"/>
    <x v="6"/>
    <x v="555"/>
    <x v="0"/>
    <x v="2"/>
    <x v="4"/>
    <n v="8"/>
    <n v="81"/>
    <n v="28350"/>
    <n v="7371"/>
    <s v="Julho"/>
    <s v="Usa"/>
    <s v="Jane Doe"/>
  </r>
  <r>
    <n v="10557"/>
    <x v="1"/>
    <x v="6"/>
    <x v="556"/>
    <x v="3"/>
    <x v="4"/>
    <x v="3"/>
    <n v="9"/>
    <n v="229"/>
    <n v="194650"/>
    <n v="81753"/>
    <s v="Julho"/>
    <s v="New Zealand"/>
    <s v="Liam Lee"/>
  </r>
  <r>
    <n v="10558"/>
    <x v="1"/>
    <x v="6"/>
    <x v="557"/>
    <x v="3"/>
    <x v="4"/>
    <x v="0"/>
    <n v="6"/>
    <n v="473"/>
    <n v="354750"/>
    <n v="141900"/>
    <s v="Julho"/>
    <s v="New Zealand"/>
    <s v="Liam Lee"/>
  </r>
  <r>
    <n v="10559"/>
    <x v="1"/>
    <x v="6"/>
    <x v="558"/>
    <x v="2"/>
    <x v="4"/>
    <x v="4"/>
    <n v="2"/>
    <n v="112"/>
    <n v="39200"/>
    <n v="3920"/>
    <s v="Julho"/>
    <s v="Australia"/>
    <s v="Liam Lee"/>
  </r>
  <r>
    <n v="10560"/>
    <x v="1"/>
    <x v="6"/>
    <x v="559"/>
    <x v="2"/>
    <x v="2"/>
    <x v="1"/>
    <n v="5"/>
    <n v="89"/>
    <n v="44500"/>
    <n v="15574.999999999998"/>
    <s v="Julho"/>
    <s v="Australia"/>
    <s v="Jane Doe"/>
  </r>
  <r>
    <n v="10561"/>
    <x v="1"/>
    <x v="6"/>
    <x v="560"/>
    <x v="4"/>
    <x v="2"/>
    <x v="4"/>
    <n v="28"/>
    <n v="377"/>
    <n v="131950"/>
    <n v="15834"/>
    <s v="Julho"/>
    <s v="Uk"/>
    <s v="Jane Doe"/>
  </r>
  <r>
    <n v="10562"/>
    <x v="1"/>
    <x v="6"/>
    <x v="561"/>
    <x v="1"/>
    <x v="2"/>
    <x v="4"/>
    <n v="4"/>
    <n v="93"/>
    <n v="32550"/>
    <n v="8137.5"/>
    <s v="Julho"/>
    <s v="Canada"/>
    <s v="Jane Doe"/>
  </r>
  <r>
    <n v="10563"/>
    <x v="1"/>
    <x v="6"/>
    <x v="562"/>
    <x v="1"/>
    <x v="4"/>
    <x v="0"/>
    <n v="35"/>
    <n v="479"/>
    <n v="359250"/>
    <n v="125737.49999999999"/>
    <s v="Julho"/>
    <s v="Canada"/>
    <s v="Liam Lee"/>
  </r>
  <r>
    <n v="10564"/>
    <x v="1"/>
    <x v="6"/>
    <x v="563"/>
    <x v="4"/>
    <x v="3"/>
    <x v="2"/>
    <n v="23"/>
    <n v="465"/>
    <n v="116250"/>
    <n v="23250"/>
    <s v="Julho"/>
    <s v="Uk"/>
    <s v="John Smith"/>
  </r>
  <r>
    <n v="10565"/>
    <x v="1"/>
    <x v="6"/>
    <x v="564"/>
    <x v="1"/>
    <x v="2"/>
    <x v="4"/>
    <n v="7"/>
    <n v="444"/>
    <n v="155400"/>
    <n v="57498"/>
    <s v="Julho"/>
    <s v="Canada"/>
    <s v="Jane Doe"/>
  </r>
  <r>
    <n v="10566"/>
    <x v="1"/>
    <x v="6"/>
    <x v="565"/>
    <x v="1"/>
    <x v="4"/>
    <x v="3"/>
    <n v="3"/>
    <n v="78"/>
    <n v="66300"/>
    <n v="26520"/>
    <s v="Julho"/>
    <s v="Canada"/>
    <s v="Liam Lee"/>
  </r>
  <r>
    <n v="10567"/>
    <x v="1"/>
    <x v="6"/>
    <x v="566"/>
    <x v="4"/>
    <x v="2"/>
    <x v="0"/>
    <n v="5"/>
    <n v="195"/>
    <n v="146250"/>
    <n v="38025"/>
    <s v="Julho"/>
    <s v="Uk"/>
    <s v="Jane Doe"/>
  </r>
  <r>
    <n v="10568"/>
    <x v="1"/>
    <x v="6"/>
    <x v="567"/>
    <x v="3"/>
    <x v="2"/>
    <x v="1"/>
    <n v="21"/>
    <n v="395"/>
    <n v="197500"/>
    <n v="88875"/>
    <s v="Julho"/>
    <s v="New Zealand"/>
    <s v="Jane Doe"/>
  </r>
  <r>
    <n v="10569"/>
    <x v="1"/>
    <x v="6"/>
    <x v="568"/>
    <x v="0"/>
    <x v="1"/>
    <x v="2"/>
    <n v="6"/>
    <n v="109"/>
    <n v="27250"/>
    <n v="12262.5"/>
    <s v="Julho"/>
    <s v="Usa"/>
    <s v="James Brown"/>
  </r>
  <r>
    <n v="10570"/>
    <x v="1"/>
    <x v="6"/>
    <x v="569"/>
    <x v="1"/>
    <x v="2"/>
    <x v="2"/>
    <n v="5"/>
    <n v="80"/>
    <n v="20000"/>
    <n v="6600"/>
    <s v="Julho"/>
    <s v="Canada"/>
    <s v="Jane Doe"/>
  </r>
  <r>
    <n v="10571"/>
    <x v="1"/>
    <x v="6"/>
    <x v="570"/>
    <x v="0"/>
    <x v="4"/>
    <x v="2"/>
    <n v="12"/>
    <n v="146"/>
    <n v="36500"/>
    <n v="16425"/>
    <s v="Julho"/>
    <s v="Usa"/>
    <s v="Liam Lee"/>
  </r>
  <r>
    <n v="10572"/>
    <x v="1"/>
    <x v="6"/>
    <x v="571"/>
    <x v="1"/>
    <x v="4"/>
    <x v="2"/>
    <n v="3"/>
    <n v="86"/>
    <n v="21500"/>
    <n v="7310.0000000000009"/>
    <s v="Julho"/>
    <s v="Canada"/>
    <s v="Liam Lee"/>
  </r>
  <r>
    <n v="10573"/>
    <x v="1"/>
    <x v="6"/>
    <x v="572"/>
    <x v="4"/>
    <x v="0"/>
    <x v="2"/>
    <n v="9"/>
    <n v="124"/>
    <n v="31000"/>
    <n v="12710"/>
    <s v="Julho"/>
    <s v="Uk"/>
    <s v="Emily White"/>
  </r>
  <r>
    <n v="10574"/>
    <x v="1"/>
    <x v="6"/>
    <x v="573"/>
    <x v="1"/>
    <x v="0"/>
    <x v="0"/>
    <n v="33"/>
    <n v="370"/>
    <n v="277500"/>
    <n v="47175"/>
    <s v="Julho"/>
    <s v="Canada"/>
    <s v="Emily White"/>
  </r>
  <r>
    <n v="10575"/>
    <x v="1"/>
    <x v="6"/>
    <x v="574"/>
    <x v="0"/>
    <x v="2"/>
    <x v="3"/>
    <n v="10"/>
    <n v="495"/>
    <n v="420750"/>
    <n v="96772.5"/>
    <s v="Julho"/>
    <s v="Usa"/>
    <s v="Jane Doe"/>
  </r>
  <r>
    <n v="10576"/>
    <x v="1"/>
    <x v="6"/>
    <x v="575"/>
    <x v="4"/>
    <x v="3"/>
    <x v="1"/>
    <n v="14"/>
    <n v="449"/>
    <n v="224500"/>
    <n v="40410"/>
    <s v="Julho"/>
    <s v="Uk"/>
    <s v="John Smith"/>
  </r>
  <r>
    <n v="10577"/>
    <x v="1"/>
    <x v="6"/>
    <x v="576"/>
    <x v="2"/>
    <x v="1"/>
    <x v="4"/>
    <n v="1"/>
    <n v="64"/>
    <n v="22400"/>
    <n v="4256"/>
    <s v="Julho"/>
    <s v="Australia"/>
    <s v="James Brown"/>
  </r>
  <r>
    <n v="10578"/>
    <x v="1"/>
    <x v="6"/>
    <x v="577"/>
    <x v="0"/>
    <x v="0"/>
    <x v="2"/>
    <n v="19"/>
    <n v="434"/>
    <n v="108500"/>
    <n v="43400"/>
    <s v="Julho"/>
    <s v="Usa"/>
    <s v="Emily White"/>
  </r>
  <r>
    <n v="10579"/>
    <x v="1"/>
    <x v="7"/>
    <x v="578"/>
    <x v="4"/>
    <x v="3"/>
    <x v="1"/>
    <n v="3"/>
    <n v="45"/>
    <n v="22500"/>
    <n v="4050"/>
    <s v="Agosto"/>
    <s v="Uk"/>
    <s v="John Smith"/>
  </r>
  <r>
    <n v="10580"/>
    <x v="1"/>
    <x v="7"/>
    <x v="579"/>
    <x v="1"/>
    <x v="4"/>
    <x v="0"/>
    <n v="5"/>
    <n v="55"/>
    <n v="41250"/>
    <n v="13200"/>
    <s v="Agosto"/>
    <s v="Canada"/>
    <s v="Liam Lee"/>
  </r>
  <r>
    <n v="10581"/>
    <x v="1"/>
    <x v="7"/>
    <x v="580"/>
    <x v="1"/>
    <x v="1"/>
    <x v="2"/>
    <n v="23"/>
    <n v="314"/>
    <n v="78500"/>
    <n v="9420"/>
    <s v="Agosto"/>
    <s v="Canada"/>
    <s v="James Brown"/>
  </r>
  <r>
    <n v="10582"/>
    <x v="1"/>
    <x v="7"/>
    <x v="581"/>
    <x v="2"/>
    <x v="1"/>
    <x v="0"/>
    <n v="21"/>
    <n v="246"/>
    <n v="184500"/>
    <n v="81180"/>
    <s v="Agosto"/>
    <s v="Australia"/>
    <s v="James Brown"/>
  </r>
  <r>
    <n v="10583"/>
    <x v="1"/>
    <x v="7"/>
    <x v="582"/>
    <x v="2"/>
    <x v="4"/>
    <x v="3"/>
    <n v="7"/>
    <n v="295"/>
    <n v="250750"/>
    <n v="45135"/>
    <s v="Agosto"/>
    <s v="Australia"/>
    <s v="Liam Lee"/>
  </r>
  <r>
    <n v="10584"/>
    <x v="1"/>
    <x v="7"/>
    <x v="583"/>
    <x v="2"/>
    <x v="0"/>
    <x v="0"/>
    <n v="31"/>
    <n v="364"/>
    <n v="273000"/>
    <n v="38220"/>
    <s v="Agosto"/>
    <s v="Australia"/>
    <s v="Emily White"/>
  </r>
  <r>
    <n v="10585"/>
    <x v="1"/>
    <x v="7"/>
    <x v="584"/>
    <x v="2"/>
    <x v="3"/>
    <x v="2"/>
    <n v="6"/>
    <n v="108"/>
    <n v="27000"/>
    <n v="5400"/>
    <s v="Agosto"/>
    <s v="Australia"/>
    <s v="John Smith"/>
  </r>
  <r>
    <n v="10586"/>
    <x v="1"/>
    <x v="7"/>
    <x v="585"/>
    <x v="4"/>
    <x v="2"/>
    <x v="2"/>
    <n v="46"/>
    <n v="477"/>
    <n v="119250"/>
    <n v="26235"/>
    <s v="Agosto"/>
    <s v="Uk"/>
    <s v="Jane Doe"/>
  </r>
  <r>
    <n v="10587"/>
    <x v="1"/>
    <x v="7"/>
    <x v="586"/>
    <x v="0"/>
    <x v="4"/>
    <x v="2"/>
    <n v="42"/>
    <n v="461"/>
    <n v="115250"/>
    <n v="33422.5"/>
    <s v="Agosto"/>
    <s v="Usa"/>
    <s v="Liam Lee"/>
  </r>
  <r>
    <n v="10588"/>
    <x v="1"/>
    <x v="7"/>
    <x v="587"/>
    <x v="1"/>
    <x v="1"/>
    <x v="4"/>
    <n v="9"/>
    <n v="346"/>
    <n v="121100"/>
    <n v="39963"/>
    <s v="Agosto"/>
    <s v="Canada"/>
    <s v="James Brown"/>
  </r>
  <r>
    <n v="10589"/>
    <x v="1"/>
    <x v="7"/>
    <x v="588"/>
    <x v="0"/>
    <x v="0"/>
    <x v="1"/>
    <n v="25"/>
    <n v="288"/>
    <n v="144000"/>
    <n v="28800"/>
    <s v="Agosto"/>
    <s v="Usa"/>
    <s v="Emily White"/>
  </r>
  <r>
    <n v="10590"/>
    <x v="1"/>
    <x v="7"/>
    <x v="589"/>
    <x v="4"/>
    <x v="3"/>
    <x v="2"/>
    <n v="32"/>
    <n v="438"/>
    <n v="109500"/>
    <n v="38325"/>
    <s v="Agosto"/>
    <s v="Uk"/>
    <s v="John Smith"/>
  </r>
  <r>
    <n v="10591"/>
    <x v="1"/>
    <x v="7"/>
    <x v="590"/>
    <x v="2"/>
    <x v="3"/>
    <x v="4"/>
    <n v="8"/>
    <n v="231"/>
    <n v="80850"/>
    <n v="17787"/>
    <s v="Agosto"/>
    <s v="Australia"/>
    <s v="John Smith"/>
  </r>
  <r>
    <n v="10592"/>
    <x v="1"/>
    <x v="7"/>
    <x v="591"/>
    <x v="4"/>
    <x v="2"/>
    <x v="2"/>
    <n v="10"/>
    <n v="378"/>
    <n v="94500"/>
    <n v="28350"/>
    <s v="Agosto"/>
    <s v="Uk"/>
    <s v="Jane Doe"/>
  </r>
  <r>
    <n v="10593"/>
    <x v="1"/>
    <x v="7"/>
    <x v="592"/>
    <x v="0"/>
    <x v="4"/>
    <x v="0"/>
    <n v="8"/>
    <n v="484"/>
    <n v="363000"/>
    <n v="58080"/>
    <s v="Agosto"/>
    <s v="Usa"/>
    <s v="Liam Lee"/>
  </r>
  <r>
    <n v="10594"/>
    <x v="1"/>
    <x v="7"/>
    <x v="593"/>
    <x v="0"/>
    <x v="0"/>
    <x v="3"/>
    <n v="9"/>
    <n v="355"/>
    <n v="301750"/>
    <n v="39227.5"/>
    <s v="Agosto"/>
    <s v="Usa"/>
    <s v="Emily White"/>
  </r>
  <r>
    <n v="10595"/>
    <x v="1"/>
    <x v="7"/>
    <x v="594"/>
    <x v="0"/>
    <x v="1"/>
    <x v="0"/>
    <n v="1"/>
    <n v="19"/>
    <n v="14250"/>
    <n v="4132.5"/>
    <s v="Agosto"/>
    <s v="Usa"/>
    <s v="James Brown"/>
  </r>
  <r>
    <n v="10596"/>
    <x v="1"/>
    <x v="7"/>
    <x v="595"/>
    <x v="3"/>
    <x v="2"/>
    <x v="2"/>
    <n v="5"/>
    <n v="81"/>
    <n v="20250"/>
    <n v="8302.5"/>
    <s v="Agosto"/>
    <s v="New Zealand"/>
    <s v="Jane Doe"/>
  </r>
  <r>
    <n v="10597"/>
    <x v="1"/>
    <x v="7"/>
    <x v="596"/>
    <x v="2"/>
    <x v="2"/>
    <x v="1"/>
    <n v="3"/>
    <n v="241"/>
    <n v="120500"/>
    <n v="14460"/>
    <s v="Agosto"/>
    <s v="Australia"/>
    <s v="Jane Doe"/>
  </r>
  <r>
    <n v="10598"/>
    <x v="1"/>
    <x v="7"/>
    <x v="597"/>
    <x v="4"/>
    <x v="1"/>
    <x v="4"/>
    <n v="2"/>
    <n v="33"/>
    <n v="11550"/>
    <n v="3465"/>
    <s v="Agosto"/>
    <s v="Uk"/>
    <s v="James Brown"/>
  </r>
  <r>
    <n v="10599"/>
    <x v="1"/>
    <x v="7"/>
    <x v="598"/>
    <x v="3"/>
    <x v="2"/>
    <x v="3"/>
    <n v="3"/>
    <n v="187"/>
    <n v="158950"/>
    <n v="38148"/>
    <s v="Agosto"/>
    <s v="New Zealand"/>
    <s v="Jane Doe"/>
  </r>
  <r>
    <n v="10600"/>
    <x v="1"/>
    <x v="7"/>
    <x v="599"/>
    <x v="1"/>
    <x v="3"/>
    <x v="0"/>
    <n v="31"/>
    <n v="386"/>
    <n v="289500"/>
    <n v="52110"/>
    <s v="Agosto"/>
    <s v="Canada"/>
    <s v="John Smith"/>
  </r>
  <r>
    <n v="10601"/>
    <x v="1"/>
    <x v="7"/>
    <x v="600"/>
    <x v="1"/>
    <x v="1"/>
    <x v="2"/>
    <n v="5"/>
    <n v="315"/>
    <n v="78750"/>
    <n v="23625"/>
    <s v="Agosto"/>
    <s v="Canada"/>
    <s v="James Brown"/>
  </r>
  <r>
    <n v="10602"/>
    <x v="1"/>
    <x v="7"/>
    <x v="601"/>
    <x v="2"/>
    <x v="2"/>
    <x v="0"/>
    <n v="2"/>
    <n v="83"/>
    <n v="62250"/>
    <n v="28012.5"/>
    <s v="Agosto"/>
    <s v="Australia"/>
    <s v="Jane Doe"/>
  </r>
  <r>
    <n v="10603"/>
    <x v="1"/>
    <x v="7"/>
    <x v="602"/>
    <x v="4"/>
    <x v="2"/>
    <x v="0"/>
    <n v="22"/>
    <n v="357"/>
    <n v="267750"/>
    <n v="112455"/>
    <s v="Agosto"/>
    <s v="Uk"/>
    <s v="Jane Doe"/>
  </r>
  <r>
    <n v="10604"/>
    <x v="1"/>
    <x v="7"/>
    <x v="603"/>
    <x v="0"/>
    <x v="2"/>
    <x v="4"/>
    <n v="26"/>
    <n v="465"/>
    <n v="162750"/>
    <n v="34177.5"/>
    <s v="Agosto"/>
    <s v="Usa"/>
    <s v="Jane Doe"/>
  </r>
  <r>
    <n v="10605"/>
    <x v="1"/>
    <x v="7"/>
    <x v="604"/>
    <x v="2"/>
    <x v="2"/>
    <x v="3"/>
    <n v="18"/>
    <n v="355"/>
    <n v="301750"/>
    <n v="45262.5"/>
    <s v="Agosto"/>
    <s v="Australia"/>
    <s v="Jane Doe"/>
  </r>
  <r>
    <n v="10606"/>
    <x v="1"/>
    <x v="7"/>
    <x v="605"/>
    <x v="1"/>
    <x v="2"/>
    <x v="3"/>
    <n v="4"/>
    <n v="45"/>
    <n v="38250"/>
    <n v="9945"/>
    <s v="Agosto"/>
    <s v="Canada"/>
    <s v="Jane Doe"/>
  </r>
  <r>
    <n v="10607"/>
    <x v="1"/>
    <x v="7"/>
    <x v="606"/>
    <x v="2"/>
    <x v="3"/>
    <x v="4"/>
    <n v="9"/>
    <n v="102"/>
    <n v="35700"/>
    <n v="8568"/>
    <s v="Agosto"/>
    <s v="Australia"/>
    <s v="John Smith"/>
  </r>
  <r>
    <n v="10608"/>
    <x v="1"/>
    <x v="7"/>
    <x v="607"/>
    <x v="3"/>
    <x v="0"/>
    <x v="1"/>
    <n v="35"/>
    <n v="440"/>
    <n v="220000"/>
    <n v="44000"/>
    <s v="Agosto"/>
    <s v="New Zealand"/>
    <s v="Emily White"/>
  </r>
  <r>
    <n v="10609"/>
    <x v="1"/>
    <x v="7"/>
    <x v="608"/>
    <x v="3"/>
    <x v="1"/>
    <x v="4"/>
    <n v="6"/>
    <n v="96"/>
    <n v="33600"/>
    <n v="12096"/>
    <s v="Agosto"/>
    <s v="New Zealand"/>
    <s v="James Brown"/>
  </r>
  <r>
    <n v="10610"/>
    <x v="1"/>
    <x v="8"/>
    <x v="609"/>
    <x v="2"/>
    <x v="1"/>
    <x v="4"/>
    <n v="5"/>
    <n v="207"/>
    <n v="72450"/>
    <n v="25357.5"/>
    <s v="Setembro"/>
    <s v="Australia"/>
    <s v="James Brown"/>
  </r>
  <r>
    <n v="10611"/>
    <x v="1"/>
    <x v="8"/>
    <x v="610"/>
    <x v="2"/>
    <x v="3"/>
    <x v="2"/>
    <n v="16"/>
    <n v="173"/>
    <n v="43250"/>
    <n v="4325"/>
    <s v="Setembro"/>
    <s v="Australia"/>
    <s v="John Smith"/>
  </r>
  <r>
    <n v="10612"/>
    <x v="1"/>
    <x v="8"/>
    <x v="611"/>
    <x v="1"/>
    <x v="0"/>
    <x v="0"/>
    <n v="5"/>
    <n v="169"/>
    <n v="126750"/>
    <n v="46897.5"/>
    <s v="Setembro"/>
    <s v="Canada"/>
    <s v="Emily White"/>
  </r>
  <r>
    <n v="10613"/>
    <x v="1"/>
    <x v="8"/>
    <x v="612"/>
    <x v="4"/>
    <x v="3"/>
    <x v="2"/>
    <n v="20"/>
    <n v="337"/>
    <n v="84250"/>
    <n v="10110"/>
    <s v="Setembro"/>
    <s v="Uk"/>
    <s v="John Smith"/>
  </r>
  <r>
    <n v="10614"/>
    <x v="1"/>
    <x v="8"/>
    <x v="613"/>
    <x v="1"/>
    <x v="2"/>
    <x v="3"/>
    <n v="21"/>
    <n v="443"/>
    <n v="376550"/>
    <n v="169447.5"/>
    <s v="Setembro"/>
    <s v="Canada"/>
    <s v="Jane Doe"/>
  </r>
  <r>
    <n v="10615"/>
    <x v="1"/>
    <x v="8"/>
    <x v="614"/>
    <x v="1"/>
    <x v="2"/>
    <x v="1"/>
    <n v="16"/>
    <n v="236"/>
    <n v="118000"/>
    <n v="43660"/>
    <s v="Setembro"/>
    <s v="Canada"/>
    <s v="Jane Doe"/>
  </r>
  <r>
    <n v="10616"/>
    <x v="1"/>
    <x v="8"/>
    <x v="615"/>
    <x v="3"/>
    <x v="2"/>
    <x v="3"/>
    <n v="7"/>
    <n v="190"/>
    <n v="161500"/>
    <n v="61370"/>
    <s v="Setembro"/>
    <s v="New Zealand"/>
    <s v="Jane Doe"/>
  </r>
  <r>
    <n v="10617"/>
    <x v="1"/>
    <x v="8"/>
    <x v="616"/>
    <x v="2"/>
    <x v="0"/>
    <x v="2"/>
    <n v="9"/>
    <n v="261"/>
    <n v="65250"/>
    <n v="18270"/>
    <s v="Setembro"/>
    <s v="Australia"/>
    <s v="Emily White"/>
  </r>
  <r>
    <n v="10618"/>
    <x v="1"/>
    <x v="8"/>
    <x v="617"/>
    <x v="2"/>
    <x v="4"/>
    <x v="3"/>
    <n v="7"/>
    <n v="253"/>
    <n v="215050"/>
    <n v="68816"/>
    <s v="Setembro"/>
    <s v="Australia"/>
    <s v="Liam Lee"/>
  </r>
  <r>
    <n v="10619"/>
    <x v="1"/>
    <x v="8"/>
    <x v="618"/>
    <x v="1"/>
    <x v="4"/>
    <x v="1"/>
    <n v="15"/>
    <n v="244"/>
    <n v="122000"/>
    <n v="37820"/>
    <s v="Setembro"/>
    <s v="Canada"/>
    <s v="Liam Lee"/>
  </r>
  <r>
    <n v="10620"/>
    <x v="1"/>
    <x v="8"/>
    <x v="619"/>
    <x v="4"/>
    <x v="2"/>
    <x v="3"/>
    <n v="14"/>
    <n v="179"/>
    <n v="152150"/>
    <n v="19779.5"/>
    <s v="Setembro"/>
    <s v="Uk"/>
    <s v="Jane Doe"/>
  </r>
  <r>
    <n v="10621"/>
    <x v="1"/>
    <x v="8"/>
    <x v="620"/>
    <x v="3"/>
    <x v="2"/>
    <x v="3"/>
    <n v="26"/>
    <n v="269"/>
    <n v="228650"/>
    <n v="102892.5"/>
    <s v="Setembro"/>
    <s v="New Zealand"/>
    <s v="Jane Doe"/>
  </r>
  <r>
    <n v="10622"/>
    <x v="1"/>
    <x v="8"/>
    <x v="621"/>
    <x v="0"/>
    <x v="4"/>
    <x v="2"/>
    <n v="9"/>
    <n v="107"/>
    <n v="26750"/>
    <n v="6152.5"/>
    <s v="Setembro"/>
    <s v="Usa"/>
    <s v="Liam Lee"/>
  </r>
  <r>
    <n v="10623"/>
    <x v="1"/>
    <x v="8"/>
    <x v="622"/>
    <x v="1"/>
    <x v="1"/>
    <x v="0"/>
    <n v="36"/>
    <n v="421"/>
    <n v="315750"/>
    <n v="34732.5"/>
    <s v="Setembro"/>
    <s v="Canada"/>
    <s v="James Brown"/>
  </r>
  <r>
    <n v="10624"/>
    <x v="1"/>
    <x v="8"/>
    <x v="623"/>
    <x v="1"/>
    <x v="3"/>
    <x v="4"/>
    <n v="20"/>
    <n v="253"/>
    <n v="88550"/>
    <n v="11511.5"/>
    <s v="Setembro"/>
    <s v="Canada"/>
    <s v="John Smith"/>
  </r>
  <r>
    <n v="10625"/>
    <x v="1"/>
    <x v="8"/>
    <x v="624"/>
    <x v="2"/>
    <x v="2"/>
    <x v="1"/>
    <n v="7"/>
    <n v="195"/>
    <n v="97500"/>
    <n v="38025"/>
    <s v="Setembro"/>
    <s v="Australia"/>
    <s v="Jane Doe"/>
  </r>
  <r>
    <n v="10626"/>
    <x v="1"/>
    <x v="8"/>
    <x v="625"/>
    <x v="1"/>
    <x v="0"/>
    <x v="1"/>
    <n v="11"/>
    <n v="297"/>
    <n v="148500"/>
    <n v="29700"/>
    <s v="Setembro"/>
    <s v="Canada"/>
    <s v="Emily White"/>
  </r>
  <r>
    <n v="10627"/>
    <x v="1"/>
    <x v="8"/>
    <x v="626"/>
    <x v="3"/>
    <x v="4"/>
    <x v="4"/>
    <n v="22"/>
    <n v="391"/>
    <n v="136850"/>
    <n v="56108.5"/>
    <s v="Setembro"/>
    <s v="New Zealand"/>
    <s v="Liam Lee"/>
  </r>
  <r>
    <n v="10628"/>
    <x v="1"/>
    <x v="8"/>
    <x v="627"/>
    <x v="2"/>
    <x v="0"/>
    <x v="4"/>
    <n v="1"/>
    <n v="18"/>
    <n v="6300"/>
    <n v="2520"/>
    <s v="Setembro"/>
    <s v="Australia"/>
    <s v="Emily White"/>
  </r>
  <r>
    <n v="10629"/>
    <x v="1"/>
    <x v="8"/>
    <x v="628"/>
    <x v="2"/>
    <x v="1"/>
    <x v="2"/>
    <n v="2"/>
    <n v="85"/>
    <n v="21250"/>
    <n v="4462.5"/>
    <s v="Setembro"/>
    <s v="Australia"/>
    <s v="James Brown"/>
  </r>
  <r>
    <n v="10630"/>
    <x v="1"/>
    <x v="8"/>
    <x v="629"/>
    <x v="1"/>
    <x v="2"/>
    <x v="4"/>
    <n v="6"/>
    <n v="306"/>
    <n v="107100"/>
    <n v="10710"/>
    <s v="Setembro"/>
    <s v="Canada"/>
    <s v="Jane Doe"/>
  </r>
  <r>
    <n v="10631"/>
    <x v="1"/>
    <x v="8"/>
    <x v="630"/>
    <x v="1"/>
    <x v="3"/>
    <x v="1"/>
    <n v="10"/>
    <n v="122"/>
    <n v="61000"/>
    <n v="11590"/>
    <s v="Setembro"/>
    <s v="Canada"/>
    <s v="John Smith"/>
  </r>
  <r>
    <n v="10632"/>
    <x v="1"/>
    <x v="8"/>
    <x v="631"/>
    <x v="0"/>
    <x v="0"/>
    <x v="3"/>
    <n v="11"/>
    <n v="203"/>
    <n v="172550"/>
    <n v="77647.5"/>
    <s v="Setembro"/>
    <s v="Usa"/>
    <s v="Emily White"/>
  </r>
  <r>
    <n v="10633"/>
    <x v="1"/>
    <x v="8"/>
    <x v="632"/>
    <x v="2"/>
    <x v="1"/>
    <x v="0"/>
    <n v="29"/>
    <n v="292"/>
    <n v="219000"/>
    <n v="30660.000000000004"/>
    <s v="Setembro"/>
    <s v="Australia"/>
    <s v="James Brown"/>
  </r>
  <r>
    <n v="10634"/>
    <x v="1"/>
    <x v="8"/>
    <x v="633"/>
    <x v="2"/>
    <x v="4"/>
    <x v="1"/>
    <n v="8"/>
    <n v="83"/>
    <n v="41500"/>
    <n v="16185"/>
    <s v="Setembro"/>
    <s v="Australia"/>
    <s v="Liam Lee"/>
  </r>
  <r>
    <n v="10635"/>
    <x v="1"/>
    <x v="8"/>
    <x v="634"/>
    <x v="4"/>
    <x v="2"/>
    <x v="4"/>
    <n v="19"/>
    <n v="311"/>
    <n v="108850"/>
    <n v="34832"/>
    <s v="Setembro"/>
    <s v="Uk"/>
    <s v="Jane Doe"/>
  </r>
  <r>
    <n v="10636"/>
    <x v="1"/>
    <x v="8"/>
    <x v="635"/>
    <x v="4"/>
    <x v="0"/>
    <x v="0"/>
    <n v="9"/>
    <n v="478"/>
    <n v="358500"/>
    <n v="150570"/>
    <s v="Setembro"/>
    <s v="Uk"/>
    <s v="Emily White"/>
  </r>
  <r>
    <n v="10637"/>
    <x v="1"/>
    <x v="8"/>
    <x v="636"/>
    <x v="0"/>
    <x v="4"/>
    <x v="4"/>
    <n v="22"/>
    <n v="242"/>
    <n v="84700"/>
    <n v="29644.999999999996"/>
    <s v="Setembro"/>
    <s v="Usa"/>
    <s v="Liam Lee"/>
  </r>
  <r>
    <n v="10638"/>
    <x v="1"/>
    <x v="8"/>
    <x v="637"/>
    <x v="0"/>
    <x v="1"/>
    <x v="1"/>
    <n v="26"/>
    <n v="421"/>
    <n v="210500"/>
    <n v="82095"/>
    <s v="Setembro"/>
    <s v="Usa"/>
    <s v="James Brown"/>
  </r>
  <r>
    <n v="10639"/>
    <x v="1"/>
    <x v="8"/>
    <x v="638"/>
    <x v="1"/>
    <x v="0"/>
    <x v="4"/>
    <n v="17"/>
    <n v="276"/>
    <n v="96600"/>
    <n v="32844"/>
    <s v="Setembro"/>
    <s v="Canada"/>
    <s v="Emily White"/>
  </r>
  <r>
    <n v="10640"/>
    <x v="1"/>
    <x v="9"/>
    <x v="639"/>
    <x v="1"/>
    <x v="4"/>
    <x v="0"/>
    <n v="2"/>
    <n v="90"/>
    <n v="67500"/>
    <n v="12825"/>
    <s v="Outubro"/>
    <s v="Canada"/>
    <s v="Liam Lee"/>
  </r>
  <r>
    <n v="10641"/>
    <x v="1"/>
    <x v="9"/>
    <x v="640"/>
    <x v="4"/>
    <x v="0"/>
    <x v="0"/>
    <n v="5"/>
    <n v="69"/>
    <n v="51750"/>
    <n v="13455"/>
    <s v="Outubro"/>
    <s v="Uk"/>
    <s v="Emily White"/>
  </r>
  <r>
    <n v="10642"/>
    <x v="1"/>
    <x v="9"/>
    <x v="641"/>
    <x v="3"/>
    <x v="1"/>
    <x v="2"/>
    <n v="7"/>
    <n v="364"/>
    <n v="91000"/>
    <n v="27300"/>
    <s v="Outubro"/>
    <s v="New Zealand"/>
    <s v="James Brown"/>
  </r>
  <r>
    <n v="10643"/>
    <x v="1"/>
    <x v="9"/>
    <x v="642"/>
    <x v="4"/>
    <x v="0"/>
    <x v="4"/>
    <n v="9"/>
    <n v="169"/>
    <n v="59150"/>
    <n v="24251.5"/>
    <s v="Outubro"/>
    <s v="Uk"/>
    <s v="Emily White"/>
  </r>
  <r>
    <n v="10644"/>
    <x v="1"/>
    <x v="9"/>
    <x v="643"/>
    <x v="3"/>
    <x v="0"/>
    <x v="4"/>
    <n v="1"/>
    <n v="21"/>
    <n v="7350"/>
    <n v="2866.5"/>
    <s v="Outubro"/>
    <s v="New Zealand"/>
    <s v="Emily White"/>
  </r>
  <r>
    <n v="10645"/>
    <x v="1"/>
    <x v="9"/>
    <x v="644"/>
    <x v="4"/>
    <x v="1"/>
    <x v="3"/>
    <n v="5"/>
    <n v="97"/>
    <n v="82450"/>
    <n v="20612.5"/>
    <s v="Outubro"/>
    <s v="Uk"/>
    <s v="James Brown"/>
  </r>
  <r>
    <n v="10646"/>
    <x v="1"/>
    <x v="9"/>
    <x v="645"/>
    <x v="4"/>
    <x v="1"/>
    <x v="4"/>
    <n v="23"/>
    <n v="384"/>
    <n v="134400"/>
    <n v="14784"/>
    <s v="Outubro"/>
    <s v="Uk"/>
    <s v="James Brown"/>
  </r>
  <r>
    <n v="10647"/>
    <x v="1"/>
    <x v="9"/>
    <x v="646"/>
    <x v="2"/>
    <x v="0"/>
    <x v="3"/>
    <n v="18"/>
    <n v="395"/>
    <n v="335750"/>
    <n v="110797.5"/>
    <s v="Outubro"/>
    <s v="Australia"/>
    <s v="Emily White"/>
  </r>
  <r>
    <n v="10648"/>
    <x v="1"/>
    <x v="9"/>
    <x v="647"/>
    <x v="4"/>
    <x v="0"/>
    <x v="0"/>
    <n v="21"/>
    <n v="433"/>
    <n v="324750"/>
    <n v="38970"/>
    <s v="Outubro"/>
    <s v="Uk"/>
    <s v="Emily White"/>
  </r>
  <r>
    <n v="10649"/>
    <x v="1"/>
    <x v="9"/>
    <x v="648"/>
    <x v="3"/>
    <x v="0"/>
    <x v="4"/>
    <n v="7"/>
    <n v="370"/>
    <n v="129500"/>
    <n v="12950"/>
    <s v="Outubro"/>
    <s v="New Zealand"/>
    <s v="Emily White"/>
  </r>
  <r>
    <n v="10650"/>
    <x v="1"/>
    <x v="9"/>
    <x v="649"/>
    <x v="3"/>
    <x v="0"/>
    <x v="2"/>
    <n v="40"/>
    <n v="425"/>
    <n v="106250"/>
    <n v="38250"/>
    <s v="Outubro"/>
    <s v="New Zealand"/>
    <s v="Emily White"/>
  </r>
  <r>
    <n v="10651"/>
    <x v="1"/>
    <x v="9"/>
    <x v="650"/>
    <x v="2"/>
    <x v="0"/>
    <x v="1"/>
    <n v="32"/>
    <n v="323"/>
    <n v="161500"/>
    <n v="35530"/>
    <s v="Outubro"/>
    <s v="Australia"/>
    <s v="Emily White"/>
  </r>
  <r>
    <n v="10652"/>
    <x v="1"/>
    <x v="9"/>
    <x v="651"/>
    <x v="3"/>
    <x v="2"/>
    <x v="4"/>
    <n v="14"/>
    <n v="438"/>
    <n v="153300"/>
    <n v="64386"/>
    <s v="Outubro"/>
    <s v="New Zealand"/>
    <s v="Jane Doe"/>
  </r>
  <r>
    <n v="10653"/>
    <x v="1"/>
    <x v="9"/>
    <x v="652"/>
    <x v="0"/>
    <x v="4"/>
    <x v="3"/>
    <n v="5"/>
    <n v="97"/>
    <n v="82450"/>
    <n v="31331"/>
    <s v="Outubro"/>
    <s v="Usa"/>
    <s v="Liam Lee"/>
  </r>
  <r>
    <n v="10654"/>
    <x v="1"/>
    <x v="9"/>
    <x v="653"/>
    <x v="2"/>
    <x v="0"/>
    <x v="2"/>
    <n v="7"/>
    <n v="110"/>
    <n v="27500"/>
    <n v="8525"/>
    <s v="Outubro"/>
    <s v="Australia"/>
    <s v="Emily White"/>
  </r>
  <r>
    <n v="10655"/>
    <x v="1"/>
    <x v="9"/>
    <x v="654"/>
    <x v="4"/>
    <x v="1"/>
    <x v="4"/>
    <n v="1"/>
    <n v="44"/>
    <n v="15400"/>
    <n v="4928"/>
    <s v="Outubro"/>
    <s v="Uk"/>
    <s v="James Brown"/>
  </r>
  <r>
    <n v="10656"/>
    <x v="1"/>
    <x v="9"/>
    <x v="655"/>
    <x v="1"/>
    <x v="2"/>
    <x v="4"/>
    <n v="5"/>
    <n v="61"/>
    <n v="21350"/>
    <n v="4270"/>
    <s v="Outubro"/>
    <s v="Canada"/>
    <s v="Jane Doe"/>
  </r>
  <r>
    <n v="10657"/>
    <x v="1"/>
    <x v="9"/>
    <x v="656"/>
    <x v="0"/>
    <x v="0"/>
    <x v="4"/>
    <n v="26"/>
    <n v="343"/>
    <n v="120050"/>
    <n v="16807"/>
    <s v="Outubro"/>
    <s v="Usa"/>
    <s v="Emily White"/>
  </r>
  <r>
    <n v="10658"/>
    <x v="1"/>
    <x v="9"/>
    <x v="657"/>
    <x v="2"/>
    <x v="4"/>
    <x v="4"/>
    <n v="11"/>
    <n v="247"/>
    <n v="86450"/>
    <n v="11238.5"/>
    <s v="Outubro"/>
    <s v="Australia"/>
    <s v="Liam Lee"/>
  </r>
  <r>
    <n v="10659"/>
    <x v="1"/>
    <x v="9"/>
    <x v="658"/>
    <x v="3"/>
    <x v="1"/>
    <x v="2"/>
    <n v="14"/>
    <n v="449"/>
    <n v="112250"/>
    <n v="32552.499999999996"/>
    <s v="Outubro"/>
    <s v="New Zealand"/>
    <s v="James Brown"/>
  </r>
  <r>
    <n v="10660"/>
    <x v="1"/>
    <x v="9"/>
    <x v="659"/>
    <x v="0"/>
    <x v="4"/>
    <x v="0"/>
    <n v="4"/>
    <n v="58"/>
    <n v="43500"/>
    <n v="13050"/>
    <s v="Outubro"/>
    <s v="Usa"/>
    <s v="Liam Lee"/>
  </r>
  <r>
    <n v="10661"/>
    <x v="1"/>
    <x v="9"/>
    <x v="660"/>
    <x v="2"/>
    <x v="3"/>
    <x v="4"/>
    <n v="11"/>
    <n v="190"/>
    <n v="66500"/>
    <n v="11970"/>
    <s v="Outubro"/>
    <s v="Australia"/>
    <s v="John Smith"/>
  </r>
  <r>
    <n v="10662"/>
    <x v="1"/>
    <x v="9"/>
    <x v="661"/>
    <x v="1"/>
    <x v="3"/>
    <x v="0"/>
    <n v="12"/>
    <n v="255"/>
    <n v="191250"/>
    <n v="61200"/>
    <s v="Outubro"/>
    <s v="Canada"/>
    <s v="John Smith"/>
  </r>
  <r>
    <n v="10663"/>
    <x v="1"/>
    <x v="9"/>
    <x v="662"/>
    <x v="0"/>
    <x v="4"/>
    <x v="4"/>
    <n v="14"/>
    <n v="428"/>
    <n v="149800"/>
    <n v="20972.000000000004"/>
    <s v="Outubro"/>
    <s v="Usa"/>
    <s v="Liam Lee"/>
  </r>
  <r>
    <n v="10664"/>
    <x v="1"/>
    <x v="9"/>
    <x v="663"/>
    <x v="3"/>
    <x v="3"/>
    <x v="3"/>
    <n v="8"/>
    <n v="124"/>
    <n v="105400"/>
    <n v="45322"/>
    <s v="Outubro"/>
    <s v="New Zealand"/>
    <s v="John Smith"/>
  </r>
  <r>
    <n v="10665"/>
    <x v="1"/>
    <x v="9"/>
    <x v="664"/>
    <x v="0"/>
    <x v="4"/>
    <x v="1"/>
    <n v="13"/>
    <n v="336"/>
    <n v="168000"/>
    <n v="25200"/>
    <s v="Outubro"/>
    <s v="Usa"/>
    <s v="Liam Lee"/>
  </r>
  <r>
    <n v="10666"/>
    <x v="1"/>
    <x v="9"/>
    <x v="665"/>
    <x v="1"/>
    <x v="1"/>
    <x v="1"/>
    <n v="8"/>
    <n v="429"/>
    <n v="214500"/>
    <n v="32175"/>
    <s v="Outubro"/>
    <s v="Canada"/>
    <s v="James Brown"/>
  </r>
  <r>
    <n v="10667"/>
    <x v="1"/>
    <x v="9"/>
    <x v="666"/>
    <x v="1"/>
    <x v="2"/>
    <x v="0"/>
    <n v="32"/>
    <n v="341"/>
    <n v="255750"/>
    <n v="53707.5"/>
    <s v="Outubro"/>
    <s v="Canada"/>
    <s v="Jane Doe"/>
  </r>
  <r>
    <n v="10668"/>
    <x v="1"/>
    <x v="9"/>
    <x v="667"/>
    <x v="2"/>
    <x v="4"/>
    <x v="4"/>
    <n v="3"/>
    <n v="48"/>
    <n v="16800"/>
    <n v="2352"/>
    <s v="Outubro"/>
    <s v="Australia"/>
    <s v="Liam Lee"/>
  </r>
  <r>
    <n v="10669"/>
    <x v="1"/>
    <x v="9"/>
    <x v="668"/>
    <x v="3"/>
    <x v="4"/>
    <x v="0"/>
    <n v="1"/>
    <n v="29"/>
    <n v="21750"/>
    <n v="9570"/>
    <s v="Outubro"/>
    <s v="New Zealand"/>
    <s v="Liam Lee"/>
  </r>
  <r>
    <n v="10670"/>
    <x v="1"/>
    <x v="9"/>
    <x v="669"/>
    <x v="4"/>
    <x v="2"/>
    <x v="2"/>
    <n v="7"/>
    <n v="105"/>
    <n v="26250"/>
    <n v="4462.5"/>
    <s v="Outubro"/>
    <s v="Uk"/>
    <s v="Jane Doe"/>
  </r>
  <r>
    <n v="10671"/>
    <x v="1"/>
    <x v="10"/>
    <x v="670"/>
    <x v="3"/>
    <x v="4"/>
    <x v="0"/>
    <n v="4"/>
    <n v="310"/>
    <n v="232500"/>
    <n v="41850"/>
    <s v="Novembro"/>
    <s v="New Zealand"/>
    <s v="Liam Lee"/>
  </r>
  <r>
    <n v="10672"/>
    <x v="1"/>
    <x v="10"/>
    <x v="671"/>
    <x v="1"/>
    <x v="3"/>
    <x v="3"/>
    <n v="1"/>
    <n v="21"/>
    <n v="17850"/>
    <n v="4462.5"/>
    <s v="Novembro"/>
    <s v="Canada"/>
    <s v="John Smith"/>
  </r>
  <r>
    <n v="10673"/>
    <x v="1"/>
    <x v="10"/>
    <x v="672"/>
    <x v="2"/>
    <x v="2"/>
    <x v="2"/>
    <n v="4"/>
    <n v="254"/>
    <n v="63500"/>
    <n v="12700"/>
    <s v="Novembro"/>
    <s v="Australia"/>
    <s v="Jane Doe"/>
  </r>
  <r>
    <n v="10674"/>
    <x v="1"/>
    <x v="10"/>
    <x v="673"/>
    <x v="0"/>
    <x v="4"/>
    <x v="3"/>
    <n v="12"/>
    <n v="335"/>
    <n v="284750"/>
    <n v="42712.5"/>
    <s v="Novembro"/>
    <s v="Usa"/>
    <s v="Liam Lee"/>
  </r>
  <r>
    <n v="10675"/>
    <x v="1"/>
    <x v="10"/>
    <x v="674"/>
    <x v="2"/>
    <x v="3"/>
    <x v="3"/>
    <n v="26"/>
    <n v="287"/>
    <n v="243950"/>
    <n v="73185"/>
    <s v="Novembro"/>
    <s v="Australia"/>
    <s v="John Smith"/>
  </r>
  <r>
    <n v="10676"/>
    <x v="1"/>
    <x v="10"/>
    <x v="675"/>
    <x v="4"/>
    <x v="2"/>
    <x v="4"/>
    <n v="2"/>
    <n v="20"/>
    <n v="7000"/>
    <n v="1470"/>
    <s v="Novembro"/>
    <s v="Uk"/>
    <s v="Jane Doe"/>
  </r>
  <r>
    <n v="10677"/>
    <x v="1"/>
    <x v="10"/>
    <x v="676"/>
    <x v="0"/>
    <x v="3"/>
    <x v="1"/>
    <n v="24"/>
    <n v="267"/>
    <n v="133500"/>
    <n v="40050"/>
    <s v="Novembro"/>
    <s v="Usa"/>
    <s v="John Smith"/>
  </r>
  <r>
    <n v="10678"/>
    <x v="1"/>
    <x v="10"/>
    <x v="677"/>
    <x v="4"/>
    <x v="0"/>
    <x v="2"/>
    <n v="29"/>
    <n v="470"/>
    <n v="117500"/>
    <n v="52875"/>
    <s v="Novembro"/>
    <s v="Uk"/>
    <s v="Emily White"/>
  </r>
  <r>
    <n v="10679"/>
    <x v="1"/>
    <x v="10"/>
    <x v="678"/>
    <x v="3"/>
    <x v="3"/>
    <x v="0"/>
    <n v="27"/>
    <n v="299"/>
    <n v="224250"/>
    <n v="94185"/>
    <s v="Novembro"/>
    <s v="New Zealand"/>
    <s v="John Smith"/>
  </r>
  <r>
    <n v="10680"/>
    <x v="1"/>
    <x v="10"/>
    <x v="679"/>
    <x v="4"/>
    <x v="2"/>
    <x v="2"/>
    <n v="4"/>
    <n v="225"/>
    <n v="56250"/>
    <n v="25312.5"/>
    <s v="Novembro"/>
    <s v="Uk"/>
    <s v="Jane Doe"/>
  </r>
  <r>
    <n v="10681"/>
    <x v="1"/>
    <x v="10"/>
    <x v="680"/>
    <x v="4"/>
    <x v="3"/>
    <x v="2"/>
    <n v="22"/>
    <n v="297"/>
    <n v="74250"/>
    <n v="23017.5"/>
    <s v="Novembro"/>
    <s v="Uk"/>
    <s v="John Smith"/>
  </r>
  <r>
    <n v="10682"/>
    <x v="1"/>
    <x v="10"/>
    <x v="681"/>
    <x v="1"/>
    <x v="0"/>
    <x v="4"/>
    <n v="30"/>
    <n v="380"/>
    <n v="133000"/>
    <n v="27930"/>
    <s v="Novembro"/>
    <s v="Canada"/>
    <s v="Emily White"/>
  </r>
  <r>
    <n v="10683"/>
    <x v="1"/>
    <x v="10"/>
    <x v="682"/>
    <x v="1"/>
    <x v="4"/>
    <x v="2"/>
    <n v="27"/>
    <n v="304"/>
    <n v="76000"/>
    <n v="23560"/>
    <s v="Novembro"/>
    <s v="Canada"/>
    <s v="Liam Lee"/>
  </r>
  <r>
    <n v="10684"/>
    <x v="1"/>
    <x v="10"/>
    <x v="683"/>
    <x v="4"/>
    <x v="3"/>
    <x v="2"/>
    <n v="27"/>
    <n v="356"/>
    <n v="89000"/>
    <n v="24920.000000000004"/>
    <s v="Novembro"/>
    <s v="Uk"/>
    <s v="John Smith"/>
  </r>
  <r>
    <n v="10685"/>
    <x v="1"/>
    <x v="10"/>
    <x v="684"/>
    <x v="3"/>
    <x v="4"/>
    <x v="2"/>
    <n v="13"/>
    <n v="307"/>
    <n v="76750"/>
    <n v="29165"/>
    <s v="Novembro"/>
    <s v="New Zealand"/>
    <s v="Liam Lee"/>
  </r>
  <r>
    <n v="10686"/>
    <x v="1"/>
    <x v="10"/>
    <x v="685"/>
    <x v="1"/>
    <x v="2"/>
    <x v="4"/>
    <n v="6"/>
    <n v="172"/>
    <n v="60200"/>
    <n v="20468"/>
    <s v="Novembro"/>
    <s v="Canada"/>
    <s v="Jane Doe"/>
  </r>
  <r>
    <n v="10687"/>
    <x v="1"/>
    <x v="10"/>
    <x v="686"/>
    <x v="4"/>
    <x v="4"/>
    <x v="2"/>
    <n v="4"/>
    <n v="301"/>
    <n v="75250"/>
    <n v="32357.5"/>
    <s v="Novembro"/>
    <s v="Uk"/>
    <s v="Liam Lee"/>
  </r>
  <r>
    <n v="10688"/>
    <x v="1"/>
    <x v="10"/>
    <x v="687"/>
    <x v="0"/>
    <x v="3"/>
    <x v="3"/>
    <n v="29"/>
    <n v="403"/>
    <n v="342550"/>
    <n v="68510"/>
    <s v="Novembro"/>
    <s v="Usa"/>
    <s v="John Smith"/>
  </r>
  <r>
    <n v="10689"/>
    <x v="1"/>
    <x v="10"/>
    <x v="688"/>
    <x v="3"/>
    <x v="1"/>
    <x v="0"/>
    <n v="9"/>
    <n v="301"/>
    <n v="225750"/>
    <n v="90300"/>
    <s v="Novembro"/>
    <s v="New Zealand"/>
    <s v="James Brown"/>
  </r>
  <r>
    <n v="10690"/>
    <x v="1"/>
    <x v="10"/>
    <x v="689"/>
    <x v="4"/>
    <x v="2"/>
    <x v="1"/>
    <n v="6"/>
    <n v="187"/>
    <n v="93500"/>
    <n v="29920"/>
    <s v="Novembro"/>
    <s v="Uk"/>
    <s v="Jane Doe"/>
  </r>
  <r>
    <n v="10691"/>
    <x v="1"/>
    <x v="10"/>
    <x v="690"/>
    <x v="4"/>
    <x v="3"/>
    <x v="1"/>
    <n v="48"/>
    <n v="494"/>
    <n v="247000"/>
    <n v="32110"/>
    <s v="Novembro"/>
    <s v="Uk"/>
    <s v="John Smith"/>
  </r>
  <r>
    <n v="10692"/>
    <x v="1"/>
    <x v="10"/>
    <x v="691"/>
    <x v="3"/>
    <x v="4"/>
    <x v="0"/>
    <n v="4"/>
    <n v="272"/>
    <n v="204000"/>
    <n v="53040"/>
    <s v="Novembro"/>
    <s v="New Zealand"/>
    <s v="Liam Lee"/>
  </r>
  <r>
    <n v="10693"/>
    <x v="1"/>
    <x v="10"/>
    <x v="692"/>
    <x v="0"/>
    <x v="2"/>
    <x v="3"/>
    <n v="4"/>
    <n v="41"/>
    <n v="34850"/>
    <n v="13940"/>
    <s v="Novembro"/>
    <s v="Usa"/>
    <s v="Jane Doe"/>
  </r>
  <r>
    <n v="10694"/>
    <x v="1"/>
    <x v="10"/>
    <x v="693"/>
    <x v="4"/>
    <x v="4"/>
    <x v="3"/>
    <n v="2"/>
    <n v="48"/>
    <n v="40800"/>
    <n v="15912"/>
    <s v="Novembro"/>
    <s v="Uk"/>
    <s v="Liam Lee"/>
  </r>
  <r>
    <n v="10695"/>
    <x v="1"/>
    <x v="10"/>
    <x v="694"/>
    <x v="2"/>
    <x v="3"/>
    <x v="2"/>
    <n v="11"/>
    <n v="243"/>
    <n v="60750"/>
    <n v="22477.5"/>
    <s v="Novembro"/>
    <s v="Australia"/>
    <s v="John Smith"/>
  </r>
  <r>
    <n v="10696"/>
    <x v="1"/>
    <x v="10"/>
    <x v="695"/>
    <x v="3"/>
    <x v="4"/>
    <x v="2"/>
    <n v="15"/>
    <n v="206"/>
    <n v="51500"/>
    <n v="15450"/>
    <s v="Novembro"/>
    <s v="New Zealand"/>
    <s v="Liam Lee"/>
  </r>
  <r>
    <n v="10697"/>
    <x v="1"/>
    <x v="10"/>
    <x v="696"/>
    <x v="2"/>
    <x v="2"/>
    <x v="0"/>
    <n v="22"/>
    <n v="220"/>
    <n v="165000"/>
    <n v="28050.000000000004"/>
    <s v="Novembro"/>
    <s v="Australia"/>
    <s v="Jane Doe"/>
  </r>
  <r>
    <n v="10698"/>
    <x v="1"/>
    <x v="10"/>
    <x v="697"/>
    <x v="2"/>
    <x v="1"/>
    <x v="2"/>
    <n v="2"/>
    <n v="32"/>
    <n v="8000"/>
    <n v="2400"/>
    <s v="Novembro"/>
    <s v="Australia"/>
    <s v="James Brown"/>
  </r>
  <r>
    <n v="10699"/>
    <x v="1"/>
    <x v="10"/>
    <x v="698"/>
    <x v="3"/>
    <x v="0"/>
    <x v="3"/>
    <n v="27"/>
    <n v="417"/>
    <n v="354450"/>
    <n v="148869"/>
    <s v="Novembro"/>
    <s v="New Zealand"/>
    <s v="Emily White"/>
  </r>
  <r>
    <n v="10700"/>
    <x v="1"/>
    <x v="10"/>
    <x v="699"/>
    <x v="0"/>
    <x v="1"/>
    <x v="4"/>
    <n v="20"/>
    <n v="322"/>
    <n v="112700"/>
    <n v="14651"/>
    <s v="Novembro"/>
    <s v="Usa"/>
    <s v="James Brown"/>
  </r>
  <r>
    <n v="10701"/>
    <x v="1"/>
    <x v="11"/>
    <x v="700"/>
    <x v="3"/>
    <x v="2"/>
    <x v="3"/>
    <n v="17"/>
    <n v="300"/>
    <n v="255000"/>
    <n v="102000"/>
    <s v="Dezembro"/>
    <s v="New Zealand"/>
    <s v="Jane Doe"/>
  </r>
  <r>
    <n v="10702"/>
    <x v="1"/>
    <x v="11"/>
    <x v="701"/>
    <x v="4"/>
    <x v="0"/>
    <x v="1"/>
    <n v="26"/>
    <n v="469"/>
    <n v="234500"/>
    <n v="65660"/>
    <s v="Dezembro"/>
    <s v="Uk"/>
    <s v="Emily White"/>
  </r>
  <r>
    <n v="10703"/>
    <x v="1"/>
    <x v="11"/>
    <x v="702"/>
    <x v="1"/>
    <x v="1"/>
    <x v="4"/>
    <n v="6"/>
    <n v="163"/>
    <n v="57050"/>
    <n v="22249.5"/>
    <s v="Dezembro"/>
    <s v="Canada"/>
    <s v="James Brown"/>
  </r>
  <r>
    <n v="10704"/>
    <x v="1"/>
    <x v="11"/>
    <x v="703"/>
    <x v="4"/>
    <x v="4"/>
    <x v="1"/>
    <n v="4"/>
    <n v="138"/>
    <n v="69000"/>
    <n v="17940"/>
    <s v="Dezembro"/>
    <s v="Uk"/>
    <s v="Liam Lee"/>
  </r>
  <r>
    <n v="10705"/>
    <x v="1"/>
    <x v="11"/>
    <x v="704"/>
    <x v="0"/>
    <x v="0"/>
    <x v="4"/>
    <n v="14"/>
    <n v="199"/>
    <n v="69650"/>
    <n v="29253"/>
    <s v="Dezembro"/>
    <s v="Usa"/>
    <s v="Emily White"/>
  </r>
  <r>
    <n v="10706"/>
    <x v="1"/>
    <x v="11"/>
    <x v="705"/>
    <x v="4"/>
    <x v="2"/>
    <x v="1"/>
    <n v="7"/>
    <n v="290"/>
    <n v="145000"/>
    <n v="44950"/>
    <s v="Dezembro"/>
    <s v="Uk"/>
    <s v="Jane Doe"/>
  </r>
  <r>
    <n v="10707"/>
    <x v="1"/>
    <x v="11"/>
    <x v="706"/>
    <x v="1"/>
    <x v="2"/>
    <x v="0"/>
    <n v="2"/>
    <n v="72"/>
    <n v="54000"/>
    <n v="7020"/>
    <s v="Dezembro"/>
    <s v="Canada"/>
    <s v="Jane Doe"/>
  </r>
  <r>
    <n v="10708"/>
    <x v="1"/>
    <x v="11"/>
    <x v="707"/>
    <x v="3"/>
    <x v="4"/>
    <x v="0"/>
    <n v="36"/>
    <n v="448"/>
    <n v="336000"/>
    <n v="151200"/>
    <s v="Dezembro"/>
    <s v="New Zealand"/>
    <s v="Liam Lee"/>
  </r>
  <r>
    <n v="10709"/>
    <x v="1"/>
    <x v="11"/>
    <x v="708"/>
    <x v="2"/>
    <x v="1"/>
    <x v="0"/>
    <n v="1"/>
    <n v="65"/>
    <n v="48750"/>
    <n v="6337.5"/>
    <s v="Dezembro"/>
    <s v="Australia"/>
    <s v="James Brown"/>
  </r>
  <r>
    <n v="10710"/>
    <x v="1"/>
    <x v="11"/>
    <x v="709"/>
    <x v="3"/>
    <x v="4"/>
    <x v="2"/>
    <n v="3"/>
    <n v="165"/>
    <n v="41250"/>
    <n v="17325"/>
    <s v="Dezembro"/>
    <s v="New Zealand"/>
    <s v="Liam Lee"/>
  </r>
  <r>
    <n v="10711"/>
    <x v="1"/>
    <x v="11"/>
    <x v="710"/>
    <x v="0"/>
    <x v="0"/>
    <x v="1"/>
    <n v="18"/>
    <n v="192"/>
    <n v="96000"/>
    <n v="29760"/>
    <s v="Dezembro"/>
    <s v="Usa"/>
    <s v="Emily White"/>
  </r>
  <r>
    <n v="10712"/>
    <x v="1"/>
    <x v="11"/>
    <x v="711"/>
    <x v="2"/>
    <x v="3"/>
    <x v="3"/>
    <n v="16"/>
    <n v="200"/>
    <n v="170000"/>
    <n v="71400"/>
    <s v="Dezembro"/>
    <s v="Australia"/>
    <s v="John Smith"/>
  </r>
  <r>
    <n v="10713"/>
    <x v="1"/>
    <x v="11"/>
    <x v="712"/>
    <x v="2"/>
    <x v="3"/>
    <x v="4"/>
    <n v="6"/>
    <n v="321"/>
    <n v="112350"/>
    <n v="43816.5"/>
    <s v="Dezembro"/>
    <s v="Australia"/>
    <s v="John Smith"/>
  </r>
  <r>
    <n v="10714"/>
    <x v="1"/>
    <x v="11"/>
    <x v="713"/>
    <x v="0"/>
    <x v="3"/>
    <x v="2"/>
    <n v="15"/>
    <n v="391"/>
    <n v="97750"/>
    <n v="26392.5"/>
    <s v="Dezembro"/>
    <s v="Usa"/>
    <s v="John Smith"/>
  </r>
  <r>
    <n v="10715"/>
    <x v="1"/>
    <x v="11"/>
    <x v="714"/>
    <x v="3"/>
    <x v="3"/>
    <x v="4"/>
    <n v="9"/>
    <n v="115"/>
    <n v="40250"/>
    <n v="14490"/>
    <s v="Dezembro"/>
    <s v="New Zealand"/>
    <s v="John Smith"/>
  </r>
  <r>
    <n v="10716"/>
    <x v="1"/>
    <x v="11"/>
    <x v="715"/>
    <x v="0"/>
    <x v="3"/>
    <x v="4"/>
    <n v="4"/>
    <n v="128"/>
    <n v="44800"/>
    <n v="20160"/>
    <s v="Dezembro"/>
    <s v="Usa"/>
    <s v="John Smith"/>
  </r>
  <r>
    <n v="10717"/>
    <x v="1"/>
    <x v="11"/>
    <x v="716"/>
    <x v="3"/>
    <x v="0"/>
    <x v="3"/>
    <n v="2"/>
    <n v="78"/>
    <n v="66300"/>
    <n v="11271"/>
    <s v="Dezembro"/>
    <s v="New Zealand"/>
    <s v="Emily White"/>
  </r>
  <r>
    <n v="10718"/>
    <x v="1"/>
    <x v="11"/>
    <x v="717"/>
    <x v="4"/>
    <x v="3"/>
    <x v="3"/>
    <n v="20"/>
    <n v="368"/>
    <n v="312800"/>
    <n v="78200"/>
    <s v="Dezembro"/>
    <s v="Uk"/>
    <s v="John Smith"/>
  </r>
  <r>
    <n v="10719"/>
    <x v="1"/>
    <x v="11"/>
    <x v="718"/>
    <x v="1"/>
    <x v="3"/>
    <x v="3"/>
    <n v="28"/>
    <n v="340"/>
    <n v="289000"/>
    <n v="95370"/>
    <s v="Dezembro"/>
    <s v="Canada"/>
    <s v="John Smith"/>
  </r>
  <r>
    <n v="10720"/>
    <x v="1"/>
    <x v="11"/>
    <x v="719"/>
    <x v="1"/>
    <x v="1"/>
    <x v="3"/>
    <n v="10"/>
    <n v="122"/>
    <n v="103700"/>
    <n v="41480"/>
    <s v="Dezembro"/>
    <s v="Canada"/>
    <s v="James Brown"/>
  </r>
  <r>
    <n v="10721"/>
    <x v="1"/>
    <x v="11"/>
    <x v="720"/>
    <x v="0"/>
    <x v="0"/>
    <x v="0"/>
    <n v="15"/>
    <n v="235"/>
    <n v="176250"/>
    <n v="31725"/>
    <s v="Dezembro"/>
    <s v="Usa"/>
    <s v="Emily White"/>
  </r>
  <r>
    <n v="10722"/>
    <x v="1"/>
    <x v="11"/>
    <x v="721"/>
    <x v="1"/>
    <x v="3"/>
    <x v="0"/>
    <n v="9"/>
    <n v="273"/>
    <n v="204750"/>
    <n v="85995"/>
    <s v="Dezembro"/>
    <s v="Canada"/>
    <s v="John Smith"/>
  </r>
  <r>
    <n v="10723"/>
    <x v="1"/>
    <x v="11"/>
    <x v="722"/>
    <x v="1"/>
    <x v="2"/>
    <x v="3"/>
    <n v="5"/>
    <n v="92"/>
    <n v="78200"/>
    <n v="15640"/>
    <s v="Dezembro"/>
    <s v="Canada"/>
    <s v="Jane Doe"/>
  </r>
  <r>
    <n v="10724"/>
    <x v="1"/>
    <x v="11"/>
    <x v="723"/>
    <x v="3"/>
    <x v="3"/>
    <x v="4"/>
    <n v="6"/>
    <n v="79"/>
    <n v="27650"/>
    <n v="9124.5"/>
    <s v="Dezembro"/>
    <s v="New Zealand"/>
    <s v="John Smith"/>
  </r>
  <r>
    <n v="10725"/>
    <x v="1"/>
    <x v="11"/>
    <x v="724"/>
    <x v="2"/>
    <x v="2"/>
    <x v="3"/>
    <n v="22"/>
    <n v="452"/>
    <n v="384200"/>
    <n v="149838"/>
    <s v="Dezembro"/>
    <s v="Australia"/>
    <s v="Jane Doe"/>
  </r>
  <r>
    <n v="10726"/>
    <x v="1"/>
    <x v="11"/>
    <x v="725"/>
    <x v="1"/>
    <x v="0"/>
    <x v="0"/>
    <n v="19"/>
    <n v="392"/>
    <n v="294000"/>
    <n v="94080"/>
    <s v="Dezembro"/>
    <s v="Canada"/>
    <s v="Emily White"/>
  </r>
  <r>
    <n v="10727"/>
    <x v="1"/>
    <x v="11"/>
    <x v="726"/>
    <x v="4"/>
    <x v="0"/>
    <x v="0"/>
    <n v="5"/>
    <n v="91"/>
    <n v="68250"/>
    <n v="9555"/>
    <s v="Dezembro"/>
    <s v="Uk"/>
    <s v="Emily White"/>
  </r>
  <r>
    <n v="10728"/>
    <x v="1"/>
    <x v="11"/>
    <x v="727"/>
    <x v="0"/>
    <x v="3"/>
    <x v="4"/>
    <n v="10"/>
    <n v="110"/>
    <n v="38500"/>
    <n v="3850"/>
    <s v="Dezembro"/>
    <s v="Usa"/>
    <s v="John Smith"/>
  </r>
  <r>
    <n v="10729"/>
    <x v="1"/>
    <x v="11"/>
    <x v="728"/>
    <x v="1"/>
    <x v="2"/>
    <x v="2"/>
    <n v="3"/>
    <n v="186"/>
    <n v="46500"/>
    <n v="9300"/>
    <s v="Dezembro"/>
    <s v="Canada"/>
    <s v="Jane Doe"/>
  </r>
  <r>
    <n v="10730"/>
    <x v="1"/>
    <x v="11"/>
    <x v="729"/>
    <x v="0"/>
    <x v="3"/>
    <x v="3"/>
    <n v="26"/>
    <n v="296"/>
    <n v="251600"/>
    <n v="60384"/>
    <s v="Dezembro"/>
    <s v="Usa"/>
    <s v="John Smith"/>
  </r>
  <r>
    <n v="10731"/>
    <x v="1"/>
    <x v="11"/>
    <x v="730"/>
    <x v="3"/>
    <x v="2"/>
    <x v="0"/>
    <n v="27"/>
    <n v="491"/>
    <n v="368250"/>
    <n v="81015"/>
    <s v="Dezembro"/>
    <s v="New Zealand"/>
    <s v="Jane Doe"/>
  </r>
  <r>
    <n v="10732"/>
    <x v="2"/>
    <x v="0"/>
    <x v="731"/>
    <x v="2"/>
    <x v="3"/>
    <x v="0"/>
    <n v="2"/>
    <n v="25"/>
    <n v="18750"/>
    <n v="3937.5"/>
    <s v="Janeiro"/>
    <s v="Australia"/>
    <s v="John Smith"/>
  </r>
  <r>
    <n v="10733"/>
    <x v="2"/>
    <x v="0"/>
    <x v="732"/>
    <x v="0"/>
    <x v="1"/>
    <x v="0"/>
    <n v="10"/>
    <n v="190"/>
    <n v="142500"/>
    <n v="48450"/>
    <s v="Janeiro"/>
    <s v="Usa"/>
    <s v="James Brown"/>
  </r>
  <r>
    <n v="10734"/>
    <x v="2"/>
    <x v="0"/>
    <x v="733"/>
    <x v="1"/>
    <x v="2"/>
    <x v="3"/>
    <n v="24"/>
    <n v="267"/>
    <n v="226950"/>
    <n v="38581.5"/>
    <s v="Janeiro"/>
    <s v="Canada"/>
    <s v="Jane Doe"/>
  </r>
  <r>
    <n v="10735"/>
    <x v="2"/>
    <x v="0"/>
    <x v="734"/>
    <x v="1"/>
    <x v="2"/>
    <x v="2"/>
    <n v="21"/>
    <n v="468"/>
    <n v="117000"/>
    <n v="46800"/>
    <s v="Janeiro"/>
    <s v="Canada"/>
    <s v="Jane Doe"/>
  </r>
  <r>
    <n v="10736"/>
    <x v="2"/>
    <x v="0"/>
    <x v="735"/>
    <x v="0"/>
    <x v="3"/>
    <x v="1"/>
    <n v="9"/>
    <n v="178"/>
    <n v="89000"/>
    <n v="14240"/>
    <s v="Janeiro"/>
    <s v="Usa"/>
    <s v="John Smith"/>
  </r>
  <r>
    <n v="10737"/>
    <x v="2"/>
    <x v="0"/>
    <x v="736"/>
    <x v="1"/>
    <x v="3"/>
    <x v="0"/>
    <n v="4"/>
    <n v="66"/>
    <n v="49500"/>
    <n v="9405"/>
    <s v="Janeiro"/>
    <s v="Canada"/>
    <s v="John Smith"/>
  </r>
  <r>
    <n v="10738"/>
    <x v="2"/>
    <x v="0"/>
    <x v="737"/>
    <x v="2"/>
    <x v="4"/>
    <x v="3"/>
    <n v="7"/>
    <n v="160"/>
    <n v="136000"/>
    <n v="20400"/>
    <s v="Janeiro"/>
    <s v="Australia"/>
    <s v="Liam Lee"/>
  </r>
  <r>
    <n v="10739"/>
    <x v="2"/>
    <x v="0"/>
    <x v="738"/>
    <x v="2"/>
    <x v="2"/>
    <x v="1"/>
    <n v="11"/>
    <n v="144"/>
    <n v="72000"/>
    <n v="20880"/>
    <s v="Janeiro"/>
    <s v="Australia"/>
    <s v="Jane Doe"/>
  </r>
  <r>
    <n v="10740"/>
    <x v="2"/>
    <x v="0"/>
    <x v="739"/>
    <x v="0"/>
    <x v="2"/>
    <x v="4"/>
    <n v="6"/>
    <n v="383"/>
    <n v="134050"/>
    <n v="53620"/>
    <s v="Janeiro"/>
    <s v="Usa"/>
    <s v="Jane Doe"/>
  </r>
  <r>
    <n v="10741"/>
    <x v="2"/>
    <x v="0"/>
    <x v="740"/>
    <x v="1"/>
    <x v="1"/>
    <x v="4"/>
    <n v="14"/>
    <n v="338"/>
    <n v="118300"/>
    <n v="22477"/>
    <s v="Janeiro"/>
    <s v="Canada"/>
    <s v="James Brown"/>
  </r>
  <r>
    <n v="10742"/>
    <x v="2"/>
    <x v="0"/>
    <x v="741"/>
    <x v="1"/>
    <x v="2"/>
    <x v="1"/>
    <n v="17"/>
    <n v="186"/>
    <n v="93000"/>
    <n v="21390"/>
    <s v="Janeiro"/>
    <s v="Canada"/>
    <s v="Jane Doe"/>
  </r>
  <r>
    <n v="10743"/>
    <x v="2"/>
    <x v="0"/>
    <x v="742"/>
    <x v="0"/>
    <x v="3"/>
    <x v="0"/>
    <n v="48"/>
    <n v="493"/>
    <n v="369750"/>
    <n v="59160"/>
    <s v="Janeiro"/>
    <s v="Usa"/>
    <s v="John Smith"/>
  </r>
  <r>
    <n v="10744"/>
    <x v="2"/>
    <x v="0"/>
    <x v="743"/>
    <x v="2"/>
    <x v="4"/>
    <x v="0"/>
    <n v="8"/>
    <n v="157"/>
    <n v="117750"/>
    <n v="47100"/>
    <s v="Janeiro"/>
    <s v="Australia"/>
    <s v="Liam Lee"/>
  </r>
  <r>
    <n v="10745"/>
    <x v="2"/>
    <x v="0"/>
    <x v="744"/>
    <x v="2"/>
    <x v="2"/>
    <x v="3"/>
    <n v="1"/>
    <n v="51"/>
    <n v="43350"/>
    <n v="12138.000000000002"/>
    <s v="Janeiro"/>
    <s v="Australia"/>
    <s v="Jane Doe"/>
  </r>
  <r>
    <n v="10746"/>
    <x v="2"/>
    <x v="0"/>
    <x v="745"/>
    <x v="0"/>
    <x v="4"/>
    <x v="3"/>
    <n v="8"/>
    <n v="139"/>
    <n v="118150"/>
    <n v="12996.5"/>
    <s v="Janeiro"/>
    <s v="Usa"/>
    <s v="Liam Lee"/>
  </r>
  <r>
    <n v="10747"/>
    <x v="2"/>
    <x v="0"/>
    <x v="746"/>
    <x v="2"/>
    <x v="0"/>
    <x v="3"/>
    <n v="6"/>
    <n v="222"/>
    <n v="188700"/>
    <n v="35853"/>
    <s v="Janeiro"/>
    <s v="Australia"/>
    <s v="Emily White"/>
  </r>
  <r>
    <n v="10748"/>
    <x v="2"/>
    <x v="0"/>
    <x v="747"/>
    <x v="0"/>
    <x v="3"/>
    <x v="1"/>
    <n v="15"/>
    <n v="226"/>
    <n v="113000"/>
    <n v="15820.000000000002"/>
    <s v="Janeiro"/>
    <s v="Usa"/>
    <s v="John Smith"/>
  </r>
  <r>
    <n v="10749"/>
    <x v="2"/>
    <x v="0"/>
    <x v="748"/>
    <x v="0"/>
    <x v="4"/>
    <x v="0"/>
    <n v="12"/>
    <n v="221"/>
    <n v="165750"/>
    <n v="71272.5"/>
    <s v="Janeiro"/>
    <s v="Usa"/>
    <s v="Liam Lee"/>
  </r>
  <r>
    <n v="10750"/>
    <x v="2"/>
    <x v="0"/>
    <x v="749"/>
    <x v="2"/>
    <x v="4"/>
    <x v="2"/>
    <n v="5"/>
    <n v="380"/>
    <n v="95000"/>
    <n v="37050"/>
    <s v="Janeiro"/>
    <s v="Australia"/>
    <s v="Liam Lee"/>
  </r>
  <r>
    <n v="10751"/>
    <x v="2"/>
    <x v="0"/>
    <x v="750"/>
    <x v="4"/>
    <x v="3"/>
    <x v="2"/>
    <n v="17"/>
    <n v="415"/>
    <n v="103750"/>
    <n v="33200"/>
    <s v="Janeiro"/>
    <s v="Uk"/>
    <s v="John Smith"/>
  </r>
  <r>
    <n v="10752"/>
    <x v="2"/>
    <x v="0"/>
    <x v="751"/>
    <x v="3"/>
    <x v="0"/>
    <x v="2"/>
    <n v="7"/>
    <n v="151"/>
    <n v="37750"/>
    <n v="3775"/>
    <s v="Janeiro"/>
    <s v="New Zealand"/>
    <s v="Emily White"/>
  </r>
  <r>
    <n v="10753"/>
    <x v="2"/>
    <x v="0"/>
    <x v="752"/>
    <x v="3"/>
    <x v="0"/>
    <x v="0"/>
    <n v="5"/>
    <n v="127"/>
    <n v="95250"/>
    <n v="32385.000000000004"/>
    <s v="Janeiro"/>
    <s v="New Zealand"/>
    <s v="Emily White"/>
  </r>
  <r>
    <n v="10754"/>
    <x v="2"/>
    <x v="0"/>
    <x v="753"/>
    <x v="1"/>
    <x v="3"/>
    <x v="4"/>
    <n v="21"/>
    <n v="314"/>
    <n v="109900"/>
    <n v="12089"/>
    <s v="Janeiro"/>
    <s v="Canada"/>
    <s v="John Smith"/>
  </r>
  <r>
    <n v="10755"/>
    <x v="2"/>
    <x v="0"/>
    <x v="754"/>
    <x v="3"/>
    <x v="4"/>
    <x v="3"/>
    <n v="36"/>
    <n v="401"/>
    <n v="340850"/>
    <n v="78395.5"/>
    <s v="Janeiro"/>
    <s v="New Zealand"/>
    <s v="Liam Lee"/>
  </r>
  <r>
    <n v="10756"/>
    <x v="2"/>
    <x v="0"/>
    <x v="755"/>
    <x v="1"/>
    <x v="2"/>
    <x v="4"/>
    <n v="16"/>
    <n v="202"/>
    <n v="70700"/>
    <n v="22624"/>
    <s v="Janeiro"/>
    <s v="Canada"/>
    <s v="Jane Doe"/>
  </r>
  <r>
    <n v="10757"/>
    <x v="2"/>
    <x v="0"/>
    <x v="756"/>
    <x v="0"/>
    <x v="1"/>
    <x v="1"/>
    <n v="34"/>
    <n v="382"/>
    <n v="191000"/>
    <n v="38200"/>
    <s v="Janeiro"/>
    <s v="Usa"/>
    <s v="James Brown"/>
  </r>
  <r>
    <n v="10758"/>
    <x v="2"/>
    <x v="0"/>
    <x v="757"/>
    <x v="3"/>
    <x v="2"/>
    <x v="3"/>
    <n v="13"/>
    <n v="456"/>
    <n v="387600"/>
    <n v="73644"/>
    <s v="Janeiro"/>
    <s v="New Zealand"/>
    <s v="Jane Doe"/>
  </r>
  <r>
    <n v="10759"/>
    <x v="2"/>
    <x v="0"/>
    <x v="758"/>
    <x v="1"/>
    <x v="3"/>
    <x v="1"/>
    <n v="3"/>
    <n v="215"/>
    <n v="107500"/>
    <n v="39775"/>
    <s v="Janeiro"/>
    <s v="Canada"/>
    <s v="John Smith"/>
  </r>
  <r>
    <n v="10760"/>
    <x v="2"/>
    <x v="0"/>
    <x v="759"/>
    <x v="1"/>
    <x v="1"/>
    <x v="1"/>
    <n v="36"/>
    <n v="378"/>
    <n v="189000"/>
    <n v="83160"/>
    <s v="Janeiro"/>
    <s v="Canada"/>
    <s v="James Brown"/>
  </r>
  <r>
    <n v="10761"/>
    <x v="2"/>
    <x v="0"/>
    <x v="760"/>
    <x v="0"/>
    <x v="0"/>
    <x v="4"/>
    <n v="16"/>
    <n v="495"/>
    <n v="173250"/>
    <n v="32917.5"/>
    <s v="Janeiro"/>
    <s v="Usa"/>
    <s v="Emily White"/>
  </r>
  <r>
    <n v="10762"/>
    <x v="2"/>
    <x v="0"/>
    <x v="761"/>
    <x v="1"/>
    <x v="3"/>
    <x v="4"/>
    <n v="4"/>
    <n v="128"/>
    <n v="44800"/>
    <n v="17024"/>
    <s v="Janeiro"/>
    <s v="Canada"/>
    <s v="John Smith"/>
  </r>
  <r>
    <n v="10763"/>
    <x v="2"/>
    <x v="1"/>
    <x v="762"/>
    <x v="4"/>
    <x v="4"/>
    <x v="2"/>
    <n v="19"/>
    <n v="458"/>
    <n v="114500"/>
    <n v="42365"/>
    <s v="Fevereiro"/>
    <s v="Uk"/>
    <s v="Liam Lee"/>
  </r>
  <r>
    <n v="10764"/>
    <x v="2"/>
    <x v="1"/>
    <x v="763"/>
    <x v="1"/>
    <x v="0"/>
    <x v="0"/>
    <n v="7"/>
    <n v="457"/>
    <n v="342750"/>
    <n v="78832.5"/>
    <s v="Fevereiro"/>
    <s v="Canada"/>
    <s v="Emily White"/>
  </r>
  <r>
    <n v="10765"/>
    <x v="2"/>
    <x v="1"/>
    <x v="764"/>
    <x v="4"/>
    <x v="1"/>
    <x v="4"/>
    <n v="3"/>
    <n v="200"/>
    <n v="70000"/>
    <n v="7000"/>
    <s v="Fevereiro"/>
    <s v="Uk"/>
    <s v="James Brown"/>
  </r>
  <r>
    <n v="10766"/>
    <x v="2"/>
    <x v="1"/>
    <x v="765"/>
    <x v="0"/>
    <x v="4"/>
    <x v="3"/>
    <n v="1"/>
    <n v="75"/>
    <n v="63750"/>
    <n v="6375"/>
    <s v="Fevereiro"/>
    <s v="Usa"/>
    <s v="Liam Lee"/>
  </r>
  <r>
    <n v="10767"/>
    <x v="2"/>
    <x v="1"/>
    <x v="766"/>
    <x v="2"/>
    <x v="3"/>
    <x v="3"/>
    <n v="4"/>
    <n v="57"/>
    <n v="48450"/>
    <n v="14050.499999999998"/>
    <s v="Fevereiro"/>
    <s v="Australia"/>
    <s v="John Smith"/>
  </r>
  <r>
    <n v="10768"/>
    <x v="2"/>
    <x v="1"/>
    <x v="767"/>
    <x v="2"/>
    <x v="4"/>
    <x v="0"/>
    <n v="35"/>
    <n v="383"/>
    <n v="287250"/>
    <n v="37342.5"/>
    <s v="Fevereiro"/>
    <s v="Australia"/>
    <s v="Liam Lee"/>
  </r>
  <r>
    <n v="10769"/>
    <x v="2"/>
    <x v="1"/>
    <x v="768"/>
    <x v="0"/>
    <x v="3"/>
    <x v="0"/>
    <n v="25"/>
    <n v="286"/>
    <n v="214500"/>
    <n v="96525"/>
    <s v="Fevereiro"/>
    <s v="Usa"/>
    <s v="John Smith"/>
  </r>
  <r>
    <n v="10770"/>
    <x v="2"/>
    <x v="1"/>
    <x v="769"/>
    <x v="3"/>
    <x v="3"/>
    <x v="3"/>
    <n v="24"/>
    <n v="322"/>
    <n v="273700"/>
    <n v="30107"/>
    <s v="Fevereiro"/>
    <s v="New Zealand"/>
    <s v="John Smith"/>
  </r>
  <r>
    <n v="10771"/>
    <x v="2"/>
    <x v="1"/>
    <x v="770"/>
    <x v="0"/>
    <x v="0"/>
    <x v="3"/>
    <n v="12"/>
    <n v="340"/>
    <n v="289000"/>
    <n v="112710"/>
    <s v="Fevereiro"/>
    <s v="Usa"/>
    <s v="Emily White"/>
  </r>
  <r>
    <n v="10772"/>
    <x v="2"/>
    <x v="1"/>
    <x v="771"/>
    <x v="1"/>
    <x v="4"/>
    <x v="1"/>
    <n v="6"/>
    <n v="490"/>
    <n v="245000"/>
    <n v="53900"/>
    <s v="Fevereiro"/>
    <s v="Canada"/>
    <s v="Liam Lee"/>
  </r>
  <r>
    <n v="10773"/>
    <x v="2"/>
    <x v="1"/>
    <x v="772"/>
    <x v="0"/>
    <x v="2"/>
    <x v="3"/>
    <n v="10"/>
    <n v="146"/>
    <n v="124100"/>
    <n v="31025"/>
    <s v="Fevereiro"/>
    <s v="Usa"/>
    <s v="Jane Doe"/>
  </r>
  <r>
    <n v="10774"/>
    <x v="2"/>
    <x v="1"/>
    <x v="773"/>
    <x v="3"/>
    <x v="2"/>
    <x v="4"/>
    <n v="3"/>
    <n v="213"/>
    <n v="74550"/>
    <n v="28329"/>
    <s v="Fevereiro"/>
    <s v="New Zealand"/>
    <s v="Jane Doe"/>
  </r>
  <r>
    <n v="10775"/>
    <x v="2"/>
    <x v="1"/>
    <x v="774"/>
    <x v="0"/>
    <x v="2"/>
    <x v="3"/>
    <n v="3"/>
    <n v="109"/>
    <n v="92650"/>
    <n v="28721.5"/>
    <s v="Fevereiro"/>
    <s v="Usa"/>
    <s v="Jane Doe"/>
  </r>
  <r>
    <n v="10776"/>
    <x v="2"/>
    <x v="1"/>
    <x v="775"/>
    <x v="0"/>
    <x v="2"/>
    <x v="1"/>
    <n v="40"/>
    <n v="476"/>
    <n v="238000"/>
    <n v="83300"/>
    <s v="Fevereiro"/>
    <s v="Usa"/>
    <s v="Jane Doe"/>
  </r>
  <r>
    <n v="10777"/>
    <x v="2"/>
    <x v="1"/>
    <x v="776"/>
    <x v="3"/>
    <x v="1"/>
    <x v="4"/>
    <n v="9"/>
    <n v="401"/>
    <n v="140350"/>
    <n v="57543.5"/>
    <s v="Fevereiro"/>
    <s v="New Zealand"/>
    <s v="James Brown"/>
  </r>
  <r>
    <n v="10778"/>
    <x v="2"/>
    <x v="1"/>
    <x v="777"/>
    <x v="2"/>
    <x v="4"/>
    <x v="2"/>
    <n v="12"/>
    <n v="263"/>
    <n v="65750"/>
    <n v="11835"/>
    <s v="Fevereiro"/>
    <s v="Australia"/>
    <s v="Liam Lee"/>
  </r>
  <r>
    <n v="10779"/>
    <x v="2"/>
    <x v="1"/>
    <x v="778"/>
    <x v="2"/>
    <x v="2"/>
    <x v="2"/>
    <n v="3"/>
    <n v="39"/>
    <n v="9750"/>
    <n v="2340"/>
    <s v="Fevereiro"/>
    <s v="Australia"/>
    <s v="Jane Doe"/>
  </r>
  <r>
    <n v="10780"/>
    <x v="2"/>
    <x v="1"/>
    <x v="779"/>
    <x v="4"/>
    <x v="0"/>
    <x v="4"/>
    <n v="10"/>
    <n v="380"/>
    <n v="133000"/>
    <n v="26600"/>
    <s v="Fevereiro"/>
    <s v="Uk"/>
    <s v="Emily White"/>
  </r>
  <r>
    <n v="10781"/>
    <x v="2"/>
    <x v="1"/>
    <x v="780"/>
    <x v="4"/>
    <x v="4"/>
    <x v="3"/>
    <n v="11"/>
    <n v="153"/>
    <n v="130050"/>
    <n v="16906.5"/>
    <s v="Fevereiro"/>
    <s v="Uk"/>
    <s v="Liam Lee"/>
  </r>
  <r>
    <n v="10782"/>
    <x v="2"/>
    <x v="1"/>
    <x v="781"/>
    <x v="2"/>
    <x v="1"/>
    <x v="4"/>
    <n v="1"/>
    <n v="11"/>
    <n v="3850"/>
    <n v="1193.5"/>
    <s v="Fevereiro"/>
    <s v="Australia"/>
    <s v="James Brown"/>
  </r>
  <r>
    <n v="10783"/>
    <x v="2"/>
    <x v="1"/>
    <x v="782"/>
    <x v="3"/>
    <x v="2"/>
    <x v="4"/>
    <n v="4"/>
    <n v="176"/>
    <n v="61600"/>
    <n v="18480"/>
    <s v="Fevereiro"/>
    <s v="New Zealand"/>
    <s v="Jane Doe"/>
  </r>
  <r>
    <n v="10784"/>
    <x v="2"/>
    <x v="1"/>
    <x v="783"/>
    <x v="0"/>
    <x v="4"/>
    <x v="1"/>
    <n v="10"/>
    <n v="153"/>
    <n v="76500"/>
    <n v="22950"/>
    <s v="Fevereiro"/>
    <s v="Usa"/>
    <s v="Liam Lee"/>
  </r>
  <r>
    <n v="10785"/>
    <x v="2"/>
    <x v="1"/>
    <x v="784"/>
    <x v="4"/>
    <x v="1"/>
    <x v="3"/>
    <n v="5"/>
    <n v="139"/>
    <n v="118150"/>
    <n v="51986"/>
    <s v="Fevereiro"/>
    <s v="Uk"/>
    <s v="James Brown"/>
  </r>
  <r>
    <n v="10786"/>
    <x v="2"/>
    <x v="1"/>
    <x v="785"/>
    <x v="4"/>
    <x v="1"/>
    <x v="3"/>
    <n v="42"/>
    <n v="458"/>
    <n v="389300"/>
    <n v="151827"/>
    <s v="Fevereiro"/>
    <s v="Uk"/>
    <s v="James Brown"/>
  </r>
  <r>
    <n v="10787"/>
    <x v="2"/>
    <x v="1"/>
    <x v="786"/>
    <x v="3"/>
    <x v="2"/>
    <x v="0"/>
    <n v="3"/>
    <n v="47"/>
    <n v="35250"/>
    <n v="7050"/>
    <s v="Fevereiro"/>
    <s v="New Zealand"/>
    <s v="Jane Doe"/>
  </r>
  <r>
    <n v="10788"/>
    <x v="2"/>
    <x v="1"/>
    <x v="787"/>
    <x v="1"/>
    <x v="2"/>
    <x v="1"/>
    <n v="1"/>
    <n v="19"/>
    <n v="9500"/>
    <n v="3610"/>
    <s v="Fevereiro"/>
    <s v="Canada"/>
    <s v="Jane Doe"/>
  </r>
  <r>
    <n v="10789"/>
    <x v="2"/>
    <x v="1"/>
    <x v="788"/>
    <x v="1"/>
    <x v="1"/>
    <x v="2"/>
    <n v="8"/>
    <n v="360"/>
    <n v="90000"/>
    <n v="9000"/>
    <s v="Fevereiro"/>
    <s v="Canada"/>
    <s v="James Brown"/>
  </r>
  <r>
    <n v="10790"/>
    <x v="2"/>
    <x v="1"/>
    <x v="789"/>
    <x v="0"/>
    <x v="3"/>
    <x v="4"/>
    <n v="18"/>
    <n v="452"/>
    <n v="158200"/>
    <n v="64861.999999999993"/>
    <s v="Fevereiro"/>
    <s v="Usa"/>
    <s v="John Smith"/>
  </r>
  <r>
    <n v="10791"/>
    <x v="2"/>
    <x v="2"/>
    <x v="790"/>
    <x v="1"/>
    <x v="2"/>
    <x v="1"/>
    <n v="8"/>
    <n v="488"/>
    <n v="244000"/>
    <n v="39040"/>
    <s v="Março"/>
    <s v="Canada"/>
    <s v="Jane Doe"/>
  </r>
  <r>
    <n v="10792"/>
    <x v="2"/>
    <x v="2"/>
    <x v="791"/>
    <x v="4"/>
    <x v="3"/>
    <x v="4"/>
    <n v="18"/>
    <n v="445"/>
    <n v="155750"/>
    <n v="49840"/>
    <s v="Março"/>
    <s v="Uk"/>
    <s v="John Smith"/>
  </r>
  <r>
    <n v="10793"/>
    <x v="2"/>
    <x v="2"/>
    <x v="792"/>
    <x v="2"/>
    <x v="2"/>
    <x v="2"/>
    <n v="2"/>
    <n v="45"/>
    <n v="11250"/>
    <n v="2250"/>
    <s v="Março"/>
    <s v="Australia"/>
    <s v="Jane Doe"/>
  </r>
  <r>
    <n v="10794"/>
    <x v="2"/>
    <x v="2"/>
    <x v="793"/>
    <x v="3"/>
    <x v="0"/>
    <x v="2"/>
    <n v="3"/>
    <n v="30"/>
    <n v="7500"/>
    <n v="1875"/>
    <s v="Março"/>
    <s v="New Zealand"/>
    <s v="Emily White"/>
  </r>
  <r>
    <n v="10795"/>
    <x v="2"/>
    <x v="2"/>
    <x v="794"/>
    <x v="2"/>
    <x v="1"/>
    <x v="3"/>
    <n v="7"/>
    <n v="139"/>
    <n v="118150"/>
    <n v="42534"/>
    <s v="Março"/>
    <s v="Australia"/>
    <s v="James Brown"/>
  </r>
  <r>
    <n v="10796"/>
    <x v="2"/>
    <x v="2"/>
    <x v="795"/>
    <x v="4"/>
    <x v="0"/>
    <x v="0"/>
    <n v="13"/>
    <n v="147"/>
    <n v="110250"/>
    <n v="35280"/>
    <s v="Março"/>
    <s v="Uk"/>
    <s v="Emily White"/>
  </r>
  <r>
    <n v="10797"/>
    <x v="2"/>
    <x v="2"/>
    <x v="796"/>
    <x v="3"/>
    <x v="4"/>
    <x v="1"/>
    <n v="5"/>
    <n v="313"/>
    <n v="156500"/>
    <n v="62600"/>
    <s v="Março"/>
    <s v="New Zealand"/>
    <s v="Liam Lee"/>
  </r>
  <r>
    <n v="10798"/>
    <x v="2"/>
    <x v="2"/>
    <x v="797"/>
    <x v="0"/>
    <x v="2"/>
    <x v="3"/>
    <n v="12"/>
    <n v="372"/>
    <n v="316200"/>
    <n v="69564"/>
    <s v="Março"/>
    <s v="Usa"/>
    <s v="Jane Doe"/>
  </r>
  <r>
    <n v="10799"/>
    <x v="2"/>
    <x v="2"/>
    <x v="798"/>
    <x v="4"/>
    <x v="2"/>
    <x v="3"/>
    <n v="4"/>
    <n v="207"/>
    <n v="175950"/>
    <n v="33430.5"/>
    <s v="Março"/>
    <s v="Uk"/>
    <s v="Jane Doe"/>
  </r>
  <r>
    <n v="10800"/>
    <x v="2"/>
    <x v="2"/>
    <x v="799"/>
    <x v="1"/>
    <x v="3"/>
    <x v="1"/>
    <n v="19"/>
    <n v="493"/>
    <n v="246500"/>
    <n v="41905"/>
    <s v="Março"/>
    <s v="Canada"/>
    <s v="John Smith"/>
  </r>
  <r>
    <n v="10801"/>
    <x v="2"/>
    <x v="2"/>
    <x v="800"/>
    <x v="0"/>
    <x v="2"/>
    <x v="4"/>
    <n v="3"/>
    <n v="116"/>
    <n v="40600"/>
    <n v="14616"/>
    <s v="Março"/>
    <s v="Usa"/>
    <s v="Jane Doe"/>
  </r>
  <r>
    <n v="10802"/>
    <x v="2"/>
    <x v="2"/>
    <x v="801"/>
    <x v="2"/>
    <x v="3"/>
    <x v="1"/>
    <n v="5"/>
    <n v="209"/>
    <n v="104500"/>
    <n v="41800"/>
    <s v="Março"/>
    <s v="Australia"/>
    <s v="John Smith"/>
  </r>
  <r>
    <n v="10803"/>
    <x v="2"/>
    <x v="2"/>
    <x v="802"/>
    <x v="1"/>
    <x v="0"/>
    <x v="4"/>
    <n v="12"/>
    <n v="290"/>
    <n v="101500"/>
    <n v="25375"/>
    <s v="Março"/>
    <s v="Canada"/>
    <s v="Emily White"/>
  </r>
  <r>
    <n v="10804"/>
    <x v="2"/>
    <x v="2"/>
    <x v="803"/>
    <x v="4"/>
    <x v="1"/>
    <x v="2"/>
    <n v="6"/>
    <n v="84"/>
    <n v="21000"/>
    <n v="2940.0000000000005"/>
    <s v="Março"/>
    <s v="Uk"/>
    <s v="James Brown"/>
  </r>
  <r>
    <n v="10805"/>
    <x v="2"/>
    <x v="2"/>
    <x v="804"/>
    <x v="3"/>
    <x v="1"/>
    <x v="4"/>
    <n v="24"/>
    <n v="441"/>
    <n v="154350"/>
    <n v="38587.5"/>
    <s v="Março"/>
    <s v="New Zealand"/>
    <s v="James Brown"/>
  </r>
  <r>
    <n v="10806"/>
    <x v="2"/>
    <x v="2"/>
    <x v="805"/>
    <x v="0"/>
    <x v="1"/>
    <x v="1"/>
    <n v="7"/>
    <n v="318"/>
    <n v="159000"/>
    <n v="39750"/>
    <s v="Março"/>
    <s v="Usa"/>
    <s v="James Brown"/>
  </r>
  <r>
    <n v="10807"/>
    <x v="2"/>
    <x v="2"/>
    <x v="806"/>
    <x v="1"/>
    <x v="2"/>
    <x v="2"/>
    <n v="2"/>
    <n v="158"/>
    <n v="39500"/>
    <n v="11455"/>
    <s v="Março"/>
    <s v="Canada"/>
    <s v="Jane Doe"/>
  </r>
  <r>
    <n v="10808"/>
    <x v="2"/>
    <x v="2"/>
    <x v="807"/>
    <x v="1"/>
    <x v="3"/>
    <x v="1"/>
    <n v="8"/>
    <n v="122"/>
    <n v="61000"/>
    <n v="16470"/>
    <s v="Março"/>
    <s v="Canada"/>
    <s v="John Smith"/>
  </r>
  <r>
    <n v="10809"/>
    <x v="2"/>
    <x v="2"/>
    <x v="808"/>
    <x v="4"/>
    <x v="3"/>
    <x v="2"/>
    <n v="14"/>
    <n v="275"/>
    <n v="68750"/>
    <n v="24750"/>
    <s v="Março"/>
    <s v="Uk"/>
    <s v="John Smith"/>
  </r>
  <r>
    <n v="10810"/>
    <x v="2"/>
    <x v="2"/>
    <x v="809"/>
    <x v="0"/>
    <x v="1"/>
    <x v="3"/>
    <n v="11"/>
    <n v="127"/>
    <n v="107950"/>
    <n v="18351.5"/>
    <s v="Março"/>
    <s v="Usa"/>
    <s v="James Brown"/>
  </r>
  <r>
    <n v="10811"/>
    <x v="2"/>
    <x v="2"/>
    <x v="810"/>
    <x v="0"/>
    <x v="1"/>
    <x v="4"/>
    <n v="19"/>
    <n v="266"/>
    <n v="93100"/>
    <n v="26068.000000000004"/>
    <s v="Março"/>
    <s v="Usa"/>
    <s v="James Brown"/>
  </r>
  <r>
    <n v="10812"/>
    <x v="2"/>
    <x v="2"/>
    <x v="811"/>
    <x v="2"/>
    <x v="1"/>
    <x v="0"/>
    <n v="30"/>
    <n v="376"/>
    <n v="282000"/>
    <n v="93060"/>
    <s v="Março"/>
    <s v="Australia"/>
    <s v="James Brown"/>
  </r>
  <r>
    <n v="10813"/>
    <x v="2"/>
    <x v="2"/>
    <x v="812"/>
    <x v="3"/>
    <x v="1"/>
    <x v="2"/>
    <n v="12"/>
    <n v="154"/>
    <n v="38500"/>
    <n v="5005"/>
    <s v="Março"/>
    <s v="New Zealand"/>
    <s v="James Brown"/>
  </r>
  <r>
    <n v="10814"/>
    <x v="2"/>
    <x v="2"/>
    <x v="813"/>
    <x v="1"/>
    <x v="1"/>
    <x v="3"/>
    <n v="26"/>
    <n v="468"/>
    <n v="397800"/>
    <n v="43758"/>
    <s v="Março"/>
    <s v="Canada"/>
    <s v="James Brown"/>
  </r>
  <r>
    <n v="10815"/>
    <x v="2"/>
    <x v="2"/>
    <x v="814"/>
    <x v="4"/>
    <x v="2"/>
    <x v="1"/>
    <n v="32"/>
    <n v="348"/>
    <n v="174000"/>
    <n v="36540"/>
    <s v="Março"/>
    <s v="Uk"/>
    <s v="Jane Doe"/>
  </r>
  <r>
    <n v="10816"/>
    <x v="2"/>
    <x v="2"/>
    <x v="815"/>
    <x v="2"/>
    <x v="4"/>
    <x v="2"/>
    <n v="19"/>
    <n v="191"/>
    <n v="47750"/>
    <n v="10505"/>
    <s v="Março"/>
    <s v="Australia"/>
    <s v="Liam Lee"/>
  </r>
  <r>
    <n v="10817"/>
    <x v="2"/>
    <x v="2"/>
    <x v="816"/>
    <x v="4"/>
    <x v="1"/>
    <x v="1"/>
    <n v="7"/>
    <n v="119"/>
    <n v="59500"/>
    <n v="12495"/>
    <s v="Março"/>
    <s v="Uk"/>
    <s v="James Brown"/>
  </r>
  <r>
    <n v="10818"/>
    <x v="2"/>
    <x v="2"/>
    <x v="817"/>
    <x v="1"/>
    <x v="2"/>
    <x v="1"/>
    <n v="2"/>
    <n v="61"/>
    <n v="30500"/>
    <n v="4880"/>
    <s v="Março"/>
    <s v="Canada"/>
    <s v="Jane Doe"/>
  </r>
  <r>
    <n v="10819"/>
    <x v="2"/>
    <x v="2"/>
    <x v="818"/>
    <x v="4"/>
    <x v="3"/>
    <x v="1"/>
    <n v="14"/>
    <n v="270"/>
    <n v="135000"/>
    <n v="45900"/>
    <s v="Março"/>
    <s v="Uk"/>
    <s v="John Smith"/>
  </r>
  <r>
    <n v="10820"/>
    <x v="2"/>
    <x v="2"/>
    <x v="819"/>
    <x v="3"/>
    <x v="3"/>
    <x v="3"/>
    <n v="8"/>
    <n v="436"/>
    <n v="370600"/>
    <n v="159358"/>
    <s v="Março"/>
    <s v="New Zealand"/>
    <s v="John Smith"/>
  </r>
  <r>
    <n v="10821"/>
    <x v="2"/>
    <x v="2"/>
    <x v="820"/>
    <x v="4"/>
    <x v="1"/>
    <x v="0"/>
    <n v="3"/>
    <n v="103"/>
    <n v="77250"/>
    <n v="27037.5"/>
    <s v="Março"/>
    <s v="Uk"/>
    <s v="James Brown"/>
  </r>
  <r>
    <n v="10822"/>
    <x v="2"/>
    <x v="3"/>
    <x v="821"/>
    <x v="1"/>
    <x v="3"/>
    <x v="2"/>
    <n v="10"/>
    <n v="119"/>
    <n v="29750"/>
    <n v="11007.5"/>
    <s v="Abril"/>
    <s v="Canada"/>
    <s v="John Smith"/>
  </r>
  <r>
    <n v="10823"/>
    <x v="2"/>
    <x v="3"/>
    <x v="822"/>
    <x v="0"/>
    <x v="0"/>
    <x v="1"/>
    <n v="37"/>
    <n v="455"/>
    <n v="227500"/>
    <n v="36400"/>
    <s v="Abril"/>
    <s v="Usa"/>
    <s v="Emily White"/>
  </r>
  <r>
    <n v="10824"/>
    <x v="2"/>
    <x v="3"/>
    <x v="823"/>
    <x v="3"/>
    <x v="3"/>
    <x v="2"/>
    <n v="25"/>
    <n v="255"/>
    <n v="63750"/>
    <n v="7012.5"/>
    <s v="Abril"/>
    <s v="New Zealand"/>
    <s v="John Smith"/>
  </r>
  <r>
    <n v="10825"/>
    <x v="2"/>
    <x v="3"/>
    <x v="824"/>
    <x v="4"/>
    <x v="3"/>
    <x v="4"/>
    <n v="20"/>
    <n v="338"/>
    <n v="118300"/>
    <n v="15379"/>
    <s v="Abril"/>
    <s v="Uk"/>
    <s v="John Smith"/>
  </r>
  <r>
    <n v="10826"/>
    <x v="2"/>
    <x v="3"/>
    <x v="825"/>
    <x v="0"/>
    <x v="1"/>
    <x v="2"/>
    <n v="2"/>
    <n v="37"/>
    <n v="9250"/>
    <n v="2220"/>
    <s v="Abril"/>
    <s v="Usa"/>
    <s v="James Brown"/>
  </r>
  <r>
    <n v="10827"/>
    <x v="2"/>
    <x v="3"/>
    <x v="826"/>
    <x v="1"/>
    <x v="1"/>
    <x v="4"/>
    <n v="2"/>
    <n v="26"/>
    <n v="9100"/>
    <n v="1729"/>
    <s v="Abril"/>
    <s v="Canada"/>
    <s v="James Brown"/>
  </r>
  <r>
    <n v="10828"/>
    <x v="2"/>
    <x v="3"/>
    <x v="827"/>
    <x v="0"/>
    <x v="3"/>
    <x v="4"/>
    <n v="10"/>
    <n v="151"/>
    <n v="52850"/>
    <n v="23782.5"/>
    <s v="Abril"/>
    <s v="Usa"/>
    <s v="John Smith"/>
  </r>
  <r>
    <n v="10829"/>
    <x v="2"/>
    <x v="3"/>
    <x v="828"/>
    <x v="4"/>
    <x v="3"/>
    <x v="1"/>
    <n v="6"/>
    <n v="411"/>
    <n v="205500"/>
    <n v="20550"/>
    <s v="Abril"/>
    <s v="Uk"/>
    <s v="John Smith"/>
  </r>
  <r>
    <n v="10830"/>
    <x v="2"/>
    <x v="3"/>
    <x v="829"/>
    <x v="2"/>
    <x v="1"/>
    <x v="2"/>
    <n v="13"/>
    <n v="381"/>
    <n v="95250"/>
    <n v="19050"/>
    <s v="Abril"/>
    <s v="Australia"/>
    <s v="James Brown"/>
  </r>
  <r>
    <n v="10831"/>
    <x v="2"/>
    <x v="3"/>
    <x v="830"/>
    <x v="1"/>
    <x v="0"/>
    <x v="1"/>
    <n v="12"/>
    <n v="172"/>
    <n v="86000"/>
    <n v="11180"/>
    <s v="Abril"/>
    <s v="Canada"/>
    <s v="Emily White"/>
  </r>
  <r>
    <n v="10832"/>
    <x v="2"/>
    <x v="3"/>
    <x v="831"/>
    <x v="4"/>
    <x v="0"/>
    <x v="0"/>
    <n v="13"/>
    <n v="492"/>
    <n v="369000"/>
    <n v="99630"/>
    <s v="Abril"/>
    <s v="Uk"/>
    <s v="Emily White"/>
  </r>
  <r>
    <n v="10833"/>
    <x v="2"/>
    <x v="3"/>
    <x v="832"/>
    <x v="1"/>
    <x v="0"/>
    <x v="4"/>
    <n v="35"/>
    <n v="460"/>
    <n v="161000"/>
    <n v="72450"/>
    <s v="Abril"/>
    <s v="Canada"/>
    <s v="Emily White"/>
  </r>
  <r>
    <n v="10834"/>
    <x v="2"/>
    <x v="3"/>
    <x v="833"/>
    <x v="3"/>
    <x v="0"/>
    <x v="0"/>
    <n v="16"/>
    <n v="481"/>
    <n v="360750"/>
    <n v="64935"/>
    <s v="Abril"/>
    <s v="New Zealand"/>
    <s v="Emily White"/>
  </r>
  <r>
    <n v="10835"/>
    <x v="2"/>
    <x v="3"/>
    <x v="834"/>
    <x v="2"/>
    <x v="4"/>
    <x v="1"/>
    <n v="23"/>
    <n v="361"/>
    <n v="180500"/>
    <n v="36100"/>
    <s v="Abril"/>
    <s v="Australia"/>
    <s v="Liam Lee"/>
  </r>
  <r>
    <n v="10836"/>
    <x v="2"/>
    <x v="3"/>
    <x v="835"/>
    <x v="1"/>
    <x v="0"/>
    <x v="2"/>
    <n v="16"/>
    <n v="261"/>
    <n v="65250"/>
    <n v="25447.5"/>
    <s v="Abril"/>
    <s v="Canada"/>
    <s v="Emily White"/>
  </r>
  <r>
    <n v="10837"/>
    <x v="2"/>
    <x v="3"/>
    <x v="836"/>
    <x v="0"/>
    <x v="2"/>
    <x v="0"/>
    <n v="7"/>
    <n v="486"/>
    <n v="364500"/>
    <n v="120285"/>
    <s v="Abril"/>
    <s v="Usa"/>
    <s v="Jane Doe"/>
  </r>
  <r>
    <n v="10838"/>
    <x v="2"/>
    <x v="3"/>
    <x v="837"/>
    <x v="1"/>
    <x v="0"/>
    <x v="0"/>
    <n v="10"/>
    <n v="105"/>
    <n v="78750"/>
    <n v="33075"/>
    <s v="Abril"/>
    <s v="Canada"/>
    <s v="Emily White"/>
  </r>
  <r>
    <n v="10839"/>
    <x v="2"/>
    <x v="3"/>
    <x v="838"/>
    <x v="0"/>
    <x v="3"/>
    <x v="4"/>
    <n v="25"/>
    <n v="258"/>
    <n v="90300"/>
    <n v="9030"/>
    <s v="Abril"/>
    <s v="Usa"/>
    <s v="John Smith"/>
  </r>
  <r>
    <n v="10840"/>
    <x v="2"/>
    <x v="3"/>
    <x v="839"/>
    <x v="0"/>
    <x v="2"/>
    <x v="0"/>
    <n v="13"/>
    <n v="201"/>
    <n v="150750"/>
    <n v="60300"/>
    <s v="Abril"/>
    <s v="Usa"/>
    <s v="Jane Doe"/>
  </r>
  <r>
    <n v="10841"/>
    <x v="2"/>
    <x v="3"/>
    <x v="840"/>
    <x v="0"/>
    <x v="0"/>
    <x v="3"/>
    <n v="11"/>
    <n v="299"/>
    <n v="254150"/>
    <n v="40664"/>
    <s v="Abril"/>
    <s v="Usa"/>
    <s v="Emily White"/>
  </r>
  <r>
    <n v="10842"/>
    <x v="2"/>
    <x v="3"/>
    <x v="841"/>
    <x v="3"/>
    <x v="0"/>
    <x v="1"/>
    <n v="12"/>
    <n v="410"/>
    <n v="205000"/>
    <n v="43050"/>
    <s v="Abril"/>
    <s v="New Zealand"/>
    <s v="Emily White"/>
  </r>
  <r>
    <n v="10843"/>
    <x v="2"/>
    <x v="3"/>
    <x v="842"/>
    <x v="1"/>
    <x v="4"/>
    <x v="0"/>
    <n v="13"/>
    <n v="179"/>
    <n v="134250"/>
    <n v="34905"/>
    <s v="Abril"/>
    <s v="Canada"/>
    <s v="Liam Lee"/>
  </r>
  <r>
    <n v="10844"/>
    <x v="2"/>
    <x v="3"/>
    <x v="843"/>
    <x v="3"/>
    <x v="3"/>
    <x v="3"/>
    <n v="18"/>
    <n v="288"/>
    <n v="244800"/>
    <n v="63648"/>
    <s v="Abril"/>
    <s v="New Zealand"/>
    <s v="John Smith"/>
  </r>
  <r>
    <n v="10845"/>
    <x v="2"/>
    <x v="3"/>
    <x v="844"/>
    <x v="4"/>
    <x v="3"/>
    <x v="3"/>
    <n v="7"/>
    <n v="257"/>
    <n v="218450"/>
    <n v="21845"/>
    <s v="Abril"/>
    <s v="Uk"/>
    <s v="John Smith"/>
  </r>
  <r>
    <n v="10846"/>
    <x v="2"/>
    <x v="3"/>
    <x v="845"/>
    <x v="0"/>
    <x v="4"/>
    <x v="0"/>
    <n v="7"/>
    <n v="306"/>
    <n v="229500"/>
    <n v="29835"/>
    <s v="Abril"/>
    <s v="Usa"/>
    <s v="Liam Lee"/>
  </r>
  <r>
    <n v="10847"/>
    <x v="2"/>
    <x v="3"/>
    <x v="846"/>
    <x v="2"/>
    <x v="3"/>
    <x v="3"/>
    <n v="3"/>
    <n v="163"/>
    <n v="138550"/>
    <n v="20782.5"/>
    <s v="Abril"/>
    <s v="Australia"/>
    <s v="John Smith"/>
  </r>
  <r>
    <n v="10848"/>
    <x v="2"/>
    <x v="3"/>
    <x v="847"/>
    <x v="3"/>
    <x v="1"/>
    <x v="4"/>
    <n v="19"/>
    <n v="250"/>
    <n v="87500"/>
    <n v="30624.999999999996"/>
    <s v="Abril"/>
    <s v="New Zealand"/>
    <s v="James Brown"/>
  </r>
  <r>
    <n v="10849"/>
    <x v="2"/>
    <x v="3"/>
    <x v="848"/>
    <x v="1"/>
    <x v="1"/>
    <x v="2"/>
    <n v="17"/>
    <n v="241"/>
    <n v="60250"/>
    <n v="23497.5"/>
    <s v="Abril"/>
    <s v="Canada"/>
    <s v="James Brown"/>
  </r>
  <r>
    <n v="10850"/>
    <x v="2"/>
    <x v="3"/>
    <x v="849"/>
    <x v="3"/>
    <x v="3"/>
    <x v="3"/>
    <n v="9"/>
    <n v="129"/>
    <n v="109650"/>
    <n v="44956.5"/>
    <s v="Abril"/>
    <s v="New Zealand"/>
    <s v="John Smith"/>
  </r>
  <r>
    <n v="10851"/>
    <x v="2"/>
    <x v="3"/>
    <x v="850"/>
    <x v="4"/>
    <x v="4"/>
    <x v="1"/>
    <n v="8"/>
    <n v="96"/>
    <n v="48000"/>
    <n v="8640"/>
    <s v="Abril"/>
    <s v="Uk"/>
    <s v="Liam Lee"/>
  </r>
  <r>
    <n v="10852"/>
    <x v="2"/>
    <x v="4"/>
    <x v="851"/>
    <x v="4"/>
    <x v="1"/>
    <x v="0"/>
    <n v="3"/>
    <n v="71"/>
    <n v="53250"/>
    <n v="14377.500000000002"/>
    <s v="Maio"/>
    <s v="Uk"/>
    <s v="James Brown"/>
  </r>
  <r>
    <n v="10853"/>
    <x v="2"/>
    <x v="4"/>
    <x v="852"/>
    <x v="2"/>
    <x v="4"/>
    <x v="0"/>
    <n v="2"/>
    <n v="146"/>
    <n v="109500"/>
    <n v="38325"/>
    <s v="Maio"/>
    <s v="Australia"/>
    <s v="Liam Lee"/>
  </r>
  <r>
    <n v="10854"/>
    <x v="2"/>
    <x v="4"/>
    <x v="853"/>
    <x v="3"/>
    <x v="4"/>
    <x v="4"/>
    <n v="3"/>
    <n v="37"/>
    <n v="12950"/>
    <n v="5050.5"/>
    <s v="Maio"/>
    <s v="New Zealand"/>
    <s v="Liam Lee"/>
  </r>
  <r>
    <n v="10855"/>
    <x v="2"/>
    <x v="4"/>
    <x v="854"/>
    <x v="2"/>
    <x v="4"/>
    <x v="0"/>
    <n v="4"/>
    <n v="158"/>
    <n v="118500"/>
    <n v="40290"/>
    <s v="Maio"/>
    <s v="Australia"/>
    <s v="Liam Lee"/>
  </r>
  <r>
    <n v="10856"/>
    <x v="2"/>
    <x v="4"/>
    <x v="855"/>
    <x v="1"/>
    <x v="4"/>
    <x v="1"/>
    <n v="4"/>
    <n v="54"/>
    <n v="27000"/>
    <n v="9990"/>
    <s v="Maio"/>
    <s v="Canada"/>
    <s v="Liam Lee"/>
  </r>
  <r>
    <n v="10857"/>
    <x v="2"/>
    <x v="4"/>
    <x v="856"/>
    <x v="0"/>
    <x v="0"/>
    <x v="0"/>
    <n v="22"/>
    <n v="419"/>
    <n v="314250"/>
    <n v="62850"/>
    <s v="Maio"/>
    <s v="Usa"/>
    <s v="Emily White"/>
  </r>
  <r>
    <n v="10858"/>
    <x v="2"/>
    <x v="4"/>
    <x v="857"/>
    <x v="0"/>
    <x v="2"/>
    <x v="1"/>
    <n v="23"/>
    <n v="493"/>
    <n v="246500"/>
    <n v="64090"/>
    <s v="Maio"/>
    <s v="Usa"/>
    <s v="Jane Doe"/>
  </r>
  <r>
    <n v="10859"/>
    <x v="2"/>
    <x v="4"/>
    <x v="858"/>
    <x v="1"/>
    <x v="2"/>
    <x v="1"/>
    <n v="33"/>
    <n v="480"/>
    <n v="240000"/>
    <n v="55200"/>
    <s v="Maio"/>
    <s v="Canada"/>
    <s v="Jane Doe"/>
  </r>
  <r>
    <n v="10860"/>
    <x v="2"/>
    <x v="4"/>
    <x v="859"/>
    <x v="2"/>
    <x v="0"/>
    <x v="3"/>
    <n v="45"/>
    <n v="465"/>
    <n v="395250"/>
    <n v="71145"/>
    <s v="Maio"/>
    <s v="Australia"/>
    <s v="Emily White"/>
  </r>
  <r>
    <n v="10861"/>
    <x v="2"/>
    <x v="4"/>
    <x v="860"/>
    <x v="0"/>
    <x v="4"/>
    <x v="1"/>
    <n v="6"/>
    <n v="76"/>
    <n v="38000"/>
    <n v="8740"/>
    <s v="Maio"/>
    <s v="Usa"/>
    <s v="Liam Lee"/>
  </r>
  <r>
    <n v="10862"/>
    <x v="2"/>
    <x v="4"/>
    <x v="861"/>
    <x v="3"/>
    <x v="1"/>
    <x v="3"/>
    <n v="28"/>
    <n v="385"/>
    <n v="327250"/>
    <n v="32725"/>
    <s v="Maio"/>
    <s v="New Zealand"/>
    <s v="James Brown"/>
  </r>
  <r>
    <n v="10863"/>
    <x v="2"/>
    <x v="4"/>
    <x v="862"/>
    <x v="2"/>
    <x v="4"/>
    <x v="3"/>
    <n v="43"/>
    <n v="446"/>
    <n v="379100"/>
    <n v="64447.000000000007"/>
    <s v="Maio"/>
    <s v="Australia"/>
    <s v="Liam Lee"/>
  </r>
  <r>
    <n v="10864"/>
    <x v="2"/>
    <x v="4"/>
    <x v="863"/>
    <x v="3"/>
    <x v="4"/>
    <x v="2"/>
    <n v="11"/>
    <n v="232"/>
    <n v="58000"/>
    <n v="12180"/>
    <s v="Maio"/>
    <s v="New Zealand"/>
    <s v="Liam Lee"/>
  </r>
  <r>
    <n v="10865"/>
    <x v="2"/>
    <x v="4"/>
    <x v="864"/>
    <x v="2"/>
    <x v="4"/>
    <x v="0"/>
    <n v="18"/>
    <n v="490"/>
    <n v="367500"/>
    <n v="147000"/>
    <s v="Maio"/>
    <s v="Australia"/>
    <s v="Liam Lee"/>
  </r>
  <r>
    <n v="10866"/>
    <x v="2"/>
    <x v="4"/>
    <x v="865"/>
    <x v="0"/>
    <x v="2"/>
    <x v="4"/>
    <n v="20"/>
    <n v="369"/>
    <n v="129150"/>
    <n v="47785.5"/>
    <s v="Maio"/>
    <s v="Usa"/>
    <s v="Jane Doe"/>
  </r>
  <r>
    <n v="10867"/>
    <x v="2"/>
    <x v="4"/>
    <x v="866"/>
    <x v="1"/>
    <x v="3"/>
    <x v="3"/>
    <n v="11"/>
    <n v="249"/>
    <n v="211650"/>
    <n v="46563"/>
    <s v="Maio"/>
    <s v="Canada"/>
    <s v="John Smith"/>
  </r>
  <r>
    <n v="10868"/>
    <x v="2"/>
    <x v="4"/>
    <x v="867"/>
    <x v="0"/>
    <x v="1"/>
    <x v="4"/>
    <n v="1"/>
    <n v="50"/>
    <n v="17500"/>
    <n v="5600"/>
    <s v="Maio"/>
    <s v="Usa"/>
    <s v="James Brown"/>
  </r>
  <r>
    <n v="10869"/>
    <x v="2"/>
    <x v="4"/>
    <x v="868"/>
    <x v="2"/>
    <x v="3"/>
    <x v="3"/>
    <n v="12"/>
    <n v="134"/>
    <n v="113900"/>
    <n v="51255"/>
    <s v="Maio"/>
    <s v="Australia"/>
    <s v="John Smith"/>
  </r>
  <r>
    <n v="10870"/>
    <x v="2"/>
    <x v="4"/>
    <x v="869"/>
    <x v="2"/>
    <x v="4"/>
    <x v="4"/>
    <n v="49"/>
    <n v="498"/>
    <n v="174300"/>
    <n v="17430"/>
    <s v="Maio"/>
    <s v="Australia"/>
    <s v="Liam Lee"/>
  </r>
  <r>
    <n v="10871"/>
    <x v="2"/>
    <x v="4"/>
    <x v="870"/>
    <x v="4"/>
    <x v="2"/>
    <x v="4"/>
    <n v="13"/>
    <n v="155"/>
    <n v="54250"/>
    <n v="10850"/>
    <s v="Maio"/>
    <s v="Uk"/>
    <s v="Jane Doe"/>
  </r>
  <r>
    <n v="10872"/>
    <x v="2"/>
    <x v="4"/>
    <x v="871"/>
    <x v="2"/>
    <x v="4"/>
    <x v="1"/>
    <n v="15"/>
    <n v="263"/>
    <n v="131500"/>
    <n v="36820"/>
    <s v="Maio"/>
    <s v="Australia"/>
    <s v="Liam Lee"/>
  </r>
  <r>
    <n v="10873"/>
    <x v="2"/>
    <x v="4"/>
    <x v="872"/>
    <x v="0"/>
    <x v="3"/>
    <x v="3"/>
    <n v="4"/>
    <n v="40"/>
    <n v="34000"/>
    <n v="9520"/>
    <s v="Maio"/>
    <s v="Usa"/>
    <s v="John Smith"/>
  </r>
  <r>
    <n v="10874"/>
    <x v="2"/>
    <x v="4"/>
    <x v="873"/>
    <x v="1"/>
    <x v="1"/>
    <x v="0"/>
    <n v="10"/>
    <n v="282"/>
    <n v="211500"/>
    <n v="82485"/>
    <s v="Maio"/>
    <s v="Canada"/>
    <s v="James Brown"/>
  </r>
  <r>
    <n v="10875"/>
    <x v="2"/>
    <x v="4"/>
    <x v="874"/>
    <x v="1"/>
    <x v="4"/>
    <x v="1"/>
    <n v="23"/>
    <n v="257"/>
    <n v="128500"/>
    <n v="15420"/>
    <s v="Maio"/>
    <s v="Canada"/>
    <s v="Liam Lee"/>
  </r>
  <r>
    <n v="10876"/>
    <x v="2"/>
    <x v="4"/>
    <x v="875"/>
    <x v="1"/>
    <x v="1"/>
    <x v="2"/>
    <n v="20"/>
    <n v="233"/>
    <n v="58250"/>
    <n v="23882.5"/>
    <s v="Maio"/>
    <s v="Canada"/>
    <s v="James Brown"/>
  </r>
  <r>
    <n v="10877"/>
    <x v="2"/>
    <x v="4"/>
    <x v="876"/>
    <x v="1"/>
    <x v="2"/>
    <x v="1"/>
    <n v="9"/>
    <n v="304"/>
    <n v="152000"/>
    <n v="56240"/>
    <s v="Maio"/>
    <s v="Canada"/>
    <s v="Jane Doe"/>
  </r>
  <r>
    <n v="10878"/>
    <x v="2"/>
    <x v="4"/>
    <x v="877"/>
    <x v="4"/>
    <x v="1"/>
    <x v="2"/>
    <n v="1"/>
    <n v="13"/>
    <n v="3250"/>
    <n v="585"/>
    <s v="Maio"/>
    <s v="Uk"/>
    <s v="James Brown"/>
  </r>
  <r>
    <n v="10879"/>
    <x v="2"/>
    <x v="4"/>
    <x v="878"/>
    <x v="4"/>
    <x v="3"/>
    <x v="2"/>
    <n v="6"/>
    <n v="254"/>
    <n v="63500"/>
    <n v="28575"/>
    <s v="Maio"/>
    <s v="Uk"/>
    <s v="John Smith"/>
  </r>
  <r>
    <n v="10880"/>
    <x v="2"/>
    <x v="4"/>
    <x v="879"/>
    <x v="2"/>
    <x v="2"/>
    <x v="1"/>
    <n v="19"/>
    <n v="369"/>
    <n v="184500"/>
    <n v="22140"/>
    <s v="Maio"/>
    <s v="Australia"/>
    <s v="Jane Doe"/>
  </r>
  <r>
    <n v="10881"/>
    <x v="2"/>
    <x v="4"/>
    <x v="880"/>
    <x v="3"/>
    <x v="0"/>
    <x v="4"/>
    <n v="7"/>
    <n v="211"/>
    <n v="73850"/>
    <n v="17724"/>
    <s v="Maio"/>
    <s v="New Zealand"/>
    <s v="Emily White"/>
  </r>
  <r>
    <n v="10882"/>
    <x v="2"/>
    <x v="4"/>
    <x v="881"/>
    <x v="1"/>
    <x v="4"/>
    <x v="2"/>
    <n v="28"/>
    <n v="459"/>
    <n v="114750"/>
    <n v="14917.5"/>
    <s v="Maio"/>
    <s v="Canada"/>
    <s v="Liam Lee"/>
  </r>
  <r>
    <n v="10883"/>
    <x v="2"/>
    <x v="5"/>
    <x v="882"/>
    <x v="1"/>
    <x v="1"/>
    <x v="1"/>
    <n v="1"/>
    <n v="23"/>
    <n v="11500"/>
    <n v="2070"/>
    <s v="Junho"/>
    <s v="Canada"/>
    <s v="James Brown"/>
  </r>
  <r>
    <n v="10884"/>
    <x v="2"/>
    <x v="5"/>
    <x v="883"/>
    <x v="4"/>
    <x v="0"/>
    <x v="1"/>
    <n v="5"/>
    <n v="189"/>
    <n v="94500"/>
    <n v="34020"/>
    <s v="Junho"/>
    <s v="Uk"/>
    <s v="Emily White"/>
  </r>
  <r>
    <n v="10885"/>
    <x v="2"/>
    <x v="5"/>
    <x v="884"/>
    <x v="3"/>
    <x v="4"/>
    <x v="0"/>
    <n v="13"/>
    <n v="249"/>
    <n v="186750"/>
    <n v="35482.5"/>
    <s v="Junho"/>
    <s v="New Zealand"/>
    <s v="Liam Lee"/>
  </r>
  <r>
    <n v="10886"/>
    <x v="2"/>
    <x v="5"/>
    <x v="885"/>
    <x v="2"/>
    <x v="0"/>
    <x v="0"/>
    <n v="8"/>
    <n v="112"/>
    <n v="84000"/>
    <n v="17640"/>
    <s v="Junho"/>
    <s v="Australia"/>
    <s v="Emily White"/>
  </r>
  <r>
    <n v="10887"/>
    <x v="2"/>
    <x v="5"/>
    <x v="886"/>
    <x v="4"/>
    <x v="2"/>
    <x v="3"/>
    <n v="16"/>
    <n v="165"/>
    <n v="140250"/>
    <n v="56100"/>
    <s v="Junho"/>
    <s v="Uk"/>
    <s v="Jane Doe"/>
  </r>
  <r>
    <n v="10888"/>
    <x v="2"/>
    <x v="5"/>
    <x v="887"/>
    <x v="0"/>
    <x v="3"/>
    <x v="1"/>
    <n v="3"/>
    <n v="30"/>
    <n v="15000"/>
    <n v="1650"/>
    <s v="Junho"/>
    <s v="Usa"/>
    <s v="John Smith"/>
  </r>
  <r>
    <n v="10889"/>
    <x v="2"/>
    <x v="5"/>
    <x v="888"/>
    <x v="3"/>
    <x v="1"/>
    <x v="3"/>
    <n v="24"/>
    <n v="266"/>
    <n v="226100"/>
    <n v="90440"/>
    <s v="Junho"/>
    <s v="New Zealand"/>
    <s v="James Brown"/>
  </r>
  <r>
    <n v="10890"/>
    <x v="2"/>
    <x v="5"/>
    <x v="889"/>
    <x v="0"/>
    <x v="2"/>
    <x v="2"/>
    <n v="3"/>
    <n v="132"/>
    <n v="33000"/>
    <n v="7260"/>
    <s v="Junho"/>
    <s v="Usa"/>
    <s v="Jane Doe"/>
  </r>
  <r>
    <n v="10891"/>
    <x v="2"/>
    <x v="5"/>
    <x v="890"/>
    <x v="4"/>
    <x v="0"/>
    <x v="0"/>
    <n v="22"/>
    <n v="500"/>
    <n v="375000"/>
    <n v="37500"/>
    <s v="Junho"/>
    <s v="Uk"/>
    <s v="Emily White"/>
  </r>
  <r>
    <n v="10892"/>
    <x v="2"/>
    <x v="5"/>
    <x v="891"/>
    <x v="2"/>
    <x v="2"/>
    <x v="2"/>
    <n v="23"/>
    <n v="359"/>
    <n v="89750"/>
    <n v="36797.5"/>
    <s v="Junho"/>
    <s v="Australia"/>
    <s v="Jane Doe"/>
  </r>
  <r>
    <n v="10893"/>
    <x v="2"/>
    <x v="5"/>
    <x v="892"/>
    <x v="1"/>
    <x v="2"/>
    <x v="3"/>
    <n v="39"/>
    <n v="398"/>
    <n v="338300"/>
    <n v="33830"/>
    <s v="Junho"/>
    <s v="Canada"/>
    <s v="Jane Doe"/>
  </r>
  <r>
    <n v="10894"/>
    <x v="2"/>
    <x v="5"/>
    <x v="893"/>
    <x v="3"/>
    <x v="3"/>
    <x v="1"/>
    <n v="1"/>
    <n v="89"/>
    <n v="44500"/>
    <n v="13350"/>
    <s v="Junho"/>
    <s v="New Zealand"/>
    <s v="John Smith"/>
  </r>
  <r>
    <n v="10895"/>
    <x v="2"/>
    <x v="5"/>
    <x v="894"/>
    <x v="1"/>
    <x v="1"/>
    <x v="1"/>
    <n v="7"/>
    <n v="168"/>
    <n v="84000"/>
    <n v="12600"/>
    <s v="Junho"/>
    <s v="Canada"/>
    <s v="James Brown"/>
  </r>
  <r>
    <n v="10896"/>
    <x v="2"/>
    <x v="5"/>
    <x v="895"/>
    <x v="0"/>
    <x v="0"/>
    <x v="1"/>
    <n v="2"/>
    <n v="29"/>
    <n v="14500"/>
    <n v="1450"/>
    <s v="Junho"/>
    <s v="Usa"/>
    <s v="Emily White"/>
  </r>
  <r>
    <n v="10897"/>
    <x v="2"/>
    <x v="5"/>
    <x v="896"/>
    <x v="4"/>
    <x v="3"/>
    <x v="0"/>
    <n v="2"/>
    <n v="28"/>
    <n v="21000"/>
    <n v="8400"/>
    <s v="Junho"/>
    <s v="Uk"/>
    <s v="John Smith"/>
  </r>
  <r>
    <n v="10898"/>
    <x v="2"/>
    <x v="5"/>
    <x v="897"/>
    <x v="4"/>
    <x v="3"/>
    <x v="1"/>
    <n v="17"/>
    <n v="462"/>
    <n v="231000"/>
    <n v="94710"/>
    <s v="Junho"/>
    <s v="Uk"/>
    <s v="John Smith"/>
  </r>
  <r>
    <n v="10899"/>
    <x v="2"/>
    <x v="5"/>
    <x v="898"/>
    <x v="3"/>
    <x v="1"/>
    <x v="0"/>
    <n v="5"/>
    <n v="331"/>
    <n v="248250"/>
    <n v="84405"/>
    <s v="Junho"/>
    <s v="New Zealand"/>
    <s v="James Brown"/>
  </r>
  <r>
    <n v="10900"/>
    <x v="2"/>
    <x v="5"/>
    <x v="899"/>
    <x v="4"/>
    <x v="2"/>
    <x v="1"/>
    <n v="22"/>
    <n v="309"/>
    <n v="154500"/>
    <n v="64890"/>
    <s v="Junho"/>
    <s v="Uk"/>
    <s v="Jane Doe"/>
  </r>
  <r>
    <n v="10901"/>
    <x v="2"/>
    <x v="5"/>
    <x v="900"/>
    <x v="0"/>
    <x v="0"/>
    <x v="0"/>
    <n v="8"/>
    <n v="111"/>
    <n v="83250"/>
    <n v="21645"/>
    <s v="Junho"/>
    <s v="Usa"/>
    <s v="Emily White"/>
  </r>
  <r>
    <n v="10902"/>
    <x v="2"/>
    <x v="5"/>
    <x v="901"/>
    <x v="2"/>
    <x v="1"/>
    <x v="0"/>
    <n v="6"/>
    <n v="328"/>
    <n v="246000"/>
    <n v="49200"/>
    <s v="Junho"/>
    <s v="Australia"/>
    <s v="James Brown"/>
  </r>
  <r>
    <n v="10903"/>
    <x v="2"/>
    <x v="5"/>
    <x v="902"/>
    <x v="2"/>
    <x v="0"/>
    <x v="1"/>
    <n v="17"/>
    <n v="224"/>
    <n v="112000"/>
    <n v="38080"/>
    <s v="Junho"/>
    <s v="Australia"/>
    <s v="Emily White"/>
  </r>
  <r>
    <n v="10904"/>
    <x v="2"/>
    <x v="5"/>
    <x v="903"/>
    <x v="4"/>
    <x v="3"/>
    <x v="4"/>
    <n v="15"/>
    <n v="282"/>
    <n v="98700"/>
    <n v="21714"/>
    <s v="Junho"/>
    <s v="Uk"/>
    <s v="John Smith"/>
  </r>
  <r>
    <n v="10905"/>
    <x v="2"/>
    <x v="5"/>
    <x v="904"/>
    <x v="3"/>
    <x v="3"/>
    <x v="0"/>
    <n v="35"/>
    <n v="422"/>
    <n v="316500"/>
    <n v="91785"/>
    <s v="Junho"/>
    <s v="New Zealand"/>
    <s v="John Smith"/>
  </r>
  <r>
    <n v="10906"/>
    <x v="2"/>
    <x v="5"/>
    <x v="905"/>
    <x v="2"/>
    <x v="1"/>
    <x v="3"/>
    <n v="12"/>
    <n v="468"/>
    <n v="397800"/>
    <n v="167076"/>
    <s v="Junho"/>
    <s v="Australia"/>
    <s v="James Brown"/>
  </r>
  <r>
    <n v="10907"/>
    <x v="2"/>
    <x v="5"/>
    <x v="906"/>
    <x v="4"/>
    <x v="0"/>
    <x v="2"/>
    <n v="6"/>
    <n v="184"/>
    <n v="46000"/>
    <n v="6440.0000000000009"/>
    <s v="Junho"/>
    <s v="Uk"/>
    <s v="Emily White"/>
  </r>
  <r>
    <n v="10908"/>
    <x v="2"/>
    <x v="5"/>
    <x v="907"/>
    <x v="4"/>
    <x v="4"/>
    <x v="0"/>
    <n v="4"/>
    <n v="254"/>
    <n v="190500"/>
    <n v="78105"/>
    <s v="Junho"/>
    <s v="Uk"/>
    <s v="Liam Lee"/>
  </r>
  <r>
    <n v="10909"/>
    <x v="2"/>
    <x v="5"/>
    <x v="908"/>
    <x v="1"/>
    <x v="1"/>
    <x v="3"/>
    <n v="12"/>
    <n v="165"/>
    <n v="140250"/>
    <n v="42075"/>
    <s v="Junho"/>
    <s v="Canada"/>
    <s v="James Brown"/>
  </r>
  <r>
    <n v="10910"/>
    <x v="2"/>
    <x v="5"/>
    <x v="909"/>
    <x v="3"/>
    <x v="0"/>
    <x v="1"/>
    <n v="11"/>
    <n v="396"/>
    <n v="198000"/>
    <n v="89100"/>
    <s v="Junho"/>
    <s v="New Zealand"/>
    <s v="Emily White"/>
  </r>
  <r>
    <n v="10911"/>
    <x v="2"/>
    <x v="5"/>
    <x v="910"/>
    <x v="0"/>
    <x v="3"/>
    <x v="1"/>
    <n v="12"/>
    <n v="233"/>
    <n v="116500"/>
    <n v="17475"/>
    <s v="Junho"/>
    <s v="Usa"/>
    <s v="John Smith"/>
  </r>
  <r>
    <n v="10912"/>
    <x v="2"/>
    <x v="5"/>
    <x v="911"/>
    <x v="0"/>
    <x v="0"/>
    <x v="2"/>
    <n v="20"/>
    <n v="418"/>
    <n v="104500"/>
    <n v="20900"/>
    <s v="Junho"/>
    <s v="Usa"/>
    <s v="Emily White"/>
  </r>
  <r>
    <n v="10913"/>
    <x v="2"/>
    <x v="6"/>
    <x v="912"/>
    <x v="3"/>
    <x v="3"/>
    <x v="0"/>
    <n v="1"/>
    <n v="17"/>
    <n v="12750"/>
    <n v="3825"/>
    <s v="Julho"/>
    <s v="New Zealand"/>
    <s v="John Smith"/>
  </r>
  <r>
    <n v="10914"/>
    <x v="2"/>
    <x v="6"/>
    <x v="913"/>
    <x v="4"/>
    <x v="4"/>
    <x v="1"/>
    <n v="5"/>
    <n v="450"/>
    <n v="225000"/>
    <n v="42750"/>
    <s v="Julho"/>
    <s v="Uk"/>
    <s v="Liam Lee"/>
  </r>
  <r>
    <n v="10915"/>
    <x v="2"/>
    <x v="6"/>
    <x v="914"/>
    <x v="1"/>
    <x v="0"/>
    <x v="3"/>
    <n v="12"/>
    <n v="342"/>
    <n v="290700"/>
    <n v="93024"/>
    <s v="Julho"/>
    <s v="Canada"/>
    <s v="Emily White"/>
  </r>
  <r>
    <n v="10916"/>
    <x v="2"/>
    <x v="6"/>
    <x v="915"/>
    <x v="3"/>
    <x v="2"/>
    <x v="1"/>
    <n v="15"/>
    <n v="386"/>
    <n v="193000"/>
    <n v="46320"/>
    <s v="Julho"/>
    <s v="New Zealand"/>
    <s v="Jane Doe"/>
  </r>
  <r>
    <n v="10917"/>
    <x v="2"/>
    <x v="6"/>
    <x v="916"/>
    <x v="3"/>
    <x v="2"/>
    <x v="1"/>
    <n v="7"/>
    <n v="100"/>
    <n v="50000"/>
    <n v="17500"/>
    <s v="Julho"/>
    <s v="New Zealand"/>
    <s v="Jane Doe"/>
  </r>
  <r>
    <n v="10918"/>
    <x v="2"/>
    <x v="6"/>
    <x v="917"/>
    <x v="3"/>
    <x v="4"/>
    <x v="4"/>
    <n v="4"/>
    <n v="121"/>
    <n v="42350"/>
    <n v="19057.5"/>
    <s v="Julho"/>
    <s v="New Zealand"/>
    <s v="Liam Lee"/>
  </r>
  <r>
    <n v="10919"/>
    <x v="2"/>
    <x v="6"/>
    <x v="918"/>
    <x v="2"/>
    <x v="4"/>
    <x v="4"/>
    <n v="17"/>
    <n v="245"/>
    <n v="85750"/>
    <n v="36015"/>
    <s v="Julho"/>
    <s v="Australia"/>
    <s v="Liam Lee"/>
  </r>
  <r>
    <n v="10920"/>
    <x v="2"/>
    <x v="6"/>
    <x v="919"/>
    <x v="2"/>
    <x v="4"/>
    <x v="4"/>
    <n v="2"/>
    <n v="34"/>
    <n v="11900"/>
    <n v="3450.9999999999995"/>
    <s v="Julho"/>
    <s v="Australia"/>
    <s v="Liam Lee"/>
  </r>
  <r>
    <n v="10921"/>
    <x v="2"/>
    <x v="6"/>
    <x v="920"/>
    <x v="1"/>
    <x v="1"/>
    <x v="0"/>
    <n v="5"/>
    <n v="293"/>
    <n v="219750"/>
    <n v="32962.5"/>
    <s v="Julho"/>
    <s v="Canada"/>
    <s v="James Brown"/>
  </r>
  <r>
    <n v="10922"/>
    <x v="2"/>
    <x v="6"/>
    <x v="921"/>
    <x v="0"/>
    <x v="3"/>
    <x v="0"/>
    <n v="5"/>
    <n v="70"/>
    <n v="52500"/>
    <n v="10500"/>
    <s v="Julho"/>
    <s v="Usa"/>
    <s v="John Smith"/>
  </r>
  <r>
    <n v="10923"/>
    <x v="2"/>
    <x v="6"/>
    <x v="922"/>
    <x v="1"/>
    <x v="3"/>
    <x v="2"/>
    <n v="16"/>
    <n v="234"/>
    <n v="58500"/>
    <n v="12870"/>
    <s v="Julho"/>
    <s v="Canada"/>
    <s v="John Smith"/>
  </r>
  <r>
    <n v="10924"/>
    <x v="2"/>
    <x v="6"/>
    <x v="923"/>
    <x v="0"/>
    <x v="3"/>
    <x v="3"/>
    <n v="15"/>
    <n v="155"/>
    <n v="131750"/>
    <n v="54017.5"/>
    <s v="Julho"/>
    <s v="Usa"/>
    <s v="John Smith"/>
  </r>
  <r>
    <n v="10925"/>
    <x v="2"/>
    <x v="6"/>
    <x v="924"/>
    <x v="0"/>
    <x v="0"/>
    <x v="2"/>
    <n v="19"/>
    <n v="460"/>
    <n v="115000"/>
    <n v="12650"/>
    <s v="Julho"/>
    <s v="Usa"/>
    <s v="Emily White"/>
  </r>
  <r>
    <n v="10926"/>
    <x v="2"/>
    <x v="6"/>
    <x v="925"/>
    <x v="4"/>
    <x v="2"/>
    <x v="2"/>
    <n v="47"/>
    <n v="475"/>
    <n v="118750"/>
    <n v="16625"/>
    <s v="Julho"/>
    <s v="Uk"/>
    <s v="Jane Doe"/>
  </r>
  <r>
    <n v="10927"/>
    <x v="2"/>
    <x v="6"/>
    <x v="926"/>
    <x v="4"/>
    <x v="2"/>
    <x v="3"/>
    <n v="9"/>
    <n v="466"/>
    <n v="396100"/>
    <n v="110908.00000000001"/>
    <s v="Julho"/>
    <s v="Uk"/>
    <s v="Jane Doe"/>
  </r>
  <r>
    <n v="10928"/>
    <x v="2"/>
    <x v="6"/>
    <x v="927"/>
    <x v="1"/>
    <x v="1"/>
    <x v="1"/>
    <n v="8"/>
    <n v="157"/>
    <n v="78500"/>
    <n v="29830"/>
    <s v="Julho"/>
    <s v="Canada"/>
    <s v="James Brown"/>
  </r>
  <r>
    <n v="10929"/>
    <x v="2"/>
    <x v="6"/>
    <x v="928"/>
    <x v="4"/>
    <x v="4"/>
    <x v="2"/>
    <n v="2"/>
    <n v="66"/>
    <n v="16500"/>
    <n v="4620"/>
    <s v="Julho"/>
    <s v="Uk"/>
    <s v="Liam Lee"/>
  </r>
  <r>
    <n v="10930"/>
    <x v="2"/>
    <x v="6"/>
    <x v="929"/>
    <x v="4"/>
    <x v="0"/>
    <x v="2"/>
    <n v="22"/>
    <n v="238"/>
    <n v="59500"/>
    <n v="16660"/>
    <s v="Julho"/>
    <s v="Uk"/>
    <s v="Emily White"/>
  </r>
  <r>
    <n v="10931"/>
    <x v="2"/>
    <x v="6"/>
    <x v="930"/>
    <x v="2"/>
    <x v="4"/>
    <x v="4"/>
    <n v="18"/>
    <n v="206"/>
    <n v="72100"/>
    <n v="23793"/>
    <s v="Julho"/>
    <s v="Australia"/>
    <s v="Liam Lee"/>
  </r>
  <r>
    <n v="10932"/>
    <x v="2"/>
    <x v="6"/>
    <x v="931"/>
    <x v="4"/>
    <x v="3"/>
    <x v="0"/>
    <n v="22"/>
    <n v="237"/>
    <n v="177750"/>
    <n v="37327.5"/>
    <s v="Julho"/>
    <s v="Uk"/>
    <s v="John Smith"/>
  </r>
  <r>
    <n v="10933"/>
    <x v="2"/>
    <x v="6"/>
    <x v="932"/>
    <x v="4"/>
    <x v="2"/>
    <x v="4"/>
    <n v="10"/>
    <n v="174"/>
    <n v="60900"/>
    <n v="9135"/>
    <s v="Julho"/>
    <s v="Uk"/>
    <s v="Jane Doe"/>
  </r>
  <r>
    <n v="10934"/>
    <x v="2"/>
    <x v="6"/>
    <x v="933"/>
    <x v="0"/>
    <x v="2"/>
    <x v="1"/>
    <n v="3"/>
    <n v="34"/>
    <n v="17000"/>
    <n v="4590"/>
    <s v="Julho"/>
    <s v="Usa"/>
    <s v="Jane Doe"/>
  </r>
  <r>
    <n v="10935"/>
    <x v="2"/>
    <x v="6"/>
    <x v="934"/>
    <x v="0"/>
    <x v="4"/>
    <x v="4"/>
    <n v="1"/>
    <n v="15"/>
    <n v="5250"/>
    <n v="1785.0000000000002"/>
    <s v="Julho"/>
    <s v="Usa"/>
    <s v="Liam Lee"/>
  </r>
  <r>
    <n v="10936"/>
    <x v="2"/>
    <x v="6"/>
    <x v="935"/>
    <x v="0"/>
    <x v="1"/>
    <x v="1"/>
    <n v="9"/>
    <n v="383"/>
    <n v="191500"/>
    <n v="22980"/>
    <s v="Julho"/>
    <s v="Usa"/>
    <s v="James Brown"/>
  </r>
  <r>
    <n v="10937"/>
    <x v="2"/>
    <x v="6"/>
    <x v="936"/>
    <x v="0"/>
    <x v="2"/>
    <x v="3"/>
    <n v="11"/>
    <n v="119"/>
    <n v="101150"/>
    <n v="18207"/>
    <s v="Julho"/>
    <s v="Usa"/>
    <s v="Jane Doe"/>
  </r>
  <r>
    <n v="10938"/>
    <x v="2"/>
    <x v="6"/>
    <x v="937"/>
    <x v="0"/>
    <x v="3"/>
    <x v="1"/>
    <n v="1"/>
    <n v="15"/>
    <n v="7500"/>
    <n v="2025.0000000000002"/>
    <s v="Julho"/>
    <s v="Usa"/>
    <s v="John Smith"/>
  </r>
  <r>
    <n v="10939"/>
    <x v="2"/>
    <x v="6"/>
    <x v="938"/>
    <x v="3"/>
    <x v="0"/>
    <x v="1"/>
    <n v="5"/>
    <n v="81"/>
    <n v="40500"/>
    <n v="14175"/>
    <s v="Julho"/>
    <s v="New Zealand"/>
    <s v="Emily White"/>
  </r>
  <r>
    <n v="10940"/>
    <x v="2"/>
    <x v="6"/>
    <x v="939"/>
    <x v="1"/>
    <x v="2"/>
    <x v="4"/>
    <n v="27"/>
    <n v="441"/>
    <n v="154350"/>
    <n v="69457.5"/>
    <s v="Julho"/>
    <s v="Canada"/>
    <s v="Jane Doe"/>
  </r>
  <r>
    <n v="10941"/>
    <x v="2"/>
    <x v="6"/>
    <x v="940"/>
    <x v="4"/>
    <x v="1"/>
    <x v="4"/>
    <n v="15"/>
    <n v="455"/>
    <n v="159250"/>
    <n v="39812.5"/>
    <s v="Julho"/>
    <s v="Uk"/>
    <s v="James Brown"/>
  </r>
  <r>
    <n v="10942"/>
    <x v="2"/>
    <x v="6"/>
    <x v="941"/>
    <x v="1"/>
    <x v="1"/>
    <x v="1"/>
    <n v="29"/>
    <n v="330"/>
    <n v="165000"/>
    <n v="59400"/>
    <s v="Julho"/>
    <s v="Canada"/>
    <s v="James Brown"/>
  </r>
  <r>
    <n v="10943"/>
    <x v="2"/>
    <x v="6"/>
    <x v="942"/>
    <x v="0"/>
    <x v="2"/>
    <x v="2"/>
    <n v="26"/>
    <n v="442"/>
    <n v="110500"/>
    <n v="44200"/>
    <s v="Julho"/>
    <s v="Usa"/>
    <s v="Jane Doe"/>
  </r>
  <r>
    <n v="10944"/>
    <x v="2"/>
    <x v="7"/>
    <x v="943"/>
    <x v="3"/>
    <x v="3"/>
    <x v="4"/>
    <n v="23"/>
    <n v="397"/>
    <n v="138950"/>
    <n v="56969.5"/>
    <s v="Agosto"/>
    <s v="New Zealand"/>
    <s v="John Smith"/>
  </r>
  <r>
    <n v="10945"/>
    <x v="2"/>
    <x v="7"/>
    <x v="944"/>
    <x v="1"/>
    <x v="1"/>
    <x v="0"/>
    <n v="19"/>
    <n v="359"/>
    <n v="269250"/>
    <n v="64620"/>
    <s v="Agosto"/>
    <s v="Canada"/>
    <s v="James Brown"/>
  </r>
  <r>
    <n v="10946"/>
    <x v="2"/>
    <x v="7"/>
    <x v="945"/>
    <x v="3"/>
    <x v="0"/>
    <x v="2"/>
    <n v="11"/>
    <n v="177"/>
    <n v="44250"/>
    <n v="14602.5"/>
    <s v="Agosto"/>
    <s v="New Zealand"/>
    <s v="Emily White"/>
  </r>
  <r>
    <n v="10947"/>
    <x v="2"/>
    <x v="7"/>
    <x v="946"/>
    <x v="3"/>
    <x v="2"/>
    <x v="1"/>
    <n v="8"/>
    <n v="449"/>
    <n v="224500"/>
    <n v="101025"/>
    <s v="Agosto"/>
    <s v="New Zealand"/>
    <s v="Jane Doe"/>
  </r>
  <r>
    <n v="10948"/>
    <x v="2"/>
    <x v="7"/>
    <x v="947"/>
    <x v="2"/>
    <x v="0"/>
    <x v="4"/>
    <n v="21"/>
    <n v="422"/>
    <n v="147700"/>
    <n v="25109"/>
    <s v="Agosto"/>
    <s v="Australia"/>
    <s v="Emily White"/>
  </r>
  <r>
    <n v="10949"/>
    <x v="2"/>
    <x v="7"/>
    <x v="948"/>
    <x v="3"/>
    <x v="2"/>
    <x v="1"/>
    <n v="2"/>
    <n v="43"/>
    <n v="21500"/>
    <n v="8170"/>
    <s v="Agosto"/>
    <s v="New Zealand"/>
    <s v="Jane Doe"/>
  </r>
  <r>
    <n v="10950"/>
    <x v="2"/>
    <x v="7"/>
    <x v="949"/>
    <x v="3"/>
    <x v="2"/>
    <x v="0"/>
    <n v="32"/>
    <n v="393"/>
    <n v="294750"/>
    <n v="64845"/>
    <s v="Agosto"/>
    <s v="New Zealand"/>
    <s v="Jane Doe"/>
  </r>
  <r>
    <n v="10951"/>
    <x v="2"/>
    <x v="7"/>
    <x v="950"/>
    <x v="3"/>
    <x v="0"/>
    <x v="2"/>
    <n v="21"/>
    <n v="314"/>
    <n v="78500"/>
    <n v="29830"/>
    <s v="Agosto"/>
    <s v="New Zealand"/>
    <s v="Emily White"/>
  </r>
  <r>
    <n v="10952"/>
    <x v="2"/>
    <x v="7"/>
    <x v="951"/>
    <x v="0"/>
    <x v="4"/>
    <x v="0"/>
    <n v="40"/>
    <n v="477"/>
    <n v="357750"/>
    <n v="121635.00000000001"/>
    <s v="Agosto"/>
    <s v="Usa"/>
    <s v="Liam Lee"/>
  </r>
  <r>
    <n v="10953"/>
    <x v="2"/>
    <x v="7"/>
    <x v="952"/>
    <x v="2"/>
    <x v="2"/>
    <x v="1"/>
    <n v="10"/>
    <n v="149"/>
    <n v="74500"/>
    <n v="29055"/>
    <s v="Agosto"/>
    <s v="Australia"/>
    <s v="Jane Doe"/>
  </r>
  <r>
    <n v="10954"/>
    <x v="2"/>
    <x v="7"/>
    <x v="953"/>
    <x v="2"/>
    <x v="3"/>
    <x v="0"/>
    <n v="42"/>
    <n v="478"/>
    <n v="358500"/>
    <n v="50190.000000000007"/>
    <s v="Agosto"/>
    <s v="Australia"/>
    <s v="John Smith"/>
  </r>
  <r>
    <n v="10955"/>
    <x v="2"/>
    <x v="7"/>
    <x v="954"/>
    <x v="0"/>
    <x v="0"/>
    <x v="0"/>
    <n v="12"/>
    <n v="172"/>
    <n v="129000"/>
    <n v="28380"/>
    <s v="Agosto"/>
    <s v="Usa"/>
    <s v="Emily White"/>
  </r>
  <r>
    <n v="10956"/>
    <x v="2"/>
    <x v="7"/>
    <x v="955"/>
    <x v="0"/>
    <x v="1"/>
    <x v="4"/>
    <n v="12"/>
    <n v="221"/>
    <n v="77350"/>
    <n v="17017"/>
    <s v="Agosto"/>
    <s v="Usa"/>
    <s v="James Brown"/>
  </r>
  <r>
    <n v="10957"/>
    <x v="2"/>
    <x v="7"/>
    <x v="956"/>
    <x v="4"/>
    <x v="1"/>
    <x v="0"/>
    <n v="5"/>
    <n v="60"/>
    <n v="45000"/>
    <n v="11250"/>
    <s v="Agosto"/>
    <s v="Uk"/>
    <s v="James Brown"/>
  </r>
  <r>
    <n v="10958"/>
    <x v="2"/>
    <x v="7"/>
    <x v="957"/>
    <x v="0"/>
    <x v="0"/>
    <x v="2"/>
    <n v="1"/>
    <n v="24"/>
    <n v="6000"/>
    <n v="1860"/>
    <s v="Agosto"/>
    <s v="Usa"/>
    <s v="Emily White"/>
  </r>
  <r>
    <n v="10959"/>
    <x v="2"/>
    <x v="7"/>
    <x v="958"/>
    <x v="4"/>
    <x v="4"/>
    <x v="1"/>
    <n v="17"/>
    <n v="255"/>
    <n v="127500"/>
    <n v="40800"/>
    <s v="Agosto"/>
    <s v="Uk"/>
    <s v="Liam Lee"/>
  </r>
  <r>
    <n v="10960"/>
    <x v="2"/>
    <x v="7"/>
    <x v="959"/>
    <x v="3"/>
    <x v="1"/>
    <x v="0"/>
    <n v="31"/>
    <n v="310"/>
    <n v="232500"/>
    <n v="51150"/>
    <s v="Agosto"/>
    <s v="New Zealand"/>
    <s v="James Brown"/>
  </r>
  <r>
    <n v="10961"/>
    <x v="2"/>
    <x v="7"/>
    <x v="960"/>
    <x v="3"/>
    <x v="1"/>
    <x v="2"/>
    <n v="9"/>
    <n v="500"/>
    <n v="125000"/>
    <n v="13750"/>
    <s v="Agosto"/>
    <s v="New Zealand"/>
    <s v="James Brown"/>
  </r>
  <r>
    <n v="10962"/>
    <x v="2"/>
    <x v="7"/>
    <x v="961"/>
    <x v="1"/>
    <x v="4"/>
    <x v="4"/>
    <n v="9"/>
    <n v="310"/>
    <n v="108500"/>
    <n v="26040"/>
    <s v="Agosto"/>
    <s v="Canada"/>
    <s v="Liam Lee"/>
  </r>
  <r>
    <n v="10963"/>
    <x v="2"/>
    <x v="7"/>
    <x v="962"/>
    <x v="4"/>
    <x v="2"/>
    <x v="1"/>
    <n v="5"/>
    <n v="360"/>
    <n v="180000"/>
    <n v="81000"/>
    <s v="Agosto"/>
    <s v="Uk"/>
    <s v="Jane Doe"/>
  </r>
  <r>
    <n v="10964"/>
    <x v="2"/>
    <x v="7"/>
    <x v="963"/>
    <x v="1"/>
    <x v="3"/>
    <x v="1"/>
    <n v="16"/>
    <n v="176"/>
    <n v="88000"/>
    <n v="35200"/>
    <s v="Agosto"/>
    <s v="Canada"/>
    <s v="John Smith"/>
  </r>
  <r>
    <n v="10965"/>
    <x v="2"/>
    <x v="7"/>
    <x v="964"/>
    <x v="4"/>
    <x v="4"/>
    <x v="2"/>
    <n v="3"/>
    <n v="121"/>
    <n v="30250"/>
    <n v="9982.5"/>
    <s v="Agosto"/>
    <s v="Uk"/>
    <s v="Liam Lee"/>
  </r>
  <r>
    <n v="10966"/>
    <x v="2"/>
    <x v="7"/>
    <x v="965"/>
    <x v="2"/>
    <x v="2"/>
    <x v="4"/>
    <n v="4"/>
    <n v="123"/>
    <n v="43050"/>
    <n v="4305"/>
    <s v="Agosto"/>
    <s v="Australia"/>
    <s v="Jane Doe"/>
  </r>
  <r>
    <n v="10967"/>
    <x v="2"/>
    <x v="7"/>
    <x v="966"/>
    <x v="3"/>
    <x v="3"/>
    <x v="4"/>
    <n v="35"/>
    <n v="479"/>
    <n v="167650"/>
    <n v="30177"/>
    <s v="Agosto"/>
    <s v="New Zealand"/>
    <s v="John Smith"/>
  </r>
  <r>
    <n v="10968"/>
    <x v="2"/>
    <x v="7"/>
    <x v="967"/>
    <x v="4"/>
    <x v="0"/>
    <x v="0"/>
    <n v="5"/>
    <n v="104"/>
    <n v="78000"/>
    <n v="11700"/>
    <s v="Agosto"/>
    <s v="Uk"/>
    <s v="Emily White"/>
  </r>
  <r>
    <n v="10969"/>
    <x v="2"/>
    <x v="7"/>
    <x v="968"/>
    <x v="3"/>
    <x v="3"/>
    <x v="2"/>
    <n v="11"/>
    <n v="159"/>
    <n v="39750"/>
    <n v="10335"/>
    <s v="Agosto"/>
    <s v="New Zealand"/>
    <s v="John Smith"/>
  </r>
  <r>
    <n v="10970"/>
    <x v="2"/>
    <x v="7"/>
    <x v="969"/>
    <x v="3"/>
    <x v="3"/>
    <x v="0"/>
    <n v="6"/>
    <n v="385"/>
    <n v="288750"/>
    <n v="77962.5"/>
    <s v="Agosto"/>
    <s v="New Zealand"/>
    <s v="John Smith"/>
  </r>
  <r>
    <n v="10971"/>
    <x v="2"/>
    <x v="7"/>
    <x v="970"/>
    <x v="0"/>
    <x v="2"/>
    <x v="3"/>
    <n v="2"/>
    <n v="82"/>
    <n v="69700"/>
    <n v="25092"/>
    <s v="Agosto"/>
    <s v="Usa"/>
    <s v="Jane Doe"/>
  </r>
  <r>
    <n v="10972"/>
    <x v="2"/>
    <x v="7"/>
    <x v="971"/>
    <x v="4"/>
    <x v="3"/>
    <x v="2"/>
    <n v="7"/>
    <n v="101"/>
    <n v="25250"/>
    <n v="7070.0000000000009"/>
    <s v="Agosto"/>
    <s v="Uk"/>
    <s v="John Smith"/>
  </r>
  <r>
    <n v="10973"/>
    <x v="2"/>
    <x v="7"/>
    <x v="972"/>
    <x v="3"/>
    <x v="3"/>
    <x v="1"/>
    <n v="5"/>
    <n v="157"/>
    <n v="78500"/>
    <n v="16485"/>
    <s v="Agosto"/>
    <s v="New Zealand"/>
    <s v="John Smith"/>
  </r>
  <r>
    <n v="10974"/>
    <x v="2"/>
    <x v="7"/>
    <x v="973"/>
    <x v="0"/>
    <x v="0"/>
    <x v="1"/>
    <n v="30"/>
    <n v="459"/>
    <n v="229500"/>
    <n v="48195"/>
    <s v="Agosto"/>
    <s v="Usa"/>
    <s v="Emily White"/>
  </r>
  <r>
    <n v="10975"/>
    <x v="2"/>
    <x v="8"/>
    <x v="974"/>
    <x v="4"/>
    <x v="1"/>
    <x v="0"/>
    <n v="13"/>
    <n v="435"/>
    <n v="326250"/>
    <n v="91350.000000000015"/>
    <s v="Setembro"/>
    <s v="Uk"/>
    <s v="James Brown"/>
  </r>
  <r>
    <n v="10976"/>
    <x v="2"/>
    <x v="8"/>
    <x v="975"/>
    <x v="3"/>
    <x v="4"/>
    <x v="4"/>
    <n v="7"/>
    <n v="109"/>
    <n v="38150"/>
    <n v="6485.5000000000009"/>
    <s v="Setembro"/>
    <s v="New Zealand"/>
    <s v="Liam Lee"/>
  </r>
  <r>
    <n v="10977"/>
    <x v="2"/>
    <x v="8"/>
    <x v="976"/>
    <x v="0"/>
    <x v="2"/>
    <x v="0"/>
    <n v="36"/>
    <n v="368"/>
    <n v="276000"/>
    <n v="121440"/>
    <s v="Setembro"/>
    <s v="Usa"/>
    <s v="Jane Doe"/>
  </r>
  <r>
    <n v="10978"/>
    <x v="2"/>
    <x v="8"/>
    <x v="977"/>
    <x v="2"/>
    <x v="3"/>
    <x v="1"/>
    <n v="3"/>
    <n v="264"/>
    <n v="132000"/>
    <n v="26400"/>
    <s v="Setembro"/>
    <s v="Australia"/>
    <s v="John Smith"/>
  </r>
  <r>
    <n v="10979"/>
    <x v="2"/>
    <x v="8"/>
    <x v="978"/>
    <x v="2"/>
    <x v="2"/>
    <x v="0"/>
    <n v="23"/>
    <n v="382"/>
    <n v="286500"/>
    <n v="37245"/>
    <s v="Setembro"/>
    <s v="Australia"/>
    <s v="Jane Doe"/>
  </r>
  <r>
    <n v="10980"/>
    <x v="2"/>
    <x v="8"/>
    <x v="979"/>
    <x v="3"/>
    <x v="3"/>
    <x v="4"/>
    <n v="7"/>
    <n v="462"/>
    <n v="161700"/>
    <n v="17787"/>
    <s v="Setembro"/>
    <s v="New Zealand"/>
    <s v="John Smith"/>
  </r>
  <r>
    <n v="10981"/>
    <x v="2"/>
    <x v="8"/>
    <x v="980"/>
    <x v="3"/>
    <x v="4"/>
    <x v="1"/>
    <n v="30"/>
    <n v="407"/>
    <n v="203500"/>
    <n v="40700"/>
    <s v="Setembro"/>
    <s v="New Zealand"/>
    <s v="Liam Lee"/>
  </r>
  <r>
    <n v="10982"/>
    <x v="2"/>
    <x v="8"/>
    <x v="981"/>
    <x v="1"/>
    <x v="4"/>
    <x v="2"/>
    <n v="19"/>
    <n v="294"/>
    <n v="73500"/>
    <n v="10290.000000000002"/>
    <s v="Setembro"/>
    <s v="Canada"/>
    <s v="Liam Lee"/>
  </r>
  <r>
    <n v="10983"/>
    <x v="2"/>
    <x v="8"/>
    <x v="982"/>
    <x v="1"/>
    <x v="1"/>
    <x v="0"/>
    <n v="15"/>
    <n v="394"/>
    <n v="295500"/>
    <n v="41370.000000000007"/>
    <s v="Setembro"/>
    <s v="Canada"/>
    <s v="James Brown"/>
  </r>
  <r>
    <n v="10984"/>
    <x v="2"/>
    <x v="8"/>
    <x v="983"/>
    <x v="3"/>
    <x v="0"/>
    <x v="1"/>
    <n v="18"/>
    <n v="272"/>
    <n v="136000"/>
    <n v="36720"/>
    <s v="Setembro"/>
    <s v="New Zealand"/>
    <s v="Emily White"/>
  </r>
  <r>
    <n v="10985"/>
    <x v="2"/>
    <x v="8"/>
    <x v="984"/>
    <x v="0"/>
    <x v="4"/>
    <x v="3"/>
    <n v="4"/>
    <n v="292"/>
    <n v="248200"/>
    <n v="81906"/>
    <s v="Setembro"/>
    <s v="Usa"/>
    <s v="Liam Lee"/>
  </r>
  <r>
    <n v="10986"/>
    <x v="2"/>
    <x v="8"/>
    <x v="985"/>
    <x v="2"/>
    <x v="1"/>
    <x v="4"/>
    <n v="8"/>
    <n v="88"/>
    <n v="30800"/>
    <n v="13552"/>
    <s v="Setembro"/>
    <s v="Australia"/>
    <s v="James Brown"/>
  </r>
  <r>
    <n v="10987"/>
    <x v="2"/>
    <x v="8"/>
    <x v="986"/>
    <x v="4"/>
    <x v="4"/>
    <x v="1"/>
    <n v="21"/>
    <n v="371"/>
    <n v="185500"/>
    <n v="29680"/>
    <s v="Setembro"/>
    <s v="Uk"/>
    <s v="Liam Lee"/>
  </r>
  <r>
    <n v="10988"/>
    <x v="2"/>
    <x v="8"/>
    <x v="987"/>
    <x v="3"/>
    <x v="3"/>
    <x v="2"/>
    <n v="17"/>
    <n v="326"/>
    <n v="81500"/>
    <n v="20375"/>
    <s v="Setembro"/>
    <s v="New Zealand"/>
    <s v="John Smith"/>
  </r>
  <r>
    <n v="10989"/>
    <x v="2"/>
    <x v="8"/>
    <x v="988"/>
    <x v="2"/>
    <x v="0"/>
    <x v="1"/>
    <n v="21"/>
    <n v="304"/>
    <n v="152000"/>
    <n v="51680.000000000007"/>
    <s v="Setembro"/>
    <s v="Australia"/>
    <s v="Emily White"/>
  </r>
  <r>
    <n v="10990"/>
    <x v="2"/>
    <x v="8"/>
    <x v="989"/>
    <x v="3"/>
    <x v="1"/>
    <x v="4"/>
    <n v="23"/>
    <n v="416"/>
    <n v="145600"/>
    <n v="46592"/>
    <s v="Setembro"/>
    <s v="New Zealand"/>
    <s v="James Brown"/>
  </r>
  <r>
    <n v="10991"/>
    <x v="2"/>
    <x v="8"/>
    <x v="990"/>
    <x v="1"/>
    <x v="1"/>
    <x v="1"/>
    <n v="34"/>
    <n v="480"/>
    <n v="240000"/>
    <n v="43200"/>
    <s v="Setembro"/>
    <s v="Canada"/>
    <s v="James Brown"/>
  </r>
  <r>
    <n v="10992"/>
    <x v="2"/>
    <x v="8"/>
    <x v="991"/>
    <x v="4"/>
    <x v="1"/>
    <x v="1"/>
    <n v="11"/>
    <n v="354"/>
    <n v="177000"/>
    <n v="56640"/>
    <s v="Setembro"/>
    <s v="Uk"/>
    <s v="James Brown"/>
  </r>
  <r>
    <n v="10993"/>
    <x v="2"/>
    <x v="8"/>
    <x v="992"/>
    <x v="2"/>
    <x v="1"/>
    <x v="2"/>
    <n v="1"/>
    <n v="50"/>
    <n v="12500"/>
    <n v="5375"/>
    <s v="Setembro"/>
    <s v="Australia"/>
    <s v="James Brown"/>
  </r>
  <r>
    <n v="10994"/>
    <x v="2"/>
    <x v="8"/>
    <x v="993"/>
    <x v="4"/>
    <x v="0"/>
    <x v="0"/>
    <n v="5"/>
    <n v="72"/>
    <n v="54000"/>
    <n v="21060"/>
    <s v="Setembro"/>
    <s v="Uk"/>
    <s v="Emily White"/>
  </r>
  <r>
    <n v="10995"/>
    <x v="2"/>
    <x v="8"/>
    <x v="994"/>
    <x v="0"/>
    <x v="3"/>
    <x v="2"/>
    <n v="33"/>
    <n v="379"/>
    <n v="94750"/>
    <n v="42637.5"/>
    <s v="Setembro"/>
    <s v="Usa"/>
    <s v="John Smith"/>
  </r>
  <r>
    <n v="10996"/>
    <x v="2"/>
    <x v="8"/>
    <x v="995"/>
    <x v="0"/>
    <x v="3"/>
    <x v="4"/>
    <n v="22"/>
    <n v="300"/>
    <n v="105000"/>
    <n v="34650"/>
    <s v="Setembro"/>
    <s v="Usa"/>
    <s v="John Smith"/>
  </r>
  <r>
    <n v="10997"/>
    <x v="2"/>
    <x v="8"/>
    <x v="996"/>
    <x v="1"/>
    <x v="3"/>
    <x v="4"/>
    <n v="10"/>
    <n v="292"/>
    <n v="102200"/>
    <n v="29637.999999999996"/>
    <s v="Setembro"/>
    <s v="Canada"/>
    <s v="John Smith"/>
  </r>
  <r>
    <n v="10998"/>
    <x v="2"/>
    <x v="8"/>
    <x v="997"/>
    <x v="0"/>
    <x v="0"/>
    <x v="3"/>
    <n v="8"/>
    <n v="268"/>
    <n v="227800"/>
    <n v="88842"/>
    <s v="Setembro"/>
    <s v="Usa"/>
    <s v="Emily White"/>
  </r>
  <r>
    <n v="10999"/>
    <x v="2"/>
    <x v="8"/>
    <x v="998"/>
    <x v="0"/>
    <x v="0"/>
    <x v="1"/>
    <n v="20"/>
    <n v="344"/>
    <n v="172000"/>
    <n v="77400"/>
    <s v="Setembro"/>
    <s v="Usa"/>
    <s v="Emily White"/>
  </r>
  <r>
    <n v="11000"/>
    <x v="2"/>
    <x v="8"/>
    <x v="999"/>
    <x v="1"/>
    <x v="1"/>
    <x v="0"/>
    <n v="24"/>
    <n v="388"/>
    <n v="291000"/>
    <n v="29100"/>
    <s v="Setembro"/>
    <s v="Canada"/>
    <s v="James Brown"/>
  </r>
  <r>
    <n v="11001"/>
    <x v="2"/>
    <x v="8"/>
    <x v="1000"/>
    <x v="3"/>
    <x v="2"/>
    <x v="3"/>
    <n v="6"/>
    <n v="433"/>
    <n v="368050"/>
    <n v="84651.5"/>
    <s v="Setembro"/>
    <s v="New Zealand"/>
    <s v="Jane Doe"/>
  </r>
  <r>
    <n v="11002"/>
    <x v="2"/>
    <x v="8"/>
    <x v="1001"/>
    <x v="2"/>
    <x v="0"/>
    <x v="3"/>
    <n v="22"/>
    <n v="417"/>
    <n v="354450"/>
    <n v="67345.5"/>
    <s v="Setembro"/>
    <s v="Australia"/>
    <s v="Emily White"/>
  </r>
  <r>
    <n v="11003"/>
    <x v="2"/>
    <x v="8"/>
    <x v="1002"/>
    <x v="3"/>
    <x v="1"/>
    <x v="4"/>
    <n v="30"/>
    <n v="309"/>
    <n v="108150"/>
    <n v="35689.5"/>
    <s v="Setembro"/>
    <s v="New Zealand"/>
    <s v="James Brown"/>
  </r>
  <r>
    <n v="11004"/>
    <x v="2"/>
    <x v="8"/>
    <x v="1003"/>
    <x v="1"/>
    <x v="4"/>
    <x v="2"/>
    <n v="3"/>
    <n v="84"/>
    <n v="21000"/>
    <n v="3360"/>
    <s v="Setembro"/>
    <s v="Canada"/>
    <s v="Liam Lee"/>
  </r>
  <r>
    <n v="11005"/>
    <x v="2"/>
    <x v="9"/>
    <x v="1004"/>
    <x v="4"/>
    <x v="4"/>
    <x v="1"/>
    <n v="13"/>
    <n v="157"/>
    <n v="78500"/>
    <n v="8635"/>
    <s v="Outubro"/>
    <s v="Uk"/>
    <s v="Liam Lee"/>
  </r>
  <r>
    <n v="11006"/>
    <x v="2"/>
    <x v="9"/>
    <x v="1005"/>
    <x v="3"/>
    <x v="2"/>
    <x v="4"/>
    <n v="17"/>
    <n v="227"/>
    <n v="79450"/>
    <n v="23040.5"/>
    <s v="Outubro"/>
    <s v="New Zealand"/>
    <s v="Jane Doe"/>
  </r>
  <r>
    <n v="11007"/>
    <x v="2"/>
    <x v="9"/>
    <x v="1006"/>
    <x v="1"/>
    <x v="0"/>
    <x v="1"/>
    <n v="11"/>
    <n v="130"/>
    <n v="65000"/>
    <n v="18850"/>
    <s v="Outubro"/>
    <s v="Canada"/>
    <s v="Emily White"/>
  </r>
  <r>
    <n v="11008"/>
    <x v="2"/>
    <x v="9"/>
    <x v="1007"/>
    <x v="3"/>
    <x v="3"/>
    <x v="2"/>
    <n v="2"/>
    <n v="35"/>
    <n v="8750"/>
    <n v="1925"/>
    <s v="Outubro"/>
    <s v="New Zealand"/>
    <s v="John Smith"/>
  </r>
  <r>
    <n v="11009"/>
    <x v="2"/>
    <x v="9"/>
    <x v="1008"/>
    <x v="3"/>
    <x v="3"/>
    <x v="2"/>
    <n v="4"/>
    <n v="111"/>
    <n v="27750"/>
    <n v="12487.5"/>
    <s v="Outubro"/>
    <s v="New Zealand"/>
    <s v="John Smith"/>
  </r>
  <r>
    <n v="11010"/>
    <x v="2"/>
    <x v="9"/>
    <x v="1009"/>
    <x v="1"/>
    <x v="4"/>
    <x v="3"/>
    <n v="11"/>
    <n v="129"/>
    <n v="109650"/>
    <n v="38377.5"/>
    <s v="Outubro"/>
    <s v="Canada"/>
    <s v="Liam Lee"/>
  </r>
  <r>
    <n v="11011"/>
    <x v="2"/>
    <x v="9"/>
    <x v="1010"/>
    <x v="1"/>
    <x v="2"/>
    <x v="4"/>
    <n v="11"/>
    <n v="389"/>
    <n v="136150"/>
    <n v="54460"/>
    <s v="Outubro"/>
    <s v="Canada"/>
    <s v="Jane Doe"/>
  </r>
  <r>
    <n v="11012"/>
    <x v="2"/>
    <x v="9"/>
    <x v="1011"/>
    <x v="0"/>
    <x v="0"/>
    <x v="4"/>
    <n v="14"/>
    <n v="254"/>
    <n v="88900"/>
    <n v="13335"/>
    <s v="Outubro"/>
    <s v="Usa"/>
    <s v="Emily White"/>
  </r>
  <r>
    <n v="11013"/>
    <x v="2"/>
    <x v="9"/>
    <x v="1012"/>
    <x v="3"/>
    <x v="2"/>
    <x v="0"/>
    <n v="14"/>
    <n v="219"/>
    <n v="164250"/>
    <n v="26280"/>
    <s v="Outubro"/>
    <s v="New Zealand"/>
    <s v="Jane Doe"/>
  </r>
  <r>
    <n v="11014"/>
    <x v="2"/>
    <x v="9"/>
    <x v="1013"/>
    <x v="1"/>
    <x v="2"/>
    <x v="3"/>
    <n v="7"/>
    <n v="128"/>
    <n v="108800"/>
    <n v="17408"/>
    <s v="Outubro"/>
    <s v="Canada"/>
    <s v="Jane Doe"/>
  </r>
  <r>
    <n v="11015"/>
    <x v="2"/>
    <x v="9"/>
    <x v="1014"/>
    <x v="0"/>
    <x v="3"/>
    <x v="4"/>
    <n v="9"/>
    <n v="406"/>
    <n v="142100"/>
    <n v="49735"/>
    <s v="Outubro"/>
    <s v="Usa"/>
    <s v="John Smith"/>
  </r>
  <r>
    <n v="11016"/>
    <x v="2"/>
    <x v="9"/>
    <x v="1015"/>
    <x v="1"/>
    <x v="0"/>
    <x v="0"/>
    <n v="14"/>
    <n v="304"/>
    <n v="228000"/>
    <n v="41040"/>
    <s v="Outubro"/>
    <s v="Canada"/>
    <s v="Emily White"/>
  </r>
  <r>
    <n v="11017"/>
    <x v="2"/>
    <x v="9"/>
    <x v="1016"/>
    <x v="2"/>
    <x v="0"/>
    <x v="0"/>
    <n v="24"/>
    <n v="449"/>
    <n v="336750"/>
    <n v="114495.00000000001"/>
    <s v="Outubro"/>
    <s v="Australia"/>
    <s v="Emily White"/>
  </r>
  <r>
    <n v="11018"/>
    <x v="2"/>
    <x v="9"/>
    <x v="1017"/>
    <x v="0"/>
    <x v="1"/>
    <x v="4"/>
    <n v="20"/>
    <n v="473"/>
    <n v="165550"/>
    <n v="36421"/>
    <s v="Outubro"/>
    <s v="Usa"/>
    <s v="James Brown"/>
  </r>
  <r>
    <n v="11019"/>
    <x v="2"/>
    <x v="9"/>
    <x v="1018"/>
    <x v="4"/>
    <x v="4"/>
    <x v="2"/>
    <n v="7"/>
    <n v="292"/>
    <n v="73000"/>
    <n v="17520"/>
    <s v="Outubro"/>
    <s v="Uk"/>
    <s v="Liam Lee"/>
  </r>
  <r>
    <n v="11020"/>
    <x v="2"/>
    <x v="9"/>
    <x v="1019"/>
    <x v="4"/>
    <x v="4"/>
    <x v="2"/>
    <n v="7"/>
    <n v="109"/>
    <n v="27250"/>
    <n v="5995"/>
    <s v="Outubro"/>
    <s v="Uk"/>
    <s v="Liam Lee"/>
  </r>
  <r>
    <n v="11021"/>
    <x v="2"/>
    <x v="9"/>
    <x v="1020"/>
    <x v="0"/>
    <x v="3"/>
    <x v="1"/>
    <n v="32"/>
    <n v="349"/>
    <n v="174500"/>
    <n v="52350"/>
    <s v="Outubro"/>
    <s v="Usa"/>
    <s v="John Smith"/>
  </r>
  <r>
    <n v="11022"/>
    <x v="2"/>
    <x v="9"/>
    <x v="1021"/>
    <x v="3"/>
    <x v="1"/>
    <x v="4"/>
    <n v="12"/>
    <n v="308"/>
    <n v="107800"/>
    <n v="43120"/>
    <s v="Outubro"/>
    <s v="New Zealand"/>
    <s v="James Brown"/>
  </r>
  <r>
    <n v="11023"/>
    <x v="2"/>
    <x v="9"/>
    <x v="1022"/>
    <x v="1"/>
    <x v="4"/>
    <x v="3"/>
    <n v="14"/>
    <n v="312"/>
    <n v="265200"/>
    <n v="111384"/>
    <s v="Outubro"/>
    <s v="Canada"/>
    <s v="Liam Lee"/>
  </r>
  <r>
    <n v="11024"/>
    <x v="2"/>
    <x v="9"/>
    <x v="1023"/>
    <x v="0"/>
    <x v="0"/>
    <x v="3"/>
    <n v="12"/>
    <n v="193"/>
    <n v="164050"/>
    <n v="26248"/>
    <s v="Outubro"/>
    <s v="Usa"/>
    <s v="Emily White"/>
  </r>
  <r>
    <n v="11025"/>
    <x v="2"/>
    <x v="9"/>
    <x v="1024"/>
    <x v="2"/>
    <x v="4"/>
    <x v="0"/>
    <n v="7"/>
    <n v="195"/>
    <n v="146250"/>
    <n v="19012.5"/>
    <s v="Outubro"/>
    <s v="Australia"/>
    <s v="Liam Lee"/>
  </r>
  <r>
    <n v="11026"/>
    <x v="2"/>
    <x v="9"/>
    <x v="1025"/>
    <x v="1"/>
    <x v="2"/>
    <x v="4"/>
    <n v="9"/>
    <n v="114"/>
    <n v="39900"/>
    <n v="7581"/>
    <s v="Outubro"/>
    <s v="Canada"/>
    <s v="Jane Doe"/>
  </r>
  <r>
    <n v="11027"/>
    <x v="2"/>
    <x v="9"/>
    <x v="1026"/>
    <x v="3"/>
    <x v="0"/>
    <x v="4"/>
    <n v="38"/>
    <n v="481"/>
    <n v="168350"/>
    <n v="18518.5"/>
    <s v="Outubro"/>
    <s v="New Zealand"/>
    <s v="Emily White"/>
  </r>
  <r>
    <n v="11028"/>
    <x v="2"/>
    <x v="9"/>
    <x v="1027"/>
    <x v="2"/>
    <x v="3"/>
    <x v="0"/>
    <n v="47"/>
    <n v="490"/>
    <n v="367500"/>
    <n v="106574.99999999999"/>
    <s v="Outubro"/>
    <s v="Australia"/>
    <s v="John Smith"/>
  </r>
  <r>
    <n v="11029"/>
    <x v="2"/>
    <x v="9"/>
    <x v="1028"/>
    <x v="4"/>
    <x v="2"/>
    <x v="0"/>
    <n v="10"/>
    <n v="307"/>
    <n v="230250"/>
    <n v="46050"/>
    <s v="Outubro"/>
    <s v="Uk"/>
    <s v="Jane Doe"/>
  </r>
  <r>
    <n v="11030"/>
    <x v="2"/>
    <x v="9"/>
    <x v="1029"/>
    <x v="0"/>
    <x v="4"/>
    <x v="3"/>
    <n v="1"/>
    <n v="44"/>
    <n v="37400"/>
    <n v="9724"/>
    <s v="Outubro"/>
    <s v="Usa"/>
    <s v="Liam Lee"/>
  </r>
  <r>
    <n v="11031"/>
    <x v="2"/>
    <x v="9"/>
    <x v="1030"/>
    <x v="4"/>
    <x v="3"/>
    <x v="2"/>
    <n v="4"/>
    <n v="234"/>
    <n v="58500"/>
    <n v="21060"/>
    <s v="Outubro"/>
    <s v="Uk"/>
    <s v="John Smith"/>
  </r>
  <r>
    <n v="11032"/>
    <x v="2"/>
    <x v="9"/>
    <x v="1031"/>
    <x v="0"/>
    <x v="0"/>
    <x v="2"/>
    <n v="20"/>
    <n v="360"/>
    <n v="90000"/>
    <n v="25200.000000000004"/>
    <s v="Outubro"/>
    <s v="Usa"/>
    <s v="Emily White"/>
  </r>
  <r>
    <n v="11033"/>
    <x v="2"/>
    <x v="9"/>
    <x v="1032"/>
    <x v="3"/>
    <x v="0"/>
    <x v="2"/>
    <n v="2"/>
    <n v="29"/>
    <n v="7250"/>
    <n v="3117.5"/>
    <s v="Outubro"/>
    <s v="New Zealand"/>
    <s v="Emily White"/>
  </r>
  <r>
    <n v="11034"/>
    <x v="2"/>
    <x v="9"/>
    <x v="1033"/>
    <x v="2"/>
    <x v="4"/>
    <x v="1"/>
    <n v="30"/>
    <n v="383"/>
    <n v="191500"/>
    <n v="68940"/>
    <s v="Outubro"/>
    <s v="Australia"/>
    <s v="Liam Lee"/>
  </r>
  <r>
    <n v="11035"/>
    <x v="2"/>
    <x v="9"/>
    <x v="1034"/>
    <x v="0"/>
    <x v="0"/>
    <x v="1"/>
    <n v="44"/>
    <n v="475"/>
    <n v="237500"/>
    <n v="71250"/>
    <s v="Outubro"/>
    <s v="Usa"/>
    <s v="Emily White"/>
  </r>
  <r>
    <n v="11036"/>
    <x v="2"/>
    <x v="10"/>
    <x v="1035"/>
    <x v="2"/>
    <x v="0"/>
    <x v="4"/>
    <n v="7"/>
    <n v="187"/>
    <n v="65450"/>
    <n v="17017"/>
    <s v="Novembro"/>
    <s v="Australia"/>
    <s v="Emily White"/>
  </r>
  <r>
    <n v="11037"/>
    <x v="2"/>
    <x v="10"/>
    <x v="1036"/>
    <x v="3"/>
    <x v="0"/>
    <x v="0"/>
    <n v="7"/>
    <n v="397"/>
    <n v="297750"/>
    <n v="74437.5"/>
    <s v="Novembro"/>
    <s v="New Zealand"/>
    <s v="Emily White"/>
  </r>
  <r>
    <n v="11038"/>
    <x v="2"/>
    <x v="10"/>
    <x v="1037"/>
    <x v="0"/>
    <x v="4"/>
    <x v="0"/>
    <n v="33"/>
    <n v="418"/>
    <n v="313500"/>
    <n v="75240"/>
    <s v="Novembro"/>
    <s v="Usa"/>
    <s v="Liam Lee"/>
  </r>
  <r>
    <n v="11039"/>
    <x v="2"/>
    <x v="10"/>
    <x v="1038"/>
    <x v="4"/>
    <x v="0"/>
    <x v="1"/>
    <n v="1"/>
    <n v="71"/>
    <n v="35500"/>
    <n v="7100"/>
    <s v="Novembro"/>
    <s v="Uk"/>
    <s v="Emily White"/>
  </r>
  <r>
    <n v="11040"/>
    <x v="2"/>
    <x v="10"/>
    <x v="1039"/>
    <x v="3"/>
    <x v="4"/>
    <x v="1"/>
    <n v="14"/>
    <n v="327"/>
    <n v="163500"/>
    <n v="40875"/>
    <s v="Novembro"/>
    <s v="New Zealand"/>
    <s v="Liam Lee"/>
  </r>
  <r>
    <n v="11041"/>
    <x v="2"/>
    <x v="10"/>
    <x v="1040"/>
    <x v="4"/>
    <x v="0"/>
    <x v="3"/>
    <n v="4"/>
    <n v="99"/>
    <n v="84150"/>
    <n v="10939.5"/>
    <s v="Novembro"/>
    <s v="Uk"/>
    <s v="Emily White"/>
  </r>
  <r>
    <n v="11042"/>
    <x v="2"/>
    <x v="10"/>
    <x v="1041"/>
    <x v="0"/>
    <x v="0"/>
    <x v="2"/>
    <n v="13"/>
    <n v="190"/>
    <n v="47500"/>
    <n v="7125"/>
    <s v="Novembro"/>
    <s v="Usa"/>
    <s v="Emily White"/>
  </r>
  <r>
    <n v="11043"/>
    <x v="2"/>
    <x v="10"/>
    <x v="1042"/>
    <x v="2"/>
    <x v="0"/>
    <x v="1"/>
    <n v="3"/>
    <n v="33"/>
    <n v="16500"/>
    <n v="6435"/>
    <s v="Novembro"/>
    <s v="Australia"/>
    <s v="Emily White"/>
  </r>
  <r>
    <n v="11044"/>
    <x v="2"/>
    <x v="10"/>
    <x v="1043"/>
    <x v="3"/>
    <x v="2"/>
    <x v="1"/>
    <n v="30"/>
    <n v="433"/>
    <n v="216500"/>
    <n v="43300"/>
    <s v="Novembro"/>
    <s v="New Zealand"/>
    <s v="Jane Doe"/>
  </r>
  <r>
    <n v="11045"/>
    <x v="2"/>
    <x v="10"/>
    <x v="1044"/>
    <x v="4"/>
    <x v="3"/>
    <x v="3"/>
    <n v="26"/>
    <n v="365"/>
    <n v="310250"/>
    <n v="111690"/>
    <s v="Novembro"/>
    <s v="Uk"/>
    <s v="John Smith"/>
  </r>
  <r>
    <n v="11046"/>
    <x v="2"/>
    <x v="10"/>
    <x v="1045"/>
    <x v="0"/>
    <x v="3"/>
    <x v="4"/>
    <n v="42"/>
    <n v="482"/>
    <n v="168700"/>
    <n v="48923"/>
    <s v="Novembro"/>
    <s v="Usa"/>
    <s v="John Smith"/>
  </r>
  <r>
    <n v="11047"/>
    <x v="2"/>
    <x v="10"/>
    <x v="1046"/>
    <x v="3"/>
    <x v="4"/>
    <x v="0"/>
    <n v="17"/>
    <n v="446"/>
    <n v="334500"/>
    <n v="53520"/>
    <s v="Novembro"/>
    <s v="New Zealand"/>
    <s v="Liam Lee"/>
  </r>
  <r>
    <n v="11048"/>
    <x v="2"/>
    <x v="10"/>
    <x v="1047"/>
    <x v="0"/>
    <x v="4"/>
    <x v="0"/>
    <n v="6"/>
    <n v="63"/>
    <n v="47250"/>
    <n v="9922.5"/>
    <s v="Novembro"/>
    <s v="Usa"/>
    <s v="Liam Lee"/>
  </r>
  <r>
    <n v="11049"/>
    <x v="2"/>
    <x v="10"/>
    <x v="1048"/>
    <x v="2"/>
    <x v="2"/>
    <x v="3"/>
    <n v="1"/>
    <n v="48"/>
    <n v="40800"/>
    <n v="17952"/>
    <s v="Novembro"/>
    <s v="Australia"/>
    <s v="Jane Doe"/>
  </r>
  <r>
    <n v="11050"/>
    <x v="2"/>
    <x v="10"/>
    <x v="1049"/>
    <x v="1"/>
    <x v="2"/>
    <x v="0"/>
    <n v="10"/>
    <n v="114"/>
    <n v="85500"/>
    <n v="24795"/>
    <s v="Novembro"/>
    <s v="Canada"/>
    <s v="Jane Doe"/>
  </r>
  <r>
    <n v="11051"/>
    <x v="2"/>
    <x v="10"/>
    <x v="1050"/>
    <x v="1"/>
    <x v="2"/>
    <x v="4"/>
    <n v="19"/>
    <n v="498"/>
    <n v="174300"/>
    <n v="47061"/>
    <s v="Novembro"/>
    <s v="Canada"/>
    <s v="Jane Doe"/>
  </r>
  <r>
    <n v="11052"/>
    <x v="2"/>
    <x v="10"/>
    <x v="1051"/>
    <x v="0"/>
    <x v="1"/>
    <x v="2"/>
    <n v="22"/>
    <n v="305"/>
    <n v="76250"/>
    <n v="21350.000000000004"/>
    <s v="Novembro"/>
    <s v="Usa"/>
    <s v="James Brown"/>
  </r>
  <r>
    <n v="11053"/>
    <x v="2"/>
    <x v="10"/>
    <x v="1052"/>
    <x v="2"/>
    <x v="3"/>
    <x v="3"/>
    <n v="6"/>
    <n v="207"/>
    <n v="175950"/>
    <n v="21114"/>
    <s v="Novembro"/>
    <s v="Australia"/>
    <s v="John Smith"/>
  </r>
  <r>
    <n v="11054"/>
    <x v="2"/>
    <x v="10"/>
    <x v="1053"/>
    <x v="1"/>
    <x v="4"/>
    <x v="0"/>
    <n v="10"/>
    <n v="144"/>
    <n v="108000"/>
    <n v="12960"/>
    <s v="Novembro"/>
    <s v="Canada"/>
    <s v="Liam Lee"/>
  </r>
  <r>
    <n v="11055"/>
    <x v="2"/>
    <x v="10"/>
    <x v="1054"/>
    <x v="2"/>
    <x v="0"/>
    <x v="2"/>
    <n v="40"/>
    <n v="409"/>
    <n v="102250"/>
    <n v="30675"/>
    <s v="Novembro"/>
    <s v="Australia"/>
    <s v="Emily White"/>
  </r>
  <r>
    <n v="11056"/>
    <x v="2"/>
    <x v="10"/>
    <x v="1055"/>
    <x v="3"/>
    <x v="3"/>
    <x v="2"/>
    <n v="1"/>
    <n v="21"/>
    <n v="5250"/>
    <n v="2100"/>
    <s v="Novembro"/>
    <s v="New Zealand"/>
    <s v="John Smith"/>
  </r>
  <r>
    <n v="11057"/>
    <x v="2"/>
    <x v="10"/>
    <x v="1056"/>
    <x v="4"/>
    <x v="0"/>
    <x v="1"/>
    <n v="1"/>
    <n v="59"/>
    <n v="29500"/>
    <n v="10620"/>
    <s v="Novembro"/>
    <s v="Uk"/>
    <s v="Emily White"/>
  </r>
  <r>
    <n v="11058"/>
    <x v="2"/>
    <x v="10"/>
    <x v="1057"/>
    <x v="0"/>
    <x v="1"/>
    <x v="3"/>
    <n v="35"/>
    <n v="486"/>
    <n v="413100"/>
    <n v="82620"/>
    <s v="Novembro"/>
    <s v="Usa"/>
    <s v="James Brown"/>
  </r>
  <r>
    <n v="11059"/>
    <x v="2"/>
    <x v="10"/>
    <x v="1058"/>
    <x v="4"/>
    <x v="4"/>
    <x v="3"/>
    <n v="15"/>
    <n v="346"/>
    <n v="294100"/>
    <n v="79407"/>
    <s v="Novembro"/>
    <s v="Uk"/>
    <s v="Liam Lee"/>
  </r>
  <r>
    <n v="11060"/>
    <x v="2"/>
    <x v="10"/>
    <x v="1059"/>
    <x v="1"/>
    <x v="3"/>
    <x v="4"/>
    <n v="18"/>
    <n v="465"/>
    <n v="162750"/>
    <n v="42315"/>
    <s v="Novembro"/>
    <s v="Canada"/>
    <s v="John Smith"/>
  </r>
  <r>
    <n v="11061"/>
    <x v="2"/>
    <x v="10"/>
    <x v="1060"/>
    <x v="0"/>
    <x v="3"/>
    <x v="2"/>
    <n v="10"/>
    <n v="249"/>
    <n v="62250"/>
    <n v="28012.5"/>
    <s v="Novembro"/>
    <s v="Usa"/>
    <s v="John Smith"/>
  </r>
  <r>
    <n v="11062"/>
    <x v="2"/>
    <x v="10"/>
    <x v="1061"/>
    <x v="0"/>
    <x v="1"/>
    <x v="2"/>
    <n v="15"/>
    <n v="385"/>
    <n v="96250"/>
    <n v="43312.5"/>
    <s v="Novembro"/>
    <s v="Usa"/>
    <s v="James Brown"/>
  </r>
  <r>
    <n v="11063"/>
    <x v="2"/>
    <x v="10"/>
    <x v="1062"/>
    <x v="4"/>
    <x v="2"/>
    <x v="4"/>
    <n v="37"/>
    <n v="392"/>
    <n v="137200"/>
    <n v="19208.000000000004"/>
    <s v="Novembro"/>
    <s v="Uk"/>
    <s v="Jane Doe"/>
  </r>
  <r>
    <n v="11064"/>
    <x v="2"/>
    <x v="10"/>
    <x v="1063"/>
    <x v="1"/>
    <x v="0"/>
    <x v="3"/>
    <n v="18"/>
    <n v="187"/>
    <n v="158950"/>
    <n v="22253.000000000004"/>
    <s v="Novembro"/>
    <s v="Canada"/>
    <s v="Emily White"/>
  </r>
  <r>
    <n v="11065"/>
    <x v="2"/>
    <x v="10"/>
    <x v="1064"/>
    <x v="1"/>
    <x v="1"/>
    <x v="1"/>
    <n v="22"/>
    <n v="406"/>
    <n v="203000"/>
    <n v="46690"/>
    <s v="Novembro"/>
    <s v="Canada"/>
    <s v="James Brown"/>
  </r>
  <r>
    <n v="11066"/>
    <x v="2"/>
    <x v="11"/>
    <x v="1065"/>
    <x v="2"/>
    <x v="3"/>
    <x v="0"/>
    <n v="6"/>
    <n v="74"/>
    <n v="55500"/>
    <n v="17205"/>
    <s v="Dezembro"/>
    <s v="Australia"/>
    <s v="John Smith"/>
  </r>
  <r>
    <n v="11067"/>
    <x v="2"/>
    <x v="11"/>
    <x v="1066"/>
    <x v="2"/>
    <x v="2"/>
    <x v="4"/>
    <n v="13"/>
    <n v="222"/>
    <n v="77700"/>
    <n v="13209.000000000002"/>
    <s v="Dezembro"/>
    <s v="Australia"/>
    <s v="Jane Doe"/>
  </r>
  <r>
    <n v="11068"/>
    <x v="2"/>
    <x v="11"/>
    <x v="1067"/>
    <x v="2"/>
    <x v="1"/>
    <x v="1"/>
    <n v="6"/>
    <n v="423"/>
    <n v="211500"/>
    <n v="82485"/>
    <s v="Dezembro"/>
    <s v="Australia"/>
    <s v="James Brown"/>
  </r>
  <r>
    <n v="11069"/>
    <x v="2"/>
    <x v="11"/>
    <x v="1068"/>
    <x v="3"/>
    <x v="4"/>
    <x v="2"/>
    <n v="1"/>
    <n v="11"/>
    <n v="2750"/>
    <n v="385.00000000000006"/>
    <s v="Dezembro"/>
    <s v="New Zealand"/>
    <s v="Liam Lee"/>
  </r>
  <r>
    <n v="11070"/>
    <x v="2"/>
    <x v="11"/>
    <x v="1069"/>
    <x v="1"/>
    <x v="2"/>
    <x v="4"/>
    <n v="7"/>
    <n v="377"/>
    <n v="131950"/>
    <n v="36946"/>
    <s v="Dezembro"/>
    <s v="Canada"/>
    <s v="Jane Doe"/>
  </r>
  <r>
    <n v="11071"/>
    <x v="2"/>
    <x v="11"/>
    <x v="1070"/>
    <x v="2"/>
    <x v="0"/>
    <x v="1"/>
    <n v="11"/>
    <n v="264"/>
    <n v="132000"/>
    <n v="30360"/>
    <s v="Dezembro"/>
    <s v="Australia"/>
    <s v="Emily White"/>
  </r>
  <r>
    <n v="11072"/>
    <x v="2"/>
    <x v="11"/>
    <x v="1071"/>
    <x v="2"/>
    <x v="3"/>
    <x v="3"/>
    <n v="7"/>
    <n v="183"/>
    <n v="155550"/>
    <n v="69997.5"/>
    <s v="Dezembro"/>
    <s v="Australia"/>
    <s v="John Smith"/>
  </r>
  <r>
    <n v="11073"/>
    <x v="2"/>
    <x v="11"/>
    <x v="1072"/>
    <x v="4"/>
    <x v="4"/>
    <x v="4"/>
    <n v="11"/>
    <n v="144"/>
    <n v="50400"/>
    <n v="7056.0000000000009"/>
    <s v="Dezembro"/>
    <s v="Uk"/>
    <s v="Liam Lee"/>
  </r>
  <r>
    <n v="11074"/>
    <x v="2"/>
    <x v="11"/>
    <x v="1073"/>
    <x v="2"/>
    <x v="0"/>
    <x v="4"/>
    <n v="18"/>
    <n v="260"/>
    <n v="91000"/>
    <n v="39130"/>
    <s v="Dezembro"/>
    <s v="Australia"/>
    <s v="Emily White"/>
  </r>
  <r>
    <n v="11075"/>
    <x v="2"/>
    <x v="11"/>
    <x v="1074"/>
    <x v="2"/>
    <x v="2"/>
    <x v="2"/>
    <n v="25"/>
    <n v="499"/>
    <n v="124750"/>
    <n v="12475"/>
    <s v="Dezembro"/>
    <s v="Australia"/>
    <s v="Jane Doe"/>
  </r>
  <r>
    <n v="11076"/>
    <x v="2"/>
    <x v="11"/>
    <x v="1075"/>
    <x v="1"/>
    <x v="0"/>
    <x v="4"/>
    <n v="29"/>
    <n v="358"/>
    <n v="125300"/>
    <n v="21301"/>
    <s v="Dezembro"/>
    <s v="Canada"/>
    <s v="Emily White"/>
  </r>
  <r>
    <n v="11077"/>
    <x v="2"/>
    <x v="11"/>
    <x v="1076"/>
    <x v="0"/>
    <x v="2"/>
    <x v="2"/>
    <n v="14"/>
    <n v="490"/>
    <n v="122500"/>
    <n v="53900"/>
    <s v="Dezembro"/>
    <s v="Usa"/>
    <s v="Jane Doe"/>
  </r>
  <r>
    <n v="11078"/>
    <x v="2"/>
    <x v="11"/>
    <x v="1077"/>
    <x v="2"/>
    <x v="2"/>
    <x v="2"/>
    <n v="7"/>
    <n v="92"/>
    <n v="23000"/>
    <n v="5750"/>
    <s v="Dezembro"/>
    <s v="Australia"/>
    <s v="Jane Doe"/>
  </r>
  <r>
    <n v="11079"/>
    <x v="2"/>
    <x v="11"/>
    <x v="1078"/>
    <x v="2"/>
    <x v="3"/>
    <x v="3"/>
    <n v="29"/>
    <n v="366"/>
    <n v="311100"/>
    <n v="83997"/>
    <s v="Dezembro"/>
    <s v="Australia"/>
    <s v="John Smith"/>
  </r>
  <r>
    <n v="11080"/>
    <x v="2"/>
    <x v="11"/>
    <x v="1079"/>
    <x v="3"/>
    <x v="0"/>
    <x v="1"/>
    <n v="13"/>
    <n v="225"/>
    <n v="112500"/>
    <n v="32624.999999999996"/>
    <s v="Dezembro"/>
    <s v="New Zealand"/>
    <s v="Emily White"/>
  </r>
  <r>
    <n v="11081"/>
    <x v="2"/>
    <x v="11"/>
    <x v="1080"/>
    <x v="1"/>
    <x v="2"/>
    <x v="4"/>
    <n v="24"/>
    <n v="340"/>
    <n v="119000"/>
    <n v="26180"/>
    <s v="Dezembro"/>
    <s v="Canada"/>
    <s v="Jane Doe"/>
  </r>
  <r>
    <n v="11082"/>
    <x v="2"/>
    <x v="11"/>
    <x v="1081"/>
    <x v="0"/>
    <x v="1"/>
    <x v="0"/>
    <n v="37"/>
    <n v="416"/>
    <n v="312000"/>
    <n v="102960"/>
    <s v="Dezembro"/>
    <s v="Usa"/>
    <s v="James Brown"/>
  </r>
  <r>
    <n v="11083"/>
    <x v="2"/>
    <x v="11"/>
    <x v="1082"/>
    <x v="1"/>
    <x v="0"/>
    <x v="3"/>
    <n v="7"/>
    <n v="166"/>
    <n v="141100"/>
    <n v="35275"/>
    <s v="Dezembro"/>
    <s v="Canada"/>
    <s v="Emily White"/>
  </r>
  <r>
    <n v="11084"/>
    <x v="2"/>
    <x v="11"/>
    <x v="1083"/>
    <x v="3"/>
    <x v="2"/>
    <x v="2"/>
    <n v="12"/>
    <n v="196"/>
    <n v="49000"/>
    <n v="19600"/>
    <s v="Dezembro"/>
    <s v="New Zealand"/>
    <s v="Jane Doe"/>
  </r>
  <r>
    <n v="11085"/>
    <x v="2"/>
    <x v="11"/>
    <x v="1084"/>
    <x v="1"/>
    <x v="1"/>
    <x v="2"/>
    <n v="3"/>
    <n v="51"/>
    <n v="12750"/>
    <n v="1785.0000000000002"/>
    <s v="Dezembro"/>
    <s v="Canada"/>
    <s v="James Brown"/>
  </r>
  <r>
    <n v="11086"/>
    <x v="2"/>
    <x v="11"/>
    <x v="1085"/>
    <x v="4"/>
    <x v="3"/>
    <x v="4"/>
    <n v="9"/>
    <n v="333"/>
    <n v="116550"/>
    <n v="26806.5"/>
    <s v="Dezembro"/>
    <s v="Uk"/>
    <s v="John Smith"/>
  </r>
  <r>
    <n v="11087"/>
    <x v="2"/>
    <x v="11"/>
    <x v="1086"/>
    <x v="1"/>
    <x v="0"/>
    <x v="4"/>
    <n v="5"/>
    <n v="182"/>
    <n v="63700"/>
    <n v="10192"/>
    <s v="Dezembro"/>
    <s v="Canada"/>
    <s v="Emily White"/>
  </r>
  <r>
    <n v="11088"/>
    <x v="2"/>
    <x v="11"/>
    <x v="1087"/>
    <x v="3"/>
    <x v="3"/>
    <x v="1"/>
    <n v="15"/>
    <n v="348"/>
    <n v="174000"/>
    <n v="53940"/>
    <s v="Dezembro"/>
    <s v="New Zealand"/>
    <s v="John Smith"/>
  </r>
  <r>
    <n v="11089"/>
    <x v="2"/>
    <x v="11"/>
    <x v="1088"/>
    <x v="2"/>
    <x v="3"/>
    <x v="3"/>
    <n v="5"/>
    <n v="89"/>
    <n v="75650"/>
    <n v="17399.5"/>
    <s v="Dezembro"/>
    <s v="Australia"/>
    <s v="John Smith"/>
  </r>
  <r>
    <n v="11090"/>
    <x v="2"/>
    <x v="11"/>
    <x v="1089"/>
    <x v="0"/>
    <x v="0"/>
    <x v="4"/>
    <n v="4"/>
    <n v="143"/>
    <n v="50050"/>
    <n v="19019"/>
    <s v="Dezembro"/>
    <s v="Usa"/>
    <s v="Emily White"/>
  </r>
  <r>
    <n v="11091"/>
    <x v="2"/>
    <x v="11"/>
    <x v="1090"/>
    <x v="1"/>
    <x v="4"/>
    <x v="1"/>
    <n v="1"/>
    <n v="60"/>
    <n v="30000"/>
    <n v="12900"/>
    <s v="Dezembro"/>
    <s v="Canada"/>
    <s v="Liam Lee"/>
  </r>
  <r>
    <n v="11092"/>
    <x v="2"/>
    <x v="11"/>
    <x v="1091"/>
    <x v="2"/>
    <x v="1"/>
    <x v="2"/>
    <n v="21"/>
    <n v="416"/>
    <n v="104000"/>
    <n v="37440"/>
    <s v="Dezembro"/>
    <s v="Australia"/>
    <s v="James Brown"/>
  </r>
  <r>
    <n v="11093"/>
    <x v="2"/>
    <x v="11"/>
    <x v="1092"/>
    <x v="4"/>
    <x v="1"/>
    <x v="1"/>
    <n v="7"/>
    <n v="91"/>
    <n v="45500"/>
    <n v="9100"/>
    <s v="Dezembro"/>
    <s v="Uk"/>
    <s v="James Brown"/>
  </r>
  <r>
    <n v="11094"/>
    <x v="2"/>
    <x v="11"/>
    <x v="1093"/>
    <x v="1"/>
    <x v="4"/>
    <x v="3"/>
    <n v="9"/>
    <n v="92"/>
    <n v="78200"/>
    <n v="17986"/>
    <s v="Dezembro"/>
    <s v="Canada"/>
    <s v="Liam Lee"/>
  </r>
  <r>
    <n v="11095"/>
    <x v="2"/>
    <x v="11"/>
    <x v="1094"/>
    <x v="3"/>
    <x v="0"/>
    <x v="4"/>
    <n v="5"/>
    <n v="249"/>
    <n v="87150"/>
    <n v="34860"/>
    <s v="Dezembro"/>
    <s v="New Zealand"/>
    <s v="Emily White"/>
  </r>
  <r>
    <n v="11096"/>
    <x v="2"/>
    <x v="11"/>
    <x v="1095"/>
    <x v="3"/>
    <x v="1"/>
    <x v="0"/>
    <n v="12"/>
    <n v="435"/>
    <n v="326250"/>
    <n v="114187.5"/>
    <s v="Dezembro"/>
    <s v="New Zealand"/>
    <s v="James Brown"/>
  </r>
  <r>
    <n v="11097"/>
    <x v="3"/>
    <x v="0"/>
    <x v="1096"/>
    <x v="0"/>
    <x v="4"/>
    <x v="1"/>
    <n v="3"/>
    <n v="235"/>
    <n v="117500"/>
    <n v="28200"/>
    <s v="Janeiro"/>
    <s v="Usa"/>
    <s v="Liam Lee"/>
  </r>
  <r>
    <n v="11098"/>
    <x v="3"/>
    <x v="0"/>
    <x v="1097"/>
    <x v="2"/>
    <x v="0"/>
    <x v="0"/>
    <n v="12"/>
    <n v="175"/>
    <n v="131250"/>
    <n v="59062.5"/>
    <s v="Janeiro"/>
    <s v="Australia"/>
    <s v="Emily White"/>
  </r>
  <r>
    <n v="11099"/>
    <x v="3"/>
    <x v="0"/>
    <x v="1098"/>
    <x v="0"/>
    <x v="4"/>
    <x v="4"/>
    <n v="23"/>
    <n v="266"/>
    <n v="93100"/>
    <n v="29792"/>
    <s v="Janeiro"/>
    <s v="Usa"/>
    <s v="Liam Lee"/>
  </r>
  <r>
    <n v="11100"/>
    <x v="3"/>
    <x v="0"/>
    <x v="1099"/>
    <x v="4"/>
    <x v="2"/>
    <x v="2"/>
    <n v="32"/>
    <n v="499"/>
    <n v="124750"/>
    <n v="23702.5"/>
    <s v="Janeiro"/>
    <s v="Uk"/>
    <s v="Jane Doe"/>
  </r>
  <r>
    <n v="11101"/>
    <x v="3"/>
    <x v="0"/>
    <x v="1100"/>
    <x v="4"/>
    <x v="1"/>
    <x v="1"/>
    <n v="4"/>
    <n v="66"/>
    <n v="33000"/>
    <n v="8910"/>
    <s v="Janeiro"/>
    <s v="Uk"/>
    <s v="James Brown"/>
  </r>
  <r>
    <n v="11102"/>
    <x v="3"/>
    <x v="0"/>
    <x v="1101"/>
    <x v="3"/>
    <x v="2"/>
    <x v="2"/>
    <n v="38"/>
    <n v="437"/>
    <n v="109250"/>
    <n v="33867.5"/>
    <s v="Janeiro"/>
    <s v="New Zealand"/>
    <s v="Jane Doe"/>
  </r>
  <r>
    <n v="11103"/>
    <x v="3"/>
    <x v="0"/>
    <x v="1102"/>
    <x v="3"/>
    <x v="4"/>
    <x v="1"/>
    <n v="31"/>
    <n v="422"/>
    <n v="211000"/>
    <n v="90730"/>
    <s v="Janeiro"/>
    <s v="New Zealand"/>
    <s v="Liam Lee"/>
  </r>
  <r>
    <n v="11104"/>
    <x v="3"/>
    <x v="0"/>
    <x v="1103"/>
    <x v="1"/>
    <x v="0"/>
    <x v="2"/>
    <n v="18"/>
    <n v="373"/>
    <n v="93250"/>
    <n v="12122.5"/>
    <s v="Janeiro"/>
    <s v="Canada"/>
    <s v="Emily White"/>
  </r>
  <r>
    <n v="11105"/>
    <x v="3"/>
    <x v="0"/>
    <x v="1104"/>
    <x v="3"/>
    <x v="4"/>
    <x v="3"/>
    <n v="39"/>
    <n v="456"/>
    <n v="387600"/>
    <n v="155040"/>
    <s v="Janeiro"/>
    <s v="New Zealand"/>
    <s v="Liam Lee"/>
  </r>
  <r>
    <n v="11106"/>
    <x v="3"/>
    <x v="0"/>
    <x v="1105"/>
    <x v="0"/>
    <x v="4"/>
    <x v="1"/>
    <n v="11"/>
    <n v="125"/>
    <n v="62500"/>
    <n v="20000"/>
    <s v="Janeiro"/>
    <s v="Usa"/>
    <s v="Liam Lee"/>
  </r>
  <r>
    <n v="11107"/>
    <x v="3"/>
    <x v="0"/>
    <x v="1106"/>
    <x v="2"/>
    <x v="3"/>
    <x v="2"/>
    <n v="12"/>
    <n v="396"/>
    <n v="99000"/>
    <n v="30690"/>
    <s v="Janeiro"/>
    <s v="Australia"/>
    <s v="John Smith"/>
  </r>
  <r>
    <n v="11108"/>
    <x v="3"/>
    <x v="0"/>
    <x v="1107"/>
    <x v="2"/>
    <x v="3"/>
    <x v="3"/>
    <n v="46"/>
    <n v="462"/>
    <n v="392700"/>
    <n v="153153"/>
    <s v="Janeiro"/>
    <s v="Australia"/>
    <s v="John Smith"/>
  </r>
  <r>
    <n v="11109"/>
    <x v="3"/>
    <x v="0"/>
    <x v="1108"/>
    <x v="2"/>
    <x v="3"/>
    <x v="1"/>
    <n v="9"/>
    <n v="99"/>
    <n v="49500"/>
    <n v="17325"/>
    <s v="Janeiro"/>
    <s v="Australia"/>
    <s v="John Smith"/>
  </r>
  <r>
    <n v="11110"/>
    <x v="3"/>
    <x v="0"/>
    <x v="1109"/>
    <x v="2"/>
    <x v="0"/>
    <x v="1"/>
    <n v="6"/>
    <n v="173"/>
    <n v="86500"/>
    <n v="19030"/>
    <s v="Janeiro"/>
    <s v="Australia"/>
    <s v="Emily White"/>
  </r>
  <r>
    <n v="11111"/>
    <x v="3"/>
    <x v="0"/>
    <x v="1110"/>
    <x v="0"/>
    <x v="4"/>
    <x v="4"/>
    <n v="10"/>
    <n v="252"/>
    <n v="88200"/>
    <n v="22932"/>
    <s v="Janeiro"/>
    <s v="Usa"/>
    <s v="Liam Lee"/>
  </r>
  <r>
    <n v="11112"/>
    <x v="3"/>
    <x v="0"/>
    <x v="1111"/>
    <x v="2"/>
    <x v="4"/>
    <x v="3"/>
    <n v="35"/>
    <n v="391"/>
    <n v="332350"/>
    <n v="136263.5"/>
    <s v="Janeiro"/>
    <s v="Australia"/>
    <s v="Liam Lee"/>
  </r>
  <r>
    <n v="11113"/>
    <x v="3"/>
    <x v="0"/>
    <x v="1112"/>
    <x v="2"/>
    <x v="1"/>
    <x v="1"/>
    <n v="6"/>
    <n v="111"/>
    <n v="55500"/>
    <n v="20535"/>
    <s v="Janeiro"/>
    <s v="Australia"/>
    <s v="James Brown"/>
  </r>
  <r>
    <n v="11114"/>
    <x v="3"/>
    <x v="0"/>
    <x v="1113"/>
    <x v="4"/>
    <x v="1"/>
    <x v="0"/>
    <n v="36"/>
    <n v="466"/>
    <n v="349500"/>
    <n v="52425"/>
    <s v="Janeiro"/>
    <s v="Uk"/>
    <s v="James Brown"/>
  </r>
  <r>
    <n v="11115"/>
    <x v="3"/>
    <x v="0"/>
    <x v="1114"/>
    <x v="0"/>
    <x v="4"/>
    <x v="3"/>
    <n v="2"/>
    <n v="34"/>
    <n v="28900"/>
    <n v="5780"/>
    <s v="Janeiro"/>
    <s v="Usa"/>
    <s v="Liam Lee"/>
  </r>
  <r>
    <n v="11116"/>
    <x v="3"/>
    <x v="0"/>
    <x v="1115"/>
    <x v="2"/>
    <x v="4"/>
    <x v="0"/>
    <n v="8"/>
    <n v="120"/>
    <n v="90000"/>
    <n v="12600.000000000002"/>
    <s v="Janeiro"/>
    <s v="Australia"/>
    <s v="Liam Lee"/>
  </r>
  <r>
    <n v="11117"/>
    <x v="3"/>
    <x v="0"/>
    <x v="1116"/>
    <x v="3"/>
    <x v="4"/>
    <x v="2"/>
    <n v="7"/>
    <n v="325"/>
    <n v="81250"/>
    <n v="26000"/>
    <s v="Janeiro"/>
    <s v="New Zealand"/>
    <s v="Liam Lee"/>
  </r>
  <r>
    <n v="11118"/>
    <x v="3"/>
    <x v="0"/>
    <x v="1117"/>
    <x v="1"/>
    <x v="2"/>
    <x v="3"/>
    <n v="15"/>
    <n v="348"/>
    <n v="295800"/>
    <n v="106488"/>
    <s v="Janeiro"/>
    <s v="Canada"/>
    <s v="Jane Doe"/>
  </r>
  <r>
    <n v="11119"/>
    <x v="3"/>
    <x v="0"/>
    <x v="1118"/>
    <x v="3"/>
    <x v="0"/>
    <x v="3"/>
    <n v="22"/>
    <n v="309"/>
    <n v="262650"/>
    <n v="76168.5"/>
    <s v="Janeiro"/>
    <s v="New Zealand"/>
    <s v="Emily White"/>
  </r>
  <r>
    <n v="11120"/>
    <x v="3"/>
    <x v="0"/>
    <x v="1119"/>
    <x v="3"/>
    <x v="2"/>
    <x v="3"/>
    <n v="5"/>
    <n v="205"/>
    <n v="174250"/>
    <n v="67957.5"/>
    <s v="Janeiro"/>
    <s v="New Zealand"/>
    <s v="Jane Doe"/>
  </r>
  <r>
    <n v="11121"/>
    <x v="3"/>
    <x v="0"/>
    <x v="1120"/>
    <x v="4"/>
    <x v="0"/>
    <x v="0"/>
    <n v="26"/>
    <n v="335"/>
    <n v="251250"/>
    <n v="82912.5"/>
    <s v="Janeiro"/>
    <s v="Uk"/>
    <s v="Emily White"/>
  </r>
  <r>
    <n v="11122"/>
    <x v="3"/>
    <x v="0"/>
    <x v="1121"/>
    <x v="4"/>
    <x v="1"/>
    <x v="0"/>
    <n v="27"/>
    <n v="349"/>
    <n v="261750"/>
    <n v="88995"/>
    <s v="Janeiro"/>
    <s v="Uk"/>
    <s v="James Brown"/>
  </r>
  <r>
    <n v="11123"/>
    <x v="3"/>
    <x v="0"/>
    <x v="1122"/>
    <x v="4"/>
    <x v="2"/>
    <x v="1"/>
    <n v="14"/>
    <n v="222"/>
    <n v="111000"/>
    <n v="47730"/>
    <s v="Janeiro"/>
    <s v="Uk"/>
    <s v="Jane Doe"/>
  </r>
  <r>
    <n v="11124"/>
    <x v="3"/>
    <x v="0"/>
    <x v="1123"/>
    <x v="3"/>
    <x v="1"/>
    <x v="1"/>
    <n v="31"/>
    <n v="395"/>
    <n v="197500"/>
    <n v="21725"/>
    <s v="Janeiro"/>
    <s v="New Zealand"/>
    <s v="James Brown"/>
  </r>
  <r>
    <n v="11125"/>
    <x v="3"/>
    <x v="0"/>
    <x v="1124"/>
    <x v="1"/>
    <x v="4"/>
    <x v="3"/>
    <n v="12"/>
    <n v="342"/>
    <n v="290700"/>
    <n v="58140"/>
    <s v="Janeiro"/>
    <s v="Canada"/>
    <s v="Liam Lee"/>
  </r>
  <r>
    <n v="11126"/>
    <x v="3"/>
    <x v="0"/>
    <x v="1125"/>
    <x v="3"/>
    <x v="4"/>
    <x v="0"/>
    <n v="4"/>
    <n v="203"/>
    <n v="152250"/>
    <n v="36540"/>
    <s v="Janeiro"/>
    <s v="New Zealand"/>
    <s v="Liam Lee"/>
  </r>
  <r>
    <n v="11127"/>
    <x v="3"/>
    <x v="0"/>
    <x v="1126"/>
    <x v="2"/>
    <x v="3"/>
    <x v="2"/>
    <n v="38"/>
    <n v="387"/>
    <n v="96750"/>
    <n v="22252.5"/>
    <s v="Janeiro"/>
    <s v="Australia"/>
    <s v="John Smith"/>
  </r>
  <r>
    <n v="11128"/>
    <x v="3"/>
    <x v="1"/>
    <x v="1127"/>
    <x v="0"/>
    <x v="0"/>
    <x v="0"/>
    <n v="38"/>
    <n v="466"/>
    <n v="349500"/>
    <n v="146790"/>
    <s v="Fevereiro"/>
    <s v="Usa"/>
    <s v="Emily White"/>
  </r>
  <r>
    <n v="11129"/>
    <x v="3"/>
    <x v="1"/>
    <x v="1128"/>
    <x v="3"/>
    <x v="4"/>
    <x v="0"/>
    <n v="1"/>
    <n v="37"/>
    <n v="27750"/>
    <n v="7492.5000000000009"/>
    <s v="Fevereiro"/>
    <s v="New Zealand"/>
    <s v="Liam Lee"/>
  </r>
  <r>
    <n v="11130"/>
    <x v="3"/>
    <x v="1"/>
    <x v="1129"/>
    <x v="3"/>
    <x v="0"/>
    <x v="0"/>
    <n v="17"/>
    <n v="423"/>
    <n v="317250"/>
    <n v="66622.5"/>
    <s v="Fevereiro"/>
    <s v="New Zealand"/>
    <s v="Emily White"/>
  </r>
  <r>
    <n v="11131"/>
    <x v="3"/>
    <x v="1"/>
    <x v="1130"/>
    <x v="0"/>
    <x v="2"/>
    <x v="0"/>
    <n v="8"/>
    <n v="276"/>
    <n v="207000"/>
    <n v="26910"/>
    <s v="Fevereiro"/>
    <s v="Usa"/>
    <s v="Jane Doe"/>
  </r>
  <r>
    <n v="11132"/>
    <x v="3"/>
    <x v="1"/>
    <x v="1131"/>
    <x v="3"/>
    <x v="1"/>
    <x v="4"/>
    <n v="25"/>
    <n v="484"/>
    <n v="169400"/>
    <n v="47432.000000000007"/>
    <s v="Fevereiro"/>
    <s v="New Zealand"/>
    <s v="James Brown"/>
  </r>
  <r>
    <n v="11133"/>
    <x v="3"/>
    <x v="1"/>
    <x v="1132"/>
    <x v="3"/>
    <x v="2"/>
    <x v="2"/>
    <n v="6"/>
    <n v="178"/>
    <n v="44500"/>
    <n v="19135"/>
    <s v="Fevereiro"/>
    <s v="New Zealand"/>
    <s v="Jane Doe"/>
  </r>
  <r>
    <n v="11134"/>
    <x v="3"/>
    <x v="1"/>
    <x v="1133"/>
    <x v="4"/>
    <x v="1"/>
    <x v="1"/>
    <n v="10"/>
    <n v="163"/>
    <n v="81500"/>
    <n v="36675"/>
    <s v="Fevereiro"/>
    <s v="Uk"/>
    <s v="James Brown"/>
  </r>
  <r>
    <n v="11135"/>
    <x v="3"/>
    <x v="1"/>
    <x v="1134"/>
    <x v="4"/>
    <x v="4"/>
    <x v="0"/>
    <n v="6"/>
    <n v="86"/>
    <n v="64500"/>
    <n v="25155"/>
    <s v="Fevereiro"/>
    <s v="Uk"/>
    <s v="Liam Lee"/>
  </r>
  <r>
    <n v="11136"/>
    <x v="3"/>
    <x v="1"/>
    <x v="1135"/>
    <x v="2"/>
    <x v="2"/>
    <x v="3"/>
    <n v="18"/>
    <n v="199"/>
    <n v="169150"/>
    <n v="50745"/>
    <s v="Fevereiro"/>
    <s v="Australia"/>
    <s v="Jane Doe"/>
  </r>
  <r>
    <n v="11137"/>
    <x v="3"/>
    <x v="1"/>
    <x v="1136"/>
    <x v="2"/>
    <x v="2"/>
    <x v="1"/>
    <n v="9"/>
    <n v="113"/>
    <n v="56500"/>
    <n v="10170"/>
    <s v="Fevereiro"/>
    <s v="Australia"/>
    <s v="Jane Doe"/>
  </r>
  <r>
    <n v="11138"/>
    <x v="3"/>
    <x v="1"/>
    <x v="1137"/>
    <x v="4"/>
    <x v="2"/>
    <x v="2"/>
    <n v="19"/>
    <n v="213"/>
    <n v="53250"/>
    <n v="21300"/>
    <s v="Fevereiro"/>
    <s v="Uk"/>
    <s v="Jane Doe"/>
  </r>
  <r>
    <n v="11139"/>
    <x v="3"/>
    <x v="1"/>
    <x v="1138"/>
    <x v="3"/>
    <x v="2"/>
    <x v="3"/>
    <n v="10"/>
    <n v="195"/>
    <n v="165750"/>
    <n v="64642.5"/>
    <s v="Fevereiro"/>
    <s v="New Zealand"/>
    <s v="Jane Doe"/>
  </r>
  <r>
    <n v="11140"/>
    <x v="3"/>
    <x v="1"/>
    <x v="1139"/>
    <x v="2"/>
    <x v="1"/>
    <x v="1"/>
    <n v="7"/>
    <n v="141"/>
    <n v="70500"/>
    <n v="9870.0000000000018"/>
    <s v="Fevereiro"/>
    <s v="Australia"/>
    <s v="James Brown"/>
  </r>
  <r>
    <n v="11141"/>
    <x v="3"/>
    <x v="1"/>
    <x v="1140"/>
    <x v="0"/>
    <x v="3"/>
    <x v="2"/>
    <n v="49"/>
    <n v="493"/>
    <n v="123250"/>
    <n v="29580"/>
    <s v="Fevereiro"/>
    <s v="Usa"/>
    <s v="John Smith"/>
  </r>
  <r>
    <n v="11142"/>
    <x v="3"/>
    <x v="1"/>
    <x v="1141"/>
    <x v="2"/>
    <x v="1"/>
    <x v="1"/>
    <n v="19"/>
    <n v="194"/>
    <n v="97000"/>
    <n v="17460"/>
    <s v="Fevereiro"/>
    <s v="Australia"/>
    <s v="James Brown"/>
  </r>
  <r>
    <n v="11143"/>
    <x v="3"/>
    <x v="1"/>
    <x v="1142"/>
    <x v="3"/>
    <x v="1"/>
    <x v="1"/>
    <n v="18"/>
    <n v="432"/>
    <n v="216000"/>
    <n v="97200"/>
    <s v="Fevereiro"/>
    <s v="New Zealand"/>
    <s v="James Brown"/>
  </r>
  <r>
    <n v="11144"/>
    <x v="3"/>
    <x v="1"/>
    <x v="1143"/>
    <x v="4"/>
    <x v="4"/>
    <x v="1"/>
    <n v="16"/>
    <n v="215"/>
    <n v="107500"/>
    <n v="36550"/>
    <s v="Fevereiro"/>
    <s v="Uk"/>
    <s v="Liam Lee"/>
  </r>
  <r>
    <n v="11145"/>
    <x v="3"/>
    <x v="1"/>
    <x v="1144"/>
    <x v="3"/>
    <x v="0"/>
    <x v="2"/>
    <n v="21"/>
    <n v="301"/>
    <n v="75250"/>
    <n v="27842.5"/>
    <s v="Fevereiro"/>
    <s v="New Zealand"/>
    <s v="Emily White"/>
  </r>
  <r>
    <n v="11146"/>
    <x v="3"/>
    <x v="1"/>
    <x v="1145"/>
    <x v="1"/>
    <x v="3"/>
    <x v="3"/>
    <n v="13"/>
    <n v="132"/>
    <n v="112200"/>
    <n v="19074"/>
    <s v="Fevereiro"/>
    <s v="Canada"/>
    <s v="John Smith"/>
  </r>
  <r>
    <n v="11147"/>
    <x v="3"/>
    <x v="1"/>
    <x v="1146"/>
    <x v="4"/>
    <x v="4"/>
    <x v="1"/>
    <n v="2"/>
    <n v="26"/>
    <n v="13000"/>
    <n v="1430"/>
    <s v="Fevereiro"/>
    <s v="Uk"/>
    <s v="Liam Lee"/>
  </r>
  <r>
    <n v="11148"/>
    <x v="3"/>
    <x v="1"/>
    <x v="1147"/>
    <x v="0"/>
    <x v="2"/>
    <x v="4"/>
    <n v="1"/>
    <n v="89"/>
    <n v="31150"/>
    <n v="11525.5"/>
    <s v="Fevereiro"/>
    <s v="Usa"/>
    <s v="Jane Doe"/>
  </r>
  <r>
    <n v="11149"/>
    <x v="3"/>
    <x v="1"/>
    <x v="1148"/>
    <x v="2"/>
    <x v="1"/>
    <x v="4"/>
    <n v="36"/>
    <n v="433"/>
    <n v="151550"/>
    <n v="16670.5"/>
    <s v="Fevereiro"/>
    <s v="Australia"/>
    <s v="James Brown"/>
  </r>
  <r>
    <n v="11150"/>
    <x v="3"/>
    <x v="1"/>
    <x v="1149"/>
    <x v="0"/>
    <x v="1"/>
    <x v="0"/>
    <n v="5"/>
    <n v="85"/>
    <n v="63750"/>
    <n v="7012.5"/>
    <s v="Fevereiro"/>
    <s v="Usa"/>
    <s v="James Brown"/>
  </r>
  <r>
    <n v="11151"/>
    <x v="3"/>
    <x v="1"/>
    <x v="1150"/>
    <x v="2"/>
    <x v="4"/>
    <x v="1"/>
    <n v="11"/>
    <n v="227"/>
    <n v="113500"/>
    <n v="22700"/>
    <s v="Fevereiro"/>
    <s v="Australia"/>
    <s v="Liam Lee"/>
  </r>
  <r>
    <n v="11152"/>
    <x v="3"/>
    <x v="1"/>
    <x v="1151"/>
    <x v="2"/>
    <x v="1"/>
    <x v="1"/>
    <n v="16"/>
    <n v="267"/>
    <n v="133500"/>
    <n v="20025"/>
    <s v="Fevereiro"/>
    <s v="Australia"/>
    <s v="James Brown"/>
  </r>
  <r>
    <n v="11153"/>
    <x v="3"/>
    <x v="1"/>
    <x v="1152"/>
    <x v="4"/>
    <x v="4"/>
    <x v="3"/>
    <n v="3"/>
    <n v="30"/>
    <n v="25500"/>
    <n v="3825"/>
    <s v="Fevereiro"/>
    <s v="Uk"/>
    <s v="Liam Lee"/>
  </r>
  <r>
    <n v="11154"/>
    <x v="3"/>
    <x v="1"/>
    <x v="1153"/>
    <x v="1"/>
    <x v="3"/>
    <x v="4"/>
    <n v="12"/>
    <n v="334"/>
    <n v="116900"/>
    <n v="24549"/>
    <s v="Fevereiro"/>
    <s v="Canada"/>
    <s v="John Smith"/>
  </r>
  <r>
    <n v="11155"/>
    <x v="3"/>
    <x v="1"/>
    <x v="1154"/>
    <x v="2"/>
    <x v="3"/>
    <x v="1"/>
    <n v="34"/>
    <n v="472"/>
    <n v="236000"/>
    <n v="47200"/>
    <s v="Fevereiro"/>
    <s v="Australia"/>
    <s v="John Smith"/>
  </r>
  <r>
    <n v="11156"/>
    <x v="3"/>
    <x v="2"/>
    <x v="1155"/>
    <x v="2"/>
    <x v="2"/>
    <x v="1"/>
    <n v="28"/>
    <n v="350"/>
    <n v="175000"/>
    <n v="73500"/>
    <s v="Março"/>
    <s v="Australia"/>
    <s v="Jane Doe"/>
  </r>
  <r>
    <n v="11157"/>
    <x v="3"/>
    <x v="2"/>
    <x v="1156"/>
    <x v="0"/>
    <x v="3"/>
    <x v="0"/>
    <n v="32"/>
    <n v="483"/>
    <n v="362250"/>
    <n v="152145"/>
    <s v="Março"/>
    <s v="Usa"/>
    <s v="John Smith"/>
  </r>
  <r>
    <n v="11158"/>
    <x v="3"/>
    <x v="2"/>
    <x v="1157"/>
    <x v="2"/>
    <x v="3"/>
    <x v="0"/>
    <n v="23"/>
    <n v="398"/>
    <n v="298500"/>
    <n v="56715"/>
    <s v="Março"/>
    <s v="Australia"/>
    <s v="John Smith"/>
  </r>
  <r>
    <n v="11159"/>
    <x v="3"/>
    <x v="2"/>
    <x v="1158"/>
    <x v="0"/>
    <x v="2"/>
    <x v="4"/>
    <n v="28"/>
    <n v="495"/>
    <n v="173250"/>
    <n v="57172.5"/>
    <s v="Março"/>
    <s v="Usa"/>
    <s v="Jane Doe"/>
  </r>
  <r>
    <n v="11160"/>
    <x v="3"/>
    <x v="2"/>
    <x v="1159"/>
    <x v="0"/>
    <x v="2"/>
    <x v="4"/>
    <n v="7"/>
    <n v="100"/>
    <n v="35000"/>
    <n v="4900.0000000000009"/>
    <s v="Março"/>
    <s v="Usa"/>
    <s v="Jane Doe"/>
  </r>
  <r>
    <n v="11161"/>
    <x v="3"/>
    <x v="2"/>
    <x v="1160"/>
    <x v="3"/>
    <x v="2"/>
    <x v="0"/>
    <n v="24"/>
    <n v="404"/>
    <n v="303000"/>
    <n v="39390"/>
    <s v="Março"/>
    <s v="New Zealand"/>
    <s v="Jane Doe"/>
  </r>
  <r>
    <n v="11162"/>
    <x v="3"/>
    <x v="2"/>
    <x v="1161"/>
    <x v="2"/>
    <x v="4"/>
    <x v="1"/>
    <n v="13"/>
    <n v="423"/>
    <n v="211500"/>
    <n v="71910"/>
    <s v="Março"/>
    <s v="Australia"/>
    <s v="Liam Lee"/>
  </r>
  <r>
    <n v="11163"/>
    <x v="3"/>
    <x v="2"/>
    <x v="1162"/>
    <x v="4"/>
    <x v="2"/>
    <x v="1"/>
    <n v="3"/>
    <n v="165"/>
    <n v="82500"/>
    <n v="9900"/>
    <s v="Março"/>
    <s v="Uk"/>
    <s v="Jane Doe"/>
  </r>
  <r>
    <n v="11164"/>
    <x v="3"/>
    <x v="2"/>
    <x v="1163"/>
    <x v="2"/>
    <x v="0"/>
    <x v="2"/>
    <n v="20"/>
    <n v="409"/>
    <n v="102250"/>
    <n v="17382.5"/>
    <s v="Março"/>
    <s v="Australia"/>
    <s v="Emily White"/>
  </r>
  <r>
    <n v="11165"/>
    <x v="3"/>
    <x v="2"/>
    <x v="1164"/>
    <x v="3"/>
    <x v="1"/>
    <x v="4"/>
    <n v="3"/>
    <n v="249"/>
    <n v="87150"/>
    <n v="18301.5"/>
    <s v="Março"/>
    <s v="New Zealand"/>
    <s v="James Brown"/>
  </r>
  <r>
    <n v="11166"/>
    <x v="3"/>
    <x v="2"/>
    <x v="1165"/>
    <x v="4"/>
    <x v="0"/>
    <x v="0"/>
    <n v="27"/>
    <n v="405"/>
    <n v="303750"/>
    <n v="36450"/>
    <s v="Março"/>
    <s v="Uk"/>
    <s v="Emily White"/>
  </r>
  <r>
    <n v="11167"/>
    <x v="3"/>
    <x v="2"/>
    <x v="1166"/>
    <x v="3"/>
    <x v="1"/>
    <x v="4"/>
    <n v="4"/>
    <n v="231"/>
    <n v="80850"/>
    <n v="13744.500000000002"/>
    <s v="Março"/>
    <s v="New Zealand"/>
    <s v="James Brown"/>
  </r>
  <r>
    <n v="11168"/>
    <x v="3"/>
    <x v="2"/>
    <x v="1167"/>
    <x v="4"/>
    <x v="3"/>
    <x v="2"/>
    <n v="11"/>
    <n v="156"/>
    <n v="39000"/>
    <n v="15210"/>
    <s v="Março"/>
    <s v="Uk"/>
    <s v="John Smith"/>
  </r>
  <r>
    <n v="11169"/>
    <x v="3"/>
    <x v="2"/>
    <x v="1168"/>
    <x v="1"/>
    <x v="2"/>
    <x v="3"/>
    <n v="19"/>
    <n v="207"/>
    <n v="175950"/>
    <n v="66861"/>
    <s v="Março"/>
    <s v="Canada"/>
    <s v="Jane Doe"/>
  </r>
  <r>
    <n v="11170"/>
    <x v="3"/>
    <x v="2"/>
    <x v="1169"/>
    <x v="2"/>
    <x v="0"/>
    <x v="3"/>
    <n v="20"/>
    <n v="458"/>
    <n v="389300"/>
    <n v="140148"/>
    <s v="Março"/>
    <s v="Australia"/>
    <s v="Emily White"/>
  </r>
  <r>
    <n v="11171"/>
    <x v="3"/>
    <x v="2"/>
    <x v="1170"/>
    <x v="2"/>
    <x v="4"/>
    <x v="0"/>
    <n v="7"/>
    <n v="426"/>
    <n v="319500"/>
    <n v="67095"/>
    <s v="Março"/>
    <s v="Australia"/>
    <s v="Liam Lee"/>
  </r>
  <r>
    <n v="11172"/>
    <x v="3"/>
    <x v="2"/>
    <x v="1171"/>
    <x v="3"/>
    <x v="2"/>
    <x v="3"/>
    <n v="46"/>
    <n v="472"/>
    <n v="401200"/>
    <n v="152456"/>
    <s v="Março"/>
    <s v="New Zealand"/>
    <s v="Jane Doe"/>
  </r>
  <r>
    <n v="11173"/>
    <x v="3"/>
    <x v="2"/>
    <x v="1172"/>
    <x v="0"/>
    <x v="0"/>
    <x v="4"/>
    <n v="1"/>
    <n v="36"/>
    <n v="12600"/>
    <n v="2646"/>
    <s v="Março"/>
    <s v="Usa"/>
    <s v="Emily White"/>
  </r>
  <r>
    <n v="11174"/>
    <x v="3"/>
    <x v="2"/>
    <x v="1173"/>
    <x v="4"/>
    <x v="1"/>
    <x v="0"/>
    <n v="1"/>
    <n v="34"/>
    <n v="25500"/>
    <n v="9945"/>
    <s v="Março"/>
    <s v="Uk"/>
    <s v="James Brown"/>
  </r>
  <r>
    <n v="11175"/>
    <x v="3"/>
    <x v="2"/>
    <x v="1174"/>
    <x v="2"/>
    <x v="2"/>
    <x v="4"/>
    <n v="23"/>
    <n v="284"/>
    <n v="99400"/>
    <n v="42742"/>
    <s v="Março"/>
    <s v="Australia"/>
    <s v="Jane Doe"/>
  </r>
  <r>
    <n v="11176"/>
    <x v="3"/>
    <x v="2"/>
    <x v="1175"/>
    <x v="4"/>
    <x v="0"/>
    <x v="4"/>
    <n v="3"/>
    <n v="47"/>
    <n v="16450"/>
    <n v="2961"/>
    <s v="Março"/>
    <s v="Uk"/>
    <s v="Emily White"/>
  </r>
  <r>
    <n v="11177"/>
    <x v="3"/>
    <x v="2"/>
    <x v="1176"/>
    <x v="2"/>
    <x v="0"/>
    <x v="4"/>
    <n v="7"/>
    <n v="341"/>
    <n v="119350"/>
    <n v="17902.5"/>
    <s v="Março"/>
    <s v="Australia"/>
    <s v="Emily White"/>
  </r>
  <r>
    <n v="11178"/>
    <x v="3"/>
    <x v="2"/>
    <x v="1177"/>
    <x v="1"/>
    <x v="4"/>
    <x v="4"/>
    <n v="44"/>
    <n v="457"/>
    <n v="159950"/>
    <n v="19194"/>
    <s v="Março"/>
    <s v="Canada"/>
    <s v="Liam Lee"/>
  </r>
  <r>
    <n v="11179"/>
    <x v="3"/>
    <x v="2"/>
    <x v="1178"/>
    <x v="1"/>
    <x v="2"/>
    <x v="0"/>
    <n v="6"/>
    <n v="80"/>
    <n v="60000"/>
    <n v="26400"/>
    <s v="Março"/>
    <s v="Canada"/>
    <s v="Jane Doe"/>
  </r>
  <r>
    <n v="11180"/>
    <x v="3"/>
    <x v="2"/>
    <x v="1179"/>
    <x v="0"/>
    <x v="1"/>
    <x v="2"/>
    <n v="17"/>
    <n v="329"/>
    <n v="82250"/>
    <n v="30432.5"/>
    <s v="Março"/>
    <s v="Usa"/>
    <s v="James Brown"/>
  </r>
  <r>
    <n v="11181"/>
    <x v="3"/>
    <x v="2"/>
    <x v="1180"/>
    <x v="4"/>
    <x v="2"/>
    <x v="4"/>
    <n v="7"/>
    <n v="109"/>
    <n v="38150"/>
    <n v="11063.5"/>
    <s v="Março"/>
    <s v="Uk"/>
    <s v="Jane Doe"/>
  </r>
  <r>
    <n v="11182"/>
    <x v="3"/>
    <x v="2"/>
    <x v="1181"/>
    <x v="2"/>
    <x v="4"/>
    <x v="4"/>
    <n v="15"/>
    <n v="189"/>
    <n v="66150"/>
    <n v="6615"/>
    <s v="Março"/>
    <s v="Australia"/>
    <s v="Liam Lee"/>
  </r>
  <r>
    <n v="11183"/>
    <x v="3"/>
    <x v="2"/>
    <x v="1182"/>
    <x v="1"/>
    <x v="0"/>
    <x v="0"/>
    <n v="1"/>
    <n v="38"/>
    <n v="28500"/>
    <n v="5700"/>
    <s v="Março"/>
    <s v="Canada"/>
    <s v="Emily White"/>
  </r>
  <r>
    <n v="11184"/>
    <x v="3"/>
    <x v="2"/>
    <x v="1183"/>
    <x v="2"/>
    <x v="0"/>
    <x v="2"/>
    <n v="4"/>
    <n v="100"/>
    <n v="25000"/>
    <n v="8000"/>
    <s v="Março"/>
    <s v="Australia"/>
    <s v="Emily White"/>
  </r>
  <r>
    <n v="11185"/>
    <x v="3"/>
    <x v="2"/>
    <x v="1184"/>
    <x v="1"/>
    <x v="0"/>
    <x v="4"/>
    <n v="9"/>
    <n v="200"/>
    <n v="70000"/>
    <n v="28000"/>
    <s v="Março"/>
    <s v="Canada"/>
    <s v="Emily White"/>
  </r>
  <r>
    <n v="11186"/>
    <x v="3"/>
    <x v="2"/>
    <x v="1185"/>
    <x v="0"/>
    <x v="4"/>
    <x v="4"/>
    <n v="29"/>
    <n v="499"/>
    <n v="174650"/>
    <n v="69860"/>
    <s v="Março"/>
    <s v="Usa"/>
    <s v="Liam Lee"/>
  </r>
  <r>
    <n v="11187"/>
    <x v="3"/>
    <x v="3"/>
    <x v="1186"/>
    <x v="3"/>
    <x v="0"/>
    <x v="3"/>
    <n v="2"/>
    <n v="128"/>
    <n v="108800"/>
    <n v="27200"/>
    <s v="Abril"/>
    <s v="New Zealand"/>
    <s v="Emily White"/>
  </r>
  <r>
    <n v="11188"/>
    <x v="3"/>
    <x v="3"/>
    <x v="1187"/>
    <x v="3"/>
    <x v="1"/>
    <x v="0"/>
    <n v="15"/>
    <n v="216"/>
    <n v="162000"/>
    <n v="24300"/>
    <s v="Abril"/>
    <s v="New Zealand"/>
    <s v="James Brown"/>
  </r>
  <r>
    <n v="11189"/>
    <x v="3"/>
    <x v="3"/>
    <x v="1188"/>
    <x v="2"/>
    <x v="2"/>
    <x v="4"/>
    <n v="15"/>
    <n v="382"/>
    <n v="133700"/>
    <n v="37436"/>
    <s v="Abril"/>
    <s v="Australia"/>
    <s v="Jane Doe"/>
  </r>
  <r>
    <n v="11190"/>
    <x v="3"/>
    <x v="3"/>
    <x v="1189"/>
    <x v="0"/>
    <x v="1"/>
    <x v="2"/>
    <n v="5"/>
    <n v="95"/>
    <n v="23750"/>
    <n v="7837.5"/>
    <s v="Abril"/>
    <s v="Usa"/>
    <s v="James Brown"/>
  </r>
  <r>
    <n v="11191"/>
    <x v="3"/>
    <x v="3"/>
    <x v="1190"/>
    <x v="4"/>
    <x v="4"/>
    <x v="2"/>
    <n v="3"/>
    <n v="36"/>
    <n v="9000"/>
    <n v="2790"/>
    <s v="Abril"/>
    <s v="Uk"/>
    <s v="Liam Lee"/>
  </r>
  <r>
    <n v="11192"/>
    <x v="3"/>
    <x v="3"/>
    <x v="1191"/>
    <x v="1"/>
    <x v="1"/>
    <x v="2"/>
    <n v="16"/>
    <n v="277"/>
    <n v="69250"/>
    <n v="20082.5"/>
    <s v="Abril"/>
    <s v="Canada"/>
    <s v="James Brown"/>
  </r>
  <r>
    <n v="11193"/>
    <x v="3"/>
    <x v="3"/>
    <x v="1192"/>
    <x v="2"/>
    <x v="0"/>
    <x v="3"/>
    <n v="4"/>
    <n v="207"/>
    <n v="175950"/>
    <n v="38709"/>
    <s v="Abril"/>
    <s v="Australia"/>
    <s v="Emily White"/>
  </r>
  <r>
    <n v="11194"/>
    <x v="3"/>
    <x v="3"/>
    <x v="1193"/>
    <x v="4"/>
    <x v="0"/>
    <x v="3"/>
    <n v="33"/>
    <n v="447"/>
    <n v="379950"/>
    <n v="72190.5"/>
    <s v="Abril"/>
    <s v="Uk"/>
    <s v="Emily White"/>
  </r>
  <r>
    <n v="11195"/>
    <x v="3"/>
    <x v="3"/>
    <x v="1194"/>
    <x v="4"/>
    <x v="4"/>
    <x v="0"/>
    <n v="30"/>
    <n v="468"/>
    <n v="351000"/>
    <n v="56160"/>
    <s v="Abril"/>
    <s v="Uk"/>
    <s v="Liam Lee"/>
  </r>
  <r>
    <n v="11196"/>
    <x v="3"/>
    <x v="3"/>
    <x v="1195"/>
    <x v="0"/>
    <x v="2"/>
    <x v="3"/>
    <n v="11"/>
    <n v="116"/>
    <n v="98600"/>
    <n v="28593.999999999996"/>
    <s v="Abril"/>
    <s v="Usa"/>
    <s v="Jane Doe"/>
  </r>
  <r>
    <n v="11197"/>
    <x v="3"/>
    <x v="3"/>
    <x v="1196"/>
    <x v="0"/>
    <x v="2"/>
    <x v="1"/>
    <n v="17"/>
    <n v="185"/>
    <n v="92500"/>
    <n v="22200"/>
    <s v="Abril"/>
    <s v="Usa"/>
    <s v="Jane Doe"/>
  </r>
  <r>
    <n v="11198"/>
    <x v="3"/>
    <x v="3"/>
    <x v="1197"/>
    <x v="1"/>
    <x v="1"/>
    <x v="3"/>
    <n v="34"/>
    <n v="379"/>
    <n v="322150"/>
    <n v="90202.000000000015"/>
    <s v="Abril"/>
    <s v="Canada"/>
    <s v="James Brown"/>
  </r>
  <r>
    <n v="11199"/>
    <x v="3"/>
    <x v="3"/>
    <x v="1198"/>
    <x v="4"/>
    <x v="0"/>
    <x v="1"/>
    <n v="43"/>
    <n v="453"/>
    <n v="226500"/>
    <n v="70215"/>
    <s v="Abril"/>
    <s v="Uk"/>
    <s v="Emily White"/>
  </r>
  <r>
    <n v="11200"/>
    <x v="3"/>
    <x v="3"/>
    <x v="1199"/>
    <x v="4"/>
    <x v="3"/>
    <x v="3"/>
    <n v="12"/>
    <n v="286"/>
    <n v="243100"/>
    <n v="63206"/>
    <s v="Abril"/>
    <s v="Uk"/>
    <s v="John Smith"/>
  </r>
  <r>
    <n v="11201"/>
    <x v="3"/>
    <x v="3"/>
    <x v="1200"/>
    <x v="1"/>
    <x v="0"/>
    <x v="1"/>
    <n v="17"/>
    <n v="198"/>
    <n v="99000"/>
    <n v="31680"/>
    <s v="Abril"/>
    <s v="Canada"/>
    <s v="Emily White"/>
  </r>
  <r>
    <n v="11202"/>
    <x v="3"/>
    <x v="3"/>
    <x v="1201"/>
    <x v="1"/>
    <x v="2"/>
    <x v="1"/>
    <n v="2"/>
    <n v="27"/>
    <n v="13500"/>
    <n v="2160"/>
    <s v="Abril"/>
    <s v="Canada"/>
    <s v="Jane Doe"/>
  </r>
  <r>
    <n v="11203"/>
    <x v="3"/>
    <x v="3"/>
    <x v="1202"/>
    <x v="1"/>
    <x v="3"/>
    <x v="3"/>
    <n v="40"/>
    <n v="464"/>
    <n v="394400"/>
    <n v="63104"/>
    <s v="Abril"/>
    <s v="Canada"/>
    <s v="John Smith"/>
  </r>
  <r>
    <n v="11204"/>
    <x v="3"/>
    <x v="3"/>
    <x v="1203"/>
    <x v="2"/>
    <x v="1"/>
    <x v="4"/>
    <n v="12"/>
    <n v="142"/>
    <n v="49700"/>
    <n v="7455"/>
    <s v="Abril"/>
    <s v="Australia"/>
    <s v="James Brown"/>
  </r>
  <r>
    <n v="11205"/>
    <x v="3"/>
    <x v="3"/>
    <x v="1204"/>
    <x v="4"/>
    <x v="3"/>
    <x v="0"/>
    <n v="2"/>
    <n v="53"/>
    <n v="39750"/>
    <n v="8745"/>
    <s v="Abril"/>
    <s v="Uk"/>
    <s v="John Smith"/>
  </r>
  <r>
    <n v="11206"/>
    <x v="3"/>
    <x v="3"/>
    <x v="1205"/>
    <x v="2"/>
    <x v="3"/>
    <x v="2"/>
    <n v="22"/>
    <n v="324"/>
    <n v="81000"/>
    <n v="20250"/>
    <s v="Abril"/>
    <s v="Australia"/>
    <s v="John Smith"/>
  </r>
  <r>
    <n v="11207"/>
    <x v="3"/>
    <x v="3"/>
    <x v="1206"/>
    <x v="4"/>
    <x v="4"/>
    <x v="2"/>
    <n v="25"/>
    <n v="485"/>
    <n v="121250"/>
    <n v="47287.5"/>
    <s v="Abril"/>
    <s v="Uk"/>
    <s v="Liam Lee"/>
  </r>
  <r>
    <n v="11208"/>
    <x v="3"/>
    <x v="3"/>
    <x v="1207"/>
    <x v="4"/>
    <x v="0"/>
    <x v="4"/>
    <n v="5"/>
    <n v="245"/>
    <n v="85750"/>
    <n v="19722.5"/>
    <s v="Abril"/>
    <s v="Uk"/>
    <s v="Emily White"/>
  </r>
  <r>
    <n v="11209"/>
    <x v="3"/>
    <x v="3"/>
    <x v="1208"/>
    <x v="3"/>
    <x v="4"/>
    <x v="2"/>
    <n v="6"/>
    <n v="185"/>
    <n v="46250"/>
    <n v="14800"/>
    <s v="Abril"/>
    <s v="New Zealand"/>
    <s v="Liam Lee"/>
  </r>
  <r>
    <n v="11210"/>
    <x v="3"/>
    <x v="3"/>
    <x v="1209"/>
    <x v="4"/>
    <x v="1"/>
    <x v="2"/>
    <n v="21"/>
    <n v="399"/>
    <n v="99750"/>
    <n v="18952.5"/>
    <s v="Abril"/>
    <s v="Uk"/>
    <s v="James Brown"/>
  </r>
  <r>
    <n v="11211"/>
    <x v="3"/>
    <x v="3"/>
    <x v="1210"/>
    <x v="2"/>
    <x v="0"/>
    <x v="3"/>
    <n v="25"/>
    <n v="335"/>
    <n v="284750"/>
    <n v="96815"/>
    <s v="Abril"/>
    <s v="Australia"/>
    <s v="Emily White"/>
  </r>
  <r>
    <n v="11212"/>
    <x v="3"/>
    <x v="3"/>
    <x v="1211"/>
    <x v="3"/>
    <x v="4"/>
    <x v="2"/>
    <n v="4"/>
    <n v="71"/>
    <n v="17750"/>
    <n v="4615"/>
    <s v="Abril"/>
    <s v="New Zealand"/>
    <s v="Liam Lee"/>
  </r>
  <r>
    <n v="11213"/>
    <x v="3"/>
    <x v="3"/>
    <x v="1212"/>
    <x v="4"/>
    <x v="2"/>
    <x v="2"/>
    <n v="16"/>
    <n v="405"/>
    <n v="101250"/>
    <n v="16200"/>
    <s v="Abril"/>
    <s v="Uk"/>
    <s v="Jane Doe"/>
  </r>
  <r>
    <n v="11214"/>
    <x v="3"/>
    <x v="3"/>
    <x v="1213"/>
    <x v="0"/>
    <x v="1"/>
    <x v="4"/>
    <n v="39"/>
    <n v="391"/>
    <n v="136850"/>
    <n v="31475.5"/>
    <s v="Abril"/>
    <s v="Usa"/>
    <s v="James Brown"/>
  </r>
  <r>
    <n v="11215"/>
    <x v="3"/>
    <x v="3"/>
    <x v="1214"/>
    <x v="2"/>
    <x v="2"/>
    <x v="1"/>
    <n v="9"/>
    <n v="90"/>
    <n v="45000"/>
    <n v="6300.0000000000009"/>
    <s v="Abril"/>
    <s v="Australia"/>
    <s v="Jane Doe"/>
  </r>
  <r>
    <n v="11216"/>
    <x v="3"/>
    <x v="3"/>
    <x v="1215"/>
    <x v="2"/>
    <x v="0"/>
    <x v="4"/>
    <n v="4"/>
    <n v="58"/>
    <n v="20300"/>
    <n v="2030"/>
    <s v="Abril"/>
    <s v="Australia"/>
    <s v="Emily White"/>
  </r>
  <r>
    <n v="11217"/>
    <x v="3"/>
    <x v="4"/>
    <x v="1216"/>
    <x v="4"/>
    <x v="1"/>
    <x v="3"/>
    <n v="37"/>
    <n v="490"/>
    <n v="416500"/>
    <n v="45815"/>
    <s v="Maio"/>
    <s v="Uk"/>
    <s v="James Brown"/>
  </r>
  <r>
    <n v="11218"/>
    <x v="3"/>
    <x v="4"/>
    <x v="1217"/>
    <x v="1"/>
    <x v="3"/>
    <x v="3"/>
    <n v="21"/>
    <n v="445"/>
    <n v="378250"/>
    <n v="60520"/>
    <s v="Maio"/>
    <s v="Canada"/>
    <s v="John Smith"/>
  </r>
  <r>
    <n v="11219"/>
    <x v="3"/>
    <x v="4"/>
    <x v="1218"/>
    <x v="2"/>
    <x v="4"/>
    <x v="3"/>
    <n v="8"/>
    <n v="281"/>
    <n v="238850"/>
    <n v="105094"/>
    <s v="Maio"/>
    <s v="Australia"/>
    <s v="Liam Lee"/>
  </r>
  <r>
    <n v="11220"/>
    <x v="3"/>
    <x v="4"/>
    <x v="1219"/>
    <x v="2"/>
    <x v="3"/>
    <x v="2"/>
    <n v="32"/>
    <n v="321"/>
    <n v="80250"/>
    <n v="14445"/>
    <s v="Maio"/>
    <s v="Australia"/>
    <s v="John Smith"/>
  </r>
  <r>
    <n v="11221"/>
    <x v="3"/>
    <x v="4"/>
    <x v="1220"/>
    <x v="1"/>
    <x v="1"/>
    <x v="4"/>
    <n v="15"/>
    <n v="280"/>
    <n v="98000"/>
    <n v="18620"/>
    <s v="Maio"/>
    <s v="Canada"/>
    <s v="James Brown"/>
  </r>
  <r>
    <n v="11222"/>
    <x v="3"/>
    <x v="4"/>
    <x v="1221"/>
    <x v="2"/>
    <x v="0"/>
    <x v="0"/>
    <n v="17"/>
    <n v="217"/>
    <n v="162750"/>
    <n v="55335.000000000007"/>
    <s v="Maio"/>
    <s v="Australia"/>
    <s v="Emily White"/>
  </r>
  <r>
    <n v="11223"/>
    <x v="3"/>
    <x v="4"/>
    <x v="1222"/>
    <x v="2"/>
    <x v="2"/>
    <x v="0"/>
    <n v="3"/>
    <n v="152"/>
    <n v="114000"/>
    <n v="33060"/>
    <s v="Maio"/>
    <s v="Australia"/>
    <s v="Jane Doe"/>
  </r>
  <r>
    <n v="11224"/>
    <x v="3"/>
    <x v="4"/>
    <x v="1223"/>
    <x v="0"/>
    <x v="4"/>
    <x v="2"/>
    <n v="4"/>
    <n v="64"/>
    <n v="16000"/>
    <n v="2080"/>
    <s v="Maio"/>
    <s v="Usa"/>
    <s v="Liam Lee"/>
  </r>
  <r>
    <n v="11225"/>
    <x v="3"/>
    <x v="4"/>
    <x v="1224"/>
    <x v="1"/>
    <x v="4"/>
    <x v="2"/>
    <n v="7"/>
    <n v="308"/>
    <n v="77000"/>
    <n v="30800"/>
    <s v="Maio"/>
    <s v="Canada"/>
    <s v="Liam Lee"/>
  </r>
  <r>
    <n v="11226"/>
    <x v="3"/>
    <x v="4"/>
    <x v="1225"/>
    <x v="4"/>
    <x v="4"/>
    <x v="4"/>
    <n v="21"/>
    <n v="324"/>
    <n v="113400"/>
    <n v="31752.000000000004"/>
    <s v="Maio"/>
    <s v="Uk"/>
    <s v="Liam Lee"/>
  </r>
  <r>
    <n v="11227"/>
    <x v="3"/>
    <x v="4"/>
    <x v="1226"/>
    <x v="3"/>
    <x v="1"/>
    <x v="0"/>
    <n v="20"/>
    <n v="268"/>
    <n v="201000"/>
    <n v="44220"/>
    <s v="Maio"/>
    <s v="New Zealand"/>
    <s v="James Brown"/>
  </r>
  <r>
    <n v="11228"/>
    <x v="3"/>
    <x v="4"/>
    <x v="1227"/>
    <x v="2"/>
    <x v="0"/>
    <x v="0"/>
    <n v="2"/>
    <n v="34"/>
    <n v="25500"/>
    <n v="9945"/>
    <s v="Maio"/>
    <s v="Australia"/>
    <s v="Emily White"/>
  </r>
  <r>
    <n v="11229"/>
    <x v="3"/>
    <x v="4"/>
    <x v="1228"/>
    <x v="4"/>
    <x v="2"/>
    <x v="1"/>
    <n v="13"/>
    <n v="181"/>
    <n v="90500"/>
    <n v="33485"/>
    <s v="Maio"/>
    <s v="Uk"/>
    <s v="Jane Doe"/>
  </r>
  <r>
    <n v="11230"/>
    <x v="3"/>
    <x v="4"/>
    <x v="1229"/>
    <x v="2"/>
    <x v="1"/>
    <x v="2"/>
    <n v="4"/>
    <n v="135"/>
    <n v="33750"/>
    <n v="13162.5"/>
    <s v="Maio"/>
    <s v="Australia"/>
    <s v="James Brown"/>
  </r>
  <r>
    <n v="11231"/>
    <x v="3"/>
    <x v="4"/>
    <x v="1230"/>
    <x v="0"/>
    <x v="3"/>
    <x v="4"/>
    <n v="30"/>
    <n v="404"/>
    <n v="141400"/>
    <n v="15554"/>
    <s v="Maio"/>
    <s v="Usa"/>
    <s v="John Smith"/>
  </r>
  <r>
    <n v="11232"/>
    <x v="3"/>
    <x v="4"/>
    <x v="1231"/>
    <x v="4"/>
    <x v="4"/>
    <x v="2"/>
    <n v="16"/>
    <n v="267"/>
    <n v="66750"/>
    <n v="18022.5"/>
    <s v="Maio"/>
    <s v="Uk"/>
    <s v="Liam Lee"/>
  </r>
  <r>
    <n v="11233"/>
    <x v="3"/>
    <x v="4"/>
    <x v="1232"/>
    <x v="4"/>
    <x v="0"/>
    <x v="2"/>
    <n v="5"/>
    <n v="241"/>
    <n v="60250"/>
    <n v="17472.5"/>
    <s v="Maio"/>
    <s v="Uk"/>
    <s v="Emily White"/>
  </r>
  <r>
    <n v="11234"/>
    <x v="3"/>
    <x v="4"/>
    <x v="1233"/>
    <x v="1"/>
    <x v="0"/>
    <x v="0"/>
    <n v="27"/>
    <n v="402"/>
    <n v="301500"/>
    <n v="132660"/>
    <s v="Maio"/>
    <s v="Canada"/>
    <s v="Emily White"/>
  </r>
  <r>
    <n v="11235"/>
    <x v="3"/>
    <x v="4"/>
    <x v="1234"/>
    <x v="4"/>
    <x v="2"/>
    <x v="3"/>
    <n v="32"/>
    <n v="396"/>
    <n v="336600"/>
    <n v="144738"/>
    <s v="Maio"/>
    <s v="Uk"/>
    <s v="Jane Doe"/>
  </r>
  <r>
    <n v="11236"/>
    <x v="3"/>
    <x v="4"/>
    <x v="1235"/>
    <x v="2"/>
    <x v="0"/>
    <x v="4"/>
    <n v="18"/>
    <n v="409"/>
    <n v="143150"/>
    <n v="47239.5"/>
    <s v="Maio"/>
    <s v="Australia"/>
    <s v="Emily White"/>
  </r>
  <r>
    <n v="11237"/>
    <x v="3"/>
    <x v="4"/>
    <x v="1236"/>
    <x v="0"/>
    <x v="0"/>
    <x v="3"/>
    <n v="2"/>
    <n v="44"/>
    <n v="37400"/>
    <n v="12716.000000000002"/>
    <s v="Maio"/>
    <s v="Usa"/>
    <s v="Emily White"/>
  </r>
  <r>
    <n v="11238"/>
    <x v="3"/>
    <x v="4"/>
    <x v="1237"/>
    <x v="0"/>
    <x v="4"/>
    <x v="1"/>
    <n v="31"/>
    <n v="467"/>
    <n v="233500"/>
    <n v="86395"/>
    <s v="Maio"/>
    <s v="Usa"/>
    <s v="Liam Lee"/>
  </r>
  <r>
    <n v="11239"/>
    <x v="3"/>
    <x v="4"/>
    <x v="1238"/>
    <x v="1"/>
    <x v="1"/>
    <x v="2"/>
    <n v="11"/>
    <n v="321"/>
    <n v="80250"/>
    <n v="9630"/>
    <s v="Maio"/>
    <s v="Canada"/>
    <s v="James Brown"/>
  </r>
  <r>
    <n v="11240"/>
    <x v="3"/>
    <x v="4"/>
    <x v="1239"/>
    <x v="3"/>
    <x v="0"/>
    <x v="4"/>
    <n v="22"/>
    <n v="247"/>
    <n v="86450"/>
    <n v="26799.5"/>
    <s v="Maio"/>
    <s v="New Zealand"/>
    <s v="Emily White"/>
  </r>
  <r>
    <n v="11241"/>
    <x v="3"/>
    <x v="4"/>
    <x v="1240"/>
    <x v="4"/>
    <x v="3"/>
    <x v="4"/>
    <n v="27"/>
    <n v="489"/>
    <n v="171150"/>
    <n v="18826.5"/>
    <s v="Maio"/>
    <s v="Uk"/>
    <s v="John Smith"/>
  </r>
  <r>
    <n v="11242"/>
    <x v="3"/>
    <x v="4"/>
    <x v="1241"/>
    <x v="4"/>
    <x v="3"/>
    <x v="2"/>
    <n v="12"/>
    <n v="214"/>
    <n v="53500"/>
    <n v="7490.0000000000009"/>
    <s v="Maio"/>
    <s v="Uk"/>
    <s v="John Smith"/>
  </r>
  <r>
    <n v="11243"/>
    <x v="3"/>
    <x v="4"/>
    <x v="1242"/>
    <x v="0"/>
    <x v="3"/>
    <x v="2"/>
    <n v="5"/>
    <n v="269"/>
    <n v="67250"/>
    <n v="8742.5"/>
    <s v="Maio"/>
    <s v="Usa"/>
    <s v="John Smith"/>
  </r>
  <r>
    <n v="11244"/>
    <x v="3"/>
    <x v="4"/>
    <x v="1243"/>
    <x v="1"/>
    <x v="1"/>
    <x v="2"/>
    <n v="30"/>
    <n v="491"/>
    <n v="122750"/>
    <n v="33142.5"/>
    <s v="Maio"/>
    <s v="Canada"/>
    <s v="James Brown"/>
  </r>
  <r>
    <n v="11245"/>
    <x v="3"/>
    <x v="4"/>
    <x v="1244"/>
    <x v="2"/>
    <x v="1"/>
    <x v="4"/>
    <n v="13"/>
    <n v="289"/>
    <n v="101150"/>
    <n v="15172.5"/>
    <s v="Maio"/>
    <s v="Australia"/>
    <s v="James Brown"/>
  </r>
  <r>
    <n v="11246"/>
    <x v="3"/>
    <x v="4"/>
    <x v="1245"/>
    <x v="3"/>
    <x v="1"/>
    <x v="4"/>
    <n v="2"/>
    <n v="58"/>
    <n v="20300"/>
    <n v="5887"/>
    <s v="Maio"/>
    <s v="New Zealand"/>
    <s v="James Brown"/>
  </r>
  <r>
    <n v="11247"/>
    <x v="3"/>
    <x v="4"/>
    <x v="1246"/>
    <x v="2"/>
    <x v="2"/>
    <x v="1"/>
    <n v="10"/>
    <n v="321"/>
    <n v="160500"/>
    <n v="20865"/>
    <s v="Maio"/>
    <s v="Australia"/>
    <s v="Jane Doe"/>
  </r>
  <r>
    <n v="11248"/>
    <x v="3"/>
    <x v="5"/>
    <x v="1247"/>
    <x v="0"/>
    <x v="0"/>
    <x v="1"/>
    <n v="26"/>
    <n v="407"/>
    <n v="203500"/>
    <n v="36630"/>
    <s v="Junho"/>
    <s v="Usa"/>
    <s v="Emily White"/>
  </r>
  <r>
    <n v="11249"/>
    <x v="3"/>
    <x v="5"/>
    <x v="1248"/>
    <x v="0"/>
    <x v="1"/>
    <x v="0"/>
    <n v="16"/>
    <n v="477"/>
    <n v="357750"/>
    <n v="114480"/>
    <s v="Junho"/>
    <s v="Usa"/>
    <s v="James Brown"/>
  </r>
  <r>
    <n v="11250"/>
    <x v="3"/>
    <x v="5"/>
    <x v="1249"/>
    <x v="0"/>
    <x v="2"/>
    <x v="4"/>
    <n v="5"/>
    <n v="252"/>
    <n v="88200"/>
    <n v="22932"/>
    <s v="Junho"/>
    <s v="Usa"/>
    <s v="Jane Doe"/>
  </r>
  <r>
    <n v="11251"/>
    <x v="3"/>
    <x v="5"/>
    <x v="1250"/>
    <x v="1"/>
    <x v="2"/>
    <x v="2"/>
    <n v="8"/>
    <n v="118"/>
    <n v="29500"/>
    <n v="10915"/>
    <s v="Junho"/>
    <s v="Canada"/>
    <s v="Jane Doe"/>
  </r>
  <r>
    <n v="11252"/>
    <x v="3"/>
    <x v="5"/>
    <x v="1251"/>
    <x v="3"/>
    <x v="1"/>
    <x v="3"/>
    <n v="13"/>
    <n v="159"/>
    <n v="135150"/>
    <n v="39193.5"/>
    <s v="Junho"/>
    <s v="New Zealand"/>
    <s v="James Brown"/>
  </r>
  <r>
    <n v="11253"/>
    <x v="3"/>
    <x v="5"/>
    <x v="1252"/>
    <x v="0"/>
    <x v="3"/>
    <x v="4"/>
    <n v="7"/>
    <n v="241"/>
    <n v="84350"/>
    <n v="21931"/>
    <s v="Junho"/>
    <s v="Usa"/>
    <s v="John Smith"/>
  </r>
  <r>
    <n v="11254"/>
    <x v="3"/>
    <x v="5"/>
    <x v="1253"/>
    <x v="0"/>
    <x v="3"/>
    <x v="3"/>
    <n v="34"/>
    <n v="445"/>
    <n v="378250"/>
    <n v="79432.5"/>
    <s v="Junho"/>
    <s v="Usa"/>
    <s v="John Smith"/>
  </r>
  <r>
    <n v="11255"/>
    <x v="3"/>
    <x v="5"/>
    <x v="1254"/>
    <x v="2"/>
    <x v="2"/>
    <x v="1"/>
    <n v="21"/>
    <n v="250"/>
    <n v="125000"/>
    <n v="27500"/>
    <s v="Junho"/>
    <s v="Australia"/>
    <s v="Jane Doe"/>
  </r>
  <r>
    <n v="11256"/>
    <x v="3"/>
    <x v="5"/>
    <x v="1255"/>
    <x v="2"/>
    <x v="0"/>
    <x v="0"/>
    <n v="14"/>
    <n v="350"/>
    <n v="262500"/>
    <n v="55125"/>
    <s v="Junho"/>
    <s v="Australia"/>
    <s v="Emily White"/>
  </r>
  <r>
    <n v="11257"/>
    <x v="3"/>
    <x v="5"/>
    <x v="1256"/>
    <x v="4"/>
    <x v="0"/>
    <x v="3"/>
    <n v="8"/>
    <n v="80"/>
    <n v="68000"/>
    <n v="27200"/>
    <s v="Junho"/>
    <s v="Uk"/>
    <s v="Emily White"/>
  </r>
  <r>
    <n v="11258"/>
    <x v="3"/>
    <x v="5"/>
    <x v="1257"/>
    <x v="3"/>
    <x v="1"/>
    <x v="1"/>
    <n v="21"/>
    <n v="242"/>
    <n v="121000"/>
    <n v="24200"/>
    <s v="Junho"/>
    <s v="New Zealand"/>
    <s v="James Brown"/>
  </r>
  <r>
    <n v="11259"/>
    <x v="3"/>
    <x v="5"/>
    <x v="1258"/>
    <x v="1"/>
    <x v="2"/>
    <x v="0"/>
    <n v="4"/>
    <n v="48"/>
    <n v="36000"/>
    <n v="13680"/>
    <s v="Junho"/>
    <s v="Canada"/>
    <s v="Jane Doe"/>
  </r>
  <r>
    <n v="11260"/>
    <x v="3"/>
    <x v="5"/>
    <x v="1259"/>
    <x v="2"/>
    <x v="2"/>
    <x v="4"/>
    <n v="29"/>
    <n v="309"/>
    <n v="108150"/>
    <n v="31363.499999999996"/>
    <s v="Junho"/>
    <s v="Australia"/>
    <s v="Jane Doe"/>
  </r>
  <r>
    <n v="11261"/>
    <x v="3"/>
    <x v="5"/>
    <x v="1260"/>
    <x v="3"/>
    <x v="3"/>
    <x v="2"/>
    <n v="10"/>
    <n v="109"/>
    <n v="27250"/>
    <n v="7357.5000000000009"/>
    <s v="Junho"/>
    <s v="New Zealand"/>
    <s v="John Smith"/>
  </r>
  <r>
    <n v="11262"/>
    <x v="3"/>
    <x v="5"/>
    <x v="1261"/>
    <x v="1"/>
    <x v="2"/>
    <x v="2"/>
    <n v="6"/>
    <n v="99"/>
    <n v="24750"/>
    <n v="3960"/>
    <s v="Junho"/>
    <s v="Canada"/>
    <s v="Jane Doe"/>
  </r>
  <r>
    <n v="11263"/>
    <x v="3"/>
    <x v="5"/>
    <x v="1262"/>
    <x v="2"/>
    <x v="1"/>
    <x v="4"/>
    <n v="17"/>
    <n v="389"/>
    <n v="136150"/>
    <n v="40845"/>
    <s v="Junho"/>
    <s v="Australia"/>
    <s v="James Brown"/>
  </r>
  <r>
    <n v="11264"/>
    <x v="3"/>
    <x v="5"/>
    <x v="1263"/>
    <x v="3"/>
    <x v="4"/>
    <x v="2"/>
    <n v="37"/>
    <n v="385"/>
    <n v="96250"/>
    <n v="27912.499999999996"/>
    <s v="Junho"/>
    <s v="New Zealand"/>
    <s v="Liam Lee"/>
  </r>
  <r>
    <n v="11265"/>
    <x v="3"/>
    <x v="5"/>
    <x v="1264"/>
    <x v="3"/>
    <x v="0"/>
    <x v="4"/>
    <n v="10"/>
    <n v="227"/>
    <n v="79450"/>
    <n v="23835"/>
    <s v="Junho"/>
    <s v="New Zealand"/>
    <s v="Emily White"/>
  </r>
  <r>
    <n v="11266"/>
    <x v="3"/>
    <x v="5"/>
    <x v="1265"/>
    <x v="1"/>
    <x v="2"/>
    <x v="4"/>
    <n v="19"/>
    <n v="391"/>
    <n v="136850"/>
    <n v="53371.5"/>
    <s v="Junho"/>
    <s v="Canada"/>
    <s v="Jane Doe"/>
  </r>
  <r>
    <n v="11267"/>
    <x v="3"/>
    <x v="5"/>
    <x v="1266"/>
    <x v="0"/>
    <x v="3"/>
    <x v="1"/>
    <n v="6"/>
    <n v="157"/>
    <n v="78500"/>
    <n v="7850"/>
    <s v="Junho"/>
    <s v="Usa"/>
    <s v="John Smith"/>
  </r>
  <r>
    <n v="11268"/>
    <x v="3"/>
    <x v="5"/>
    <x v="1267"/>
    <x v="1"/>
    <x v="4"/>
    <x v="4"/>
    <n v="44"/>
    <n v="452"/>
    <n v="158200"/>
    <n v="15820"/>
    <s v="Junho"/>
    <s v="Canada"/>
    <s v="Liam Lee"/>
  </r>
  <r>
    <n v="11269"/>
    <x v="3"/>
    <x v="5"/>
    <x v="1268"/>
    <x v="4"/>
    <x v="0"/>
    <x v="1"/>
    <n v="16"/>
    <n v="178"/>
    <n v="89000"/>
    <n v="18690"/>
    <s v="Junho"/>
    <s v="Uk"/>
    <s v="Emily White"/>
  </r>
  <r>
    <n v="11270"/>
    <x v="3"/>
    <x v="5"/>
    <x v="1269"/>
    <x v="1"/>
    <x v="4"/>
    <x v="4"/>
    <n v="18"/>
    <n v="234"/>
    <n v="81900"/>
    <n v="34398"/>
    <s v="Junho"/>
    <s v="Canada"/>
    <s v="Liam Lee"/>
  </r>
  <r>
    <n v="11271"/>
    <x v="3"/>
    <x v="5"/>
    <x v="1270"/>
    <x v="4"/>
    <x v="4"/>
    <x v="4"/>
    <n v="9"/>
    <n v="279"/>
    <n v="97650"/>
    <n v="21483"/>
    <s v="Junho"/>
    <s v="Uk"/>
    <s v="Liam Lee"/>
  </r>
  <r>
    <n v="11272"/>
    <x v="3"/>
    <x v="5"/>
    <x v="1271"/>
    <x v="0"/>
    <x v="4"/>
    <x v="0"/>
    <n v="22"/>
    <n v="222"/>
    <n v="166500"/>
    <n v="63270"/>
    <s v="Junho"/>
    <s v="Usa"/>
    <s v="Liam Lee"/>
  </r>
  <r>
    <n v="11273"/>
    <x v="3"/>
    <x v="5"/>
    <x v="1272"/>
    <x v="4"/>
    <x v="0"/>
    <x v="2"/>
    <n v="38"/>
    <n v="500"/>
    <n v="125000"/>
    <n v="51250"/>
    <s v="Junho"/>
    <s v="Uk"/>
    <s v="Emily White"/>
  </r>
  <r>
    <n v="11274"/>
    <x v="3"/>
    <x v="5"/>
    <x v="1273"/>
    <x v="3"/>
    <x v="3"/>
    <x v="2"/>
    <n v="7"/>
    <n v="275"/>
    <n v="68750"/>
    <n v="13062.5"/>
    <s v="Junho"/>
    <s v="New Zealand"/>
    <s v="John Smith"/>
  </r>
  <r>
    <n v="11275"/>
    <x v="3"/>
    <x v="5"/>
    <x v="1274"/>
    <x v="2"/>
    <x v="4"/>
    <x v="2"/>
    <n v="17"/>
    <n v="193"/>
    <n v="48250"/>
    <n v="6755.0000000000009"/>
    <s v="Junho"/>
    <s v="Australia"/>
    <s v="Liam Lee"/>
  </r>
  <r>
    <n v="11276"/>
    <x v="3"/>
    <x v="5"/>
    <x v="1275"/>
    <x v="3"/>
    <x v="4"/>
    <x v="4"/>
    <n v="20"/>
    <n v="259"/>
    <n v="90650"/>
    <n v="40792.5"/>
    <s v="Junho"/>
    <s v="New Zealand"/>
    <s v="Liam Lee"/>
  </r>
  <r>
    <n v="11277"/>
    <x v="3"/>
    <x v="5"/>
    <x v="1276"/>
    <x v="0"/>
    <x v="0"/>
    <x v="1"/>
    <n v="6"/>
    <n v="123"/>
    <n v="61500"/>
    <n v="17835"/>
    <s v="Junho"/>
    <s v="Usa"/>
    <s v="Emily White"/>
  </r>
  <r>
    <n v="11278"/>
    <x v="3"/>
    <x v="6"/>
    <x v="1277"/>
    <x v="0"/>
    <x v="1"/>
    <x v="2"/>
    <n v="2"/>
    <n v="112"/>
    <n v="28000"/>
    <n v="10360"/>
    <s v="Julho"/>
    <s v="Usa"/>
    <s v="James Brown"/>
  </r>
  <r>
    <n v="11279"/>
    <x v="3"/>
    <x v="6"/>
    <x v="1278"/>
    <x v="3"/>
    <x v="4"/>
    <x v="3"/>
    <n v="6"/>
    <n v="356"/>
    <n v="302600"/>
    <n v="111962"/>
    <s v="Julho"/>
    <s v="New Zealand"/>
    <s v="Liam Lee"/>
  </r>
  <r>
    <n v="11280"/>
    <x v="3"/>
    <x v="6"/>
    <x v="1279"/>
    <x v="0"/>
    <x v="0"/>
    <x v="4"/>
    <n v="28"/>
    <n v="417"/>
    <n v="145950"/>
    <n v="30649.5"/>
    <s v="Julho"/>
    <s v="Usa"/>
    <s v="Emily White"/>
  </r>
  <r>
    <n v="11281"/>
    <x v="3"/>
    <x v="6"/>
    <x v="1280"/>
    <x v="1"/>
    <x v="0"/>
    <x v="4"/>
    <n v="23"/>
    <n v="234"/>
    <n v="81900"/>
    <n v="19656"/>
    <s v="Julho"/>
    <s v="Canada"/>
    <s v="Emily White"/>
  </r>
  <r>
    <n v="11282"/>
    <x v="3"/>
    <x v="6"/>
    <x v="1281"/>
    <x v="0"/>
    <x v="1"/>
    <x v="4"/>
    <n v="34"/>
    <n v="454"/>
    <n v="158900"/>
    <n v="20657"/>
    <s v="Julho"/>
    <s v="Usa"/>
    <s v="James Brown"/>
  </r>
  <r>
    <n v="11283"/>
    <x v="3"/>
    <x v="6"/>
    <x v="1282"/>
    <x v="2"/>
    <x v="2"/>
    <x v="2"/>
    <n v="10"/>
    <n v="309"/>
    <n v="77250"/>
    <n v="28582.5"/>
    <s v="Julho"/>
    <s v="Australia"/>
    <s v="Jane Doe"/>
  </r>
  <r>
    <n v="11284"/>
    <x v="3"/>
    <x v="6"/>
    <x v="1283"/>
    <x v="0"/>
    <x v="0"/>
    <x v="0"/>
    <n v="14"/>
    <n v="318"/>
    <n v="238500"/>
    <n v="78705"/>
    <s v="Julho"/>
    <s v="Usa"/>
    <s v="Emily White"/>
  </r>
  <r>
    <n v="11285"/>
    <x v="3"/>
    <x v="6"/>
    <x v="1284"/>
    <x v="3"/>
    <x v="0"/>
    <x v="2"/>
    <n v="7"/>
    <n v="142"/>
    <n v="35500"/>
    <n v="11360"/>
    <s v="Julho"/>
    <s v="New Zealand"/>
    <s v="Emily White"/>
  </r>
  <r>
    <n v="11286"/>
    <x v="3"/>
    <x v="6"/>
    <x v="1285"/>
    <x v="4"/>
    <x v="1"/>
    <x v="4"/>
    <n v="7"/>
    <n v="489"/>
    <n v="171150"/>
    <n v="17115"/>
    <s v="Julho"/>
    <s v="Uk"/>
    <s v="James Brown"/>
  </r>
  <r>
    <n v="11287"/>
    <x v="3"/>
    <x v="6"/>
    <x v="1286"/>
    <x v="1"/>
    <x v="3"/>
    <x v="4"/>
    <n v="38"/>
    <n v="486"/>
    <n v="170100"/>
    <n v="56133"/>
    <s v="Julho"/>
    <s v="Canada"/>
    <s v="John Smith"/>
  </r>
  <r>
    <n v="11288"/>
    <x v="3"/>
    <x v="6"/>
    <x v="1287"/>
    <x v="4"/>
    <x v="1"/>
    <x v="1"/>
    <n v="24"/>
    <n v="369"/>
    <n v="184500"/>
    <n v="40590"/>
    <s v="Julho"/>
    <s v="Uk"/>
    <s v="James Brown"/>
  </r>
  <r>
    <n v="11289"/>
    <x v="3"/>
    <x v="6"/>
    <x v="1288"/>
    <x v="2"/>
    <x v="4"/>
    <x v="0"/>
    <n v="4"/>
    <n v="123"/>
    <n v="92250"/>
    <n v="16605"/>
    <s v="Julho"/>
    <s v="Australia"/>
    <s v="Liam Lee"/>
  </r>
  <r>
    <n v="11290"/>
    <x v="3"/>
    <x v="6"/>
    <x v="1289"/>
    <x v="1"/>
    <x v="2"/>
    <x v="0"/>
    <n v="14"/>
    <n v="277"/>
    <n v="207750"/>
    <n v="93487.5"/>
    <s v="Julho"/>
    <s v="Canada"/>
    <s v="Jane Doe"/>
  </r>
  <r>
    <n v="11291"/>
    <x v="3"/>
    <x v="6"/>
    <x v="1290"/>
    <x v="3"/>
    <x v="0"/>
    <x v="2"/>
    <n v="7"/>
    <n v="451"/>
    <n v="112750"/>
    <n v="36080"/>
    <s v="Julho"/>
    <s v="New Zealand"/>
    <s v="Emily White"/>
  </r>
  <r>
    <n v="11292"/>
    <x v="3"/>
    <x v="6"/>
    <x v="1291"/>
    <x v="4"/>
    <x v="2"/>
    <x v="3"/>
    <n v="4"/>
    <n v="42"/>
    <n v="35700"/>
    <n v="7854"/>
    <s v="Julho"/>
    <s v="Uk"/>
    <s v="Jane Doe"/>
  </r>
  <r>
    <n v="11293"/>
    <x v="3"/>
    <x v="6"/>
    <x v="1292"/>
    <x v="3"/>
    <x v="3"/>
    <x v="0"/>
    <n v="43"/>
    <n v="445"/>
    <n v="333750"/>
    <n v="120150"/>
    <s v="Julho"/>
    <s v="New Zealand"/>
    <s v="John Smith"/>
  </r>
  <r>
    <n v="11294"/>
    <x v="3"/>
    <x v="6"/>
    <x v="1293"/>
    <x v="0"/>
    <x v="4"/>
    <x v="2"/>
    <n v="21"/>
    <n v="352"/>
    <n v="88000"/>
    <n v="27280"/>
    <s v="Julho"/>
    <s v="Usa"/>
    <s v="Liam Lee"/>
  </r>
  <r>
    <n v="11295"/>
    <x v="3"/>
    <x v="6"/>
    <x v="1294"/>
    <x v="2"/>
    <x v="1"/>
    <x v="2"/>
    <n v="24"/>
    <n v="452"/>
    <n v="113000"/>
    <n v="45200"/>
    <s v="Julho"/>
    <s v="Australia"/>
    <s v="James Brown"/>
  </r>
  <r>
    <n v="11296"/>
    <x v="3"/>
    <x v="6"/>
    <x v="1295"/>
    <x v="1"/>
    <x v="3"/>
    <x v="1"/>
    <n v="5"/>
    <n v="315"/>
    <n v="157500"/>
    <n v="64574.999999999993"/>
    <s v="Julho"/>
    <s v="Canada"/>
    <s v="John Smith"/>
  </r>
  <r>
    <n v="11297"/>
    <x v="3"/>
    <x v="6"/>
    <x v="1296"/>
    <x v="4"/>
    <x v="3"/>
    <x v="4"/>
    <n v="13"/>
    <n v="429"/>
    <n v="150150"/>
    <n v="36036"/>
    <s v="Julho"/>
    <s v="Uk"/>
    <s v="John Smith"/>
  </r>
  <r>
    <n v="11298"/>
    <x v="3"/>
    <x v="6"/>
    <x v="1297"/>
    <x v="2"/>
    <x v="2"/>
    <x v="1"/>
    <n v="4"/>
    <n v="40"/>
    <n v="20000"/>
    <n v="8400"/>
    <s v="Julho"/>
    <s v="Australia"/>
    <s v="Jane Doe"/>
  </r>
  <r>
    <n v="11299"/>
    <x v="3"/>
    <x v="6"/>
    <x v="1298"/>
    <x v="3"/>
    <x v="1"/>
    <x v="1"/>
    <n v="2"/>
    <n v="101"/>
    <n v="50500"/>
    <n v="8585"/>
    <s v="Julho"/>
    <s v="New Zealand"/>
    <s v="James Brown"/>
  </r>
  <r>
    <n v="11300"/>
    <x v="3"/>
    <x v="6"/>
    <x v="1299"/>
    <x v="2"/>
    <x v="4"/>
    <x v="4"/>
    <n v="6"/>
    <n v="211"/>
    <n v="73850"/>
    <n v="7385"/>
    <s v="Julho"/>
    <s v="Australia"/>
    <s v="Liam Lee"/>
  </r>
  <r>
    <n v="11301"/>
    <x v="3"/>
    <x v="6"/>
    <x v="1300"/>
    <x v="4"/>
    <x v="4"/>
    <x v="4"/>
    <n v="3"/>
    <n v="217"/>
    <n v="75950"/>
    <n v="19747"/>
    <s v="Julho"/>
    <s v="Uk"/>
    <s v="Liam Lee"/>
  </r>
  <r>
    <n v="11302"/>
    <x v="3"/>
    <x v="6"/>
    <x v="1301"/>
    <x v="3"/>
    <x v="1"/>
    <x v="2"/>
    <n v="34"/>
    <n v="441"/>
    <n v="110250"/>
    <n v="30870.000000000004"/>
    <s v="Julho"/>
    <s v="New Zealand"/>
    <s v="James Brown"/>
  </r>
  <r>
    <n v="11303"/>
    <x v="3"/>
    <x v="6"/>
    <x v="1302"/>
    <x v="3"/>
    <x v="1"/>
    <x v="4"/>
    <n v="12"/>
    <n v="134"/>
    <n v="46900"/>
    <n v="8911"/>
    <s v="Julho"/>
    <s v="New Zealand"/>
    <s v="James Brown"/>
  </r>
  <r>
    <n v="11304"/>
    <x v="3"/>
    <x v="6"/>
    <x v="1303"/>
    <x v="2"/>
    <x v="2"/>
    <x v="4"/>
    <n v="20"/>
    <n v="434"/>
    <n v="151900"/>
    <n v="51646.000000000007"/>
    <s v="Julho"/>
    <s v="Australia"/>
    <s v="Jane Doe"/>
  </r>
  <r>
    <n v="11305"/>
    <x v="3"/>
    <x v="6"/>
    <x v="1304"/>
    <x v="3"/>
    <x v="1"/>
    <x v="4"/>
    <n v="11"/>
    <n v="414"/>
    <n v="144900"/>
    <n v="52164"/>
    <s v="Julho"/>
    <s v="New Zealand"/>
    <s v="James Brown"/>
  </r>
  <r>
    <n v="11306"/>
    <x v="3"/>
    <x v="6"/>
    <x v="1305"/>
    <x v="1"/>
    <x v="3"/>
    <x v="1"/>
    <n v="6"/>
    <n v="108"/>
    <n v="54000"/>
    <n v="7560.0000000000009"/>
    <s v="Julho"/>
    <s v="Canada"/>
    <s v="John Smith"/>
  </r>
  <r>
    <n v="11307"/>
    <x v="3"/>
    <x v="6"/>
    <x v="1306"/>
    <x v="1"/>
    <x v="3"/>
    <x v="1"/>
    <n v="4"/>
    <n v="178"/>
    <n v="89000"/>
    <n v="16910"/>
    <s v="Julho"/>
    <s v="Canada"/>
    <s v="John Smith"/>
  </r>
  <r>
    <n v="11308"/>
    <x v="3"/>
    <x v="6"/>
    <x v="1307"/>
    <x v="2"/>
    <x v="0"/>
    <x v="3"/>
    <n v="7"/>
    <n v="238"/>
    <n v="202300"/>
    <n v="24276"/>
    <s v="Julho"/>
    <s v="Australia"/>
    <s v="Emily White"/>
  </r>
  <r>
    <n v="11309"/>
    <x v="3"/>
    <x v="7"/>
    <x v="1308"/>
    <x v="3"/>
    <x v="0"/>
    <x v="2"/>
    <n v="2"/>
    <n v="131"/>
    <n v="32750"/>
    <n v="5567.5"/>
    <s v="Agosto"/>
    <s v="New Zealand"/>
    <s v="Emily White"/>
  </r>
  <r>
    <n v="11310"/>
    <x v="3"/>
    <x v="7"/>
    <x v="1309"/>
    <x v="0"/>
    <x v="1"/>
    <x v="2"/>
    <n v="5"/>
    <n v="150"/>
    <n v="37500"/>
    <n v="6750"/>
    <s v="Agosto"/>
    <s v="Usa"/>
    <s v="James Brown"/>
  </r>
  <r>
    <n v="11311"/>
    <x v="3"/>
    <x v="7"/>
    <x v="1310"/>
    <x v="2"/>
    <x v="3"/>
    <x v="4"/>
    <n v="15"/>
    <n v="206"/>
    <n v="72100"/>
    <n v="13699"/>
    <s v="Agosto"/>
    <s v="Australia"/>
    <s v="John Smith"/>
  </r>
  <r>
    <n v="11312"/>
    <x v="3"/>
    <x v="7"/>
    <x v="1311"/>
    <x v="4"/>
    <x v="2"/>
    <x v="1"/>
    <n v="8"/>
    <n v="263"/>
    <n v="131500"/>
    <n v="51285"/>
    <s v="Agosto"/>
    <s v="Uk"/>
    <s v="Jane Doe"/>
  </r>
  <r>
    <n v="11313"/>
    <x v="3"/>
    <x v="7"/>
    <x v="1312"/>
    <x v="3"/>
    <x v="2"/>
    <x v="3"/>
    <n v="3"/>
    <n v="36"/>
    <n v="30600"/>
    <n v="8262"/>
    <s v="Agosto"/>
    <s v="New Zealand"/>
    <s v="Jane Doe"/>
  </r>
  <r>
    <n v="11314"/>
    <x v="3"/>
    <x v="7"/>
    <x v="1313"/>
    <x v="1"/>
    <x v="2"/>
    <x v="2"/>
    <n v="28"/>
    <n v="426"/>
    <n v="106500"/>
    <n v="46860"/>
    <s v="Agosto"/>
    <s v="Canada"/>
    <s v="Jane Doe"/>
  </r>
  <r>
    <n v="11315"/>
    <x v="3"/>
    <x v="7"/>
    <x v="1314"/>
    <x v="1"/>
    <x v="4"/>
    <x v="2"/>
    <n v="3"/>
    <n v="162"/>
    <n v="40500"/>
    <n v="10125"/>
    <s v="Agosto"/>
    <s v="Canada"/>
    <s v="Liam Lee"/>
  </r>
  <r>
    <n v="11316"/>
    <x v="3"/>
    <x v="7"/>
    <x v="1315"/>
    <x v="2"/>
    <x v="4"/>
    <x v="4"/>
    <n v="3"/>
    <n v="188"/>
    <n v="65800"/>
    <n v="16450"/>
    <s v="Agosto"/>
    <s v="Australia"/>
    <s v="Liam Lee"/>
  </r>
  <r>
    <n v="11317"/>
    <x v="3"/>
    <x v="7"/>
    <x v="1316"/>
    <x v="2"/>
    <x v="1"/>
    <x v="3"/>
    <n v="33"/>
    <n v="366"/>
    <n v="311100"/>
    <n v="62220"/>
    <s v="Agosto"/>
    <s v="Australia"/>
    <s v="James Brown"/>
  </r>
  <r>
    <n v="11318"/>
    <x v="3"/>
    <x v="7"/>
    <x v="1317"/>
    <x v="1"/>
    <x v="3"/>
    <x v="0"/>
    <n v="10"/>
    <n v="173"/>
    <n v="129750"/>
    <n v="28545"/>
    <s v="Agosto"/>
    <s v="Canada"/>
    <s v="John Smith"/>
  </r>
  <r>
    <n v="11319"/>
    <x v="3"/>
    <x v="7"/>
    <x v="1318"/>
    <x v="3"/>
    <x v="0"/>
    <x v="3"/>
    <n v="19"/>
    <n v="290"/>
    <n v="246500"/>
    <n v="83810"/>
    <s v="Agosto"/>
    <s v="New Zealand"/>
    <s v="Emily White"/>
  </r>
  <r>
    <n v="11320"/>
    <x v="3"/>
    <x v="7"/>
    <x v="1319"/>
    <x v="2"/>
    <x v="3"/>
    <x v="3"/>
    <n v="8"/>
    <n v="257"/>
    <n v="218450"/>
    <n v="96118"/>
    <s v="Agosto"/>
    <s v="Australia"/>
    <s v="John Smith"/>
  </r>
  <r>
    <n v="11321"/>
    <x v="3"/>
    <x v="7"/>
    <x v="1320"/>
    <x v="2"/>
    <x v="4"/>
    <x v="4"/>
    <n v="4"/>
    <n v="133"/>
    <n v="46550"/>
    <n v="16292.499999999998"/>
    <s v="Agosto"/>
    <s v="Australia"/>
    <s v="Liam Lee"/>
  </r>
  <r>
    <n v="11322"/>
    <x v="3"/>
    <x v="7"/>
    <x v="1321"/>
    <x v="4"/>
    <x v="4"/>
    <x v="1"/>
    <n v="6"/>
    <n v="348"/>
    <n v="174000"/>
    <n v="27840"/>
    <s v="Agosto"/>
    <s v="Uk"/>
    <s v="Liam Lee"/>
  </r>
  <r>
    <n v="11323"/>
    <x v="3"/>
    <x v="7"/>
    <x v="1322"/>
    <x v="0"/>
    <x v="1"/>
    <x v="4"/>
    <n v="13"/>
    <n v="454"/>
    <n v="158900"/>
    <n v="69916"/>
    <s v="Agosto"/>
    <s v="Usa"/>
    <s v="James Brown"/>
  </r>
  <r>
    <n v="11324"/>
    <x v="3"/>
    <x v="7"/>
    <x v="1323"/>
    <x v="3"/>
    <x v="2"/>
    <x v="2"/>
    <n v="41"/>
    <n v="495"/>
    <n v="123750"/>
    <n v="14850"/>
    <s v="Agosto"/>
    <s v="New Zealand"/>
    <s v="Jane Doe"/>
  </r>
  <r>
    <n v="11325"/>
    <x v="3"/>
    <x v="7"/>
    <x v="1324"/>
    <x v="2"/>
    <x v="0"/>
    <x v="1"/>
    <n v="26"/>
    <n v="374"/>
    <n v="187000"/>
    <n v="26180.000000000004"/>
    <s v="Agosto"/>
    <s v="Australia"/>
    <s v="Emily White"/>
  </r>
  <r>
    <n v="11326"/>
    <x v="3"/>
    <x v="7"/>
    <x v="1325"/>
    <x v="3"/>
    <x v="0"/>
    <x v="1"/>
    <n v="2"/>
    <n v="119"/>
    <n v="59500"/>
    <n v="20230"/>
    <s v="Agosto"/>
    <s v="New Zealand"/>
    <s v="Emily White"/>
  </r>
  <r>
    <n v="11327"/>
    <x v="3"/>
    <x v="7"/>
    <x v="1326"/>
    <x v="2"/>
    <x v="0"/>
    <x v="0"/>
    <n v="6"/>
    <n v="144"/>
    <n v="108000"/>
    <n v="19440"/>
    <s v="Agosto"/>
    <s v="Australia"/>
    <s v="Emily White"/>
  </r>
  <r>
    <n v="11328"/>
    <x v="3"/>
    <x v="7"/>
    <x v="1327"/>
    <x v="1"/>
    <x v="4"/>
    <x v="3"/>
    <n v="41"/>
    <n v="435"/>
    <n v="369750"/>
    <n v="166387.5"/>
    <s v="Agosto"/>
    <s v="Canada"/>
    <s v="Liam Lee"/>
  </r>
  <r>
    <n v="11329"/>
    <x v="3"/>
    <x v="7"/>
    <x v="1328"/>
    <x v="3"/>
    <x v="3"/>
    <x v="0"/>
    <n v="10"/>
    <n v="159"/>
    <n v="119250"/>
    <n v="41737.5"/>
    <s v="Agosto"/>
    <s v="New Zealand"/>
    <s v="John Smith"/>
  </r>
  <r>
    <n v="11330"/>
    <x v="3"/>
    <x v="7"/>
    <x v="1329"/>
    <x v="1"/>
    <x v="3"/>
    <x v="3"/>
    <n v="2"/>
    <n v="36"/>
    <n v="30600"/>
    <n v="7956"/>
    <s v="Agosto"/>
    <s v="Canada"/>
    <s v="John Smith"/>
  </r>
  <r>
    <n v="11331"/>
    <x v="3"/>
    <x v="7"/>
    <x v="1330"/>
    <x v="0"/>
    <x v="1"/>
    <x v="3"/>
    <n v="33"/>
    <n v="402"/>
    <n v="341700"/>
    <n v="61506"/>
    <s v="Agosto"/>
    <s v="Usa"/>
    <s v="James Brown"/>
  </r>
  <r>
    <n v="11332"/>
    <x v="3"/>
    <x v="7"/>
    <x v="1331"/>
    <x v="0"/>
    <x v="4"/>
    <x v="4"/>
    <n v="42"/>
    <n v="452"/>
    <n v="158200"/>
    <n v="30058"/>
    <s v="Agosto"/>
    <s v="Usa"/>
    <s v="Liam Lee"/>
  </r>
  <r>
    <n v="11333"/>
    <x v="3"/>
    <x v="7"/>
    <x v="1332"/>
    <x v="0"/>
    <x v="4"/>
    <x v="0"/>
    <n v="29"/>
    <n v="411"/>
    <n v="308250"/>
    <n v="43155.000000000007"/>
    <s v="Agosto"/>
    <s v="Usa"/>
    <s v="Liam Lee"/>
  </r>
  <r>
    <n v="11334"/>
    <x v="3"/>
    <x v="7"/>
    <x v="1333"/>
    <x v="3"/>
    <x v="3"/>
    <x v="0"/>
    <n v="2"/>
    <n v="37"/>
    <n v="27750"/>
    <n v="11655"/>
    <s v="Agosto"/>
    <s v="New Zealand"/>
    <s v="John Smith"/>
  </r>
  <r>
    <n v="11335"/>
    <x v="3"/>
    <x v="7"/>
    <x v="1334"/>
    <x v="3"/>
    <x v="3"/>
    <x v="3"/>
    <n v="7"/>
    <n v="75"/>
    <n v="63750"/>
    <n v="21675"/>
    <s v="Agosto"/>
    <s v="New Zealand"/>
    <s v="John Smith"/>
  </r>
  <r>
    <n v="11336"/>
    <x v="3"/>
    <x v="7"/>
    <x v="1335"/>
    <x v="1"/>
    <x v="1"/>
    <x v="1"/>
    <n v="6"/>
    <n v="97"/>
    <n v="48500"/>
    <n v="21825"/>
    <s v="Agosto"/>
    <s v="Canada"/>
    <s v="James Brown"/>
  </r>
  <r>
    <n v="11337"/>
    <x v="3"/>
    <x v="7"/>
    <x v="1336"/>
    <x v="2"/>
    <x v="4"/>
    <x v="3"/>
    <n v="41"/>
    <n v="467"/>
    <n v="396950"/>
    <n v="134963"/>
    <s v="Agosto"/>
    <s v="Australia"/>
    <s v="Liam Lee"/>
  </r>
  <r>
    <n v="11338"/>
    <x v="3"/>
    <x v="7"/>
    <x v="1337"/>
    <x v="4"/>
    <x v="0"/>
    <x v="3"/>
    <n v="3"/>
    <n v="72"/>
    <n v="61200"/>
    <n v="15912"/>
    <s v="Agosto"/>
    <s v="Uk"/>
    <s v="Emily White"/>
  </r>
  <r>
    <n v="11339"/>
    <x v="3"/>
    <x v="7"/>
    <x v="1338"/>
    <x v="1"/>
    <x v="0"/>
    <x v="4"/>
    <n v="13"/>
    <n v="328"/>
    <n v="114800"/>
    <n v="43624"/>
    <s v="Agosto"/>
    <s v="Canada"/>
    <s v="Emily White"/>
  </r>
  <r>
    <n v="11340"/>
    <x v="3"/>
    <x v="8"/>
    <x v="1339"/>
    <x v="4"/>
    <x v="0"/>
    <x v="0"/>
    <n v="9"/>
    <n v="142"/>
    <n v="106500"/>
    <n v="14910.000000000002"/>
    <s v="Setembro"/>
    <s v="Uk"/>
    <s v="Emily White"/>
  </r>
  <r>
    <n v="11341"/>
    <x v="3"/>
    <x v="8"/>
    <x v="1340"/>
    <x v="2"/>
    <x v="0"/>
    <x v="0"/>
    <n v="7"/>
    <n v="89"/>
    <n v="66750"/>
    <n v="24697.5"/>
    <s v="Setembro"/>
    <s v="Australia"/>
    <s v="Emily White"/>
  </r>
  <r>
    <n v="11342"/>
    <x v="3"/>
    <x v="8"/>
    <x v="1341"/>
    <x v="2"/>
    <x v="0"/>
    <x v="2"/>
    <n v="2"/>
    <n v="51"/>
    <n v="12750"/>
    <n v="2550"/>
    <s v="Setembro"/>
    <s v="Australia"/>
    <s v="Emily White"/>
  </r>
  <r>
    <n v="11343"/>
    <x v="3"/>
    <x v="8"/>
    <x v="1342"/>
    <x v="3"/>
    <x v="0"/>
    <x v="1"/>
    <n v="8"/>
    <n v="259"/>
    <n v="129500"/>
    <n v="53095"/>
    <s v="Setembro"/>
    <s v="New Zealand"/>
    <s v="Emily White"/>
  </r>
  <r>
    <n v="11344"/>
    <x v="3"/>
    <x v="8"/>
    <x v="1343"/>
    <x v="3"/>
    <x v="4"/>
    <x v="0"/>
    <n v="2"/>
    <n v="64"/>
    <n v="48000"/>
    <n v="4800"/>
    <s v="Setembro"/>
    <s v="New Zealand"/>
    <s v="Liam Lee"/>
  </r>
  <r>
    <n v="11345"/>
    <x v="3"/>
    <x v="8"/>
    <x v="1344"/>
    <x v="1"/>
    <x v="3"/>
    <x v="0"/>
    <n v="4"/>
    <n v="126"/>
    <n v="94500"/>
    <n v="13230.000000000002"/>
    <s v="Setembro"/>
    <s v="Canada"/>
    <s v="John Smith"/>
  </r>
  <r>
    <n v="11346"/>
    <x v="3"/>
    <x v="8"/>
    <x v="1345"/>
    <x v="4"/>
    <x v="3"/>
    <x v="3"/>
    <n v="4"/>
    <n v="95"/>
    <n v="80750"/>
    <n v="20995"/>
    <s v="Setembro"/>
    <s v="Uk"/>
    <s v="John Smith"/>
  </r>
  <r>
    <n v="11347"/>
    <x v="3"/>
    <x v="8"/>
    <x v="1346"/>
    <x v="2"/>
    <x v="1"/>
    <x v="1"/>
    <n v="5"/>
    <n v="190"/>
    <n v="95000"/>
    <n v="18050"/>
    <s v="Setembro"/>
    <s v="Australia"/>
    <s v="James Brown"/>
  </r>
  <r>
    <n v="11348"/>
    <x v="3"/>
    <x v="8"/>
    <x v="1347"/>
    <x v="2"/>
    <x v="3"/>
    <x v="3"/>
    <n v="26"/>
    <n v="497"/>
    <n v="422450"/>
    <n v="42245"/>
    <s v="Setembro"/>
    <s v="Australia"/>
    <s v="John Smith"/>
  </r>
  <r>
    <n v="11349"/>
    <x v="3"/>
    <x v="8"/>
    <x v="1348"/>
    <x v="4"/>
    <x v="0"/>
    <x v="1"/>
    <n v="12"/>
    <n v="257"/>
    <n v="128500"/>
    <n v="33410"/>
    <s v="Setembro"/>
    <s v="Uk"/>
    <s v="Emily White"/>
  </r>
  <r>
    <n v="11350"/>
    <x v="3"/>
    <x v="8"/>
    <x v="1349"/>
    <x v="4"/>
    <x v="3"/>
    <x v="2"/>
    <n v="23"/>
    <n v="415"/>
    <n v="103750"/>
    <n v="25937.5"/>
    <s v="Setembro"/>
    <s v="Uk"/>
    <s v="John Smith"/>
  </r>
  <r>
    <n v="11351"/>
    <x v="3"/>
    <x v="8"/>
    <x v="1350"/>
    <x v="3"/>
    <x v="0"/>
    <x v="0"/>
    <n v="29"/>
    <n v="362"/>
    <n v="271500"/>
    <n v="97740"/>
    <s v="Setembro"/>
    <s v="New Zealand"/>
    <s v="Emily White"/>
  </r>
  <r>
    <n v="11352"/>
    <x v="3"/>
    <x v="8"/>
    <x v="1351"/>
    <x v="4"/>
    <x v="0"/>
    <x v="0"/>
    <n v="2"/>
    <n v="150"/>
    <n v="112500"/>
    <n v="49500"/>
    <s v="Setembro"/>
    <s v="Uk"/>
    <s v="Emily White"/>
  </r>
  <r>
    <n v="11353"/>
    <x v="3"/>
    <x v="8"/>
    <x v="1352"/>
    <x v="0"/>
    <x v="2"/>
    <x v="1"/>
    <n v="2"/>
    <n v="142"/>
    <n v="71000"/>
    <n v="29110"/>
    <s v="Setembro"/>
    <s v="Usa"/>
    <s v="Jane Doe"/>
  </r>
  <r>
    <n v="11354"/>
    <x v="3"/>
    <x v="8"/>
    <x v="1353"/>
    <x v="2"/>
    <x v="3"/>
    <x v="4"/>
    <n v="6"/>
    <n v="183"/>
    <n v="64050"/>
    <n v="14091"/>
    <s v="Setembro"/>
    <s v="Australia"/>
    <s v="John Smith"/>
  </r>
  <r>
    <n v="11355"/>
    <x v="3"/>
    <x v="8"/>
    <x v="1354"/>
    <x v="1"/>
    <x v="3"/>
    <x v="0"/>
    <n v="45"/>
    <n v="474"/>
    <n v="355500"/>
    <n v="63990"/>
    <s v="Setembro"/>
    <s v="Canada"/>
    <s v="John Smith"/>
  </r>
  <r>
    <n v="11356"/>
    <x v="3"/>
    <x v="8"/>
    <x v="1355"/>
    <x v="3"/>
    <x v="2"/>
    <x v="1"/>
    <n v="20"/>
    <n v="224"/>
    <n v="112000"/>
    <n v="21280"/>
    <s v="Setembro"/>
    <s v="New Zealand"/>
    <s v="Jane Doe"/>
  </r>
  <r>
    <n v="11357"/>
    <x v="3"/>
    <x v="8"/>
    <x v="1356"/>
    <x v="3"/>
    <x v="2"/>
    <x v="0"/>
    <n v="1"/>
    <n v="26"/>
    <n v="19500"/>
    <n v="7994.9999999999991"/>
    <s v="Setembro"/>
    <s v="New Zealand"/>
    <s v="Jane Doe"/>
  </r>
  <r>
    <n v="11358"/>
    <x v="3"/>
    <x v="8"/>
    <x v="1357"/>
    <x v="1"/>
    <x v="2"/>
    <x v="1"/>
    <n v="25"/>
    <n v="292"/>
    <n v="146000"/>
    <n v="54020"/>
    <s v="Setembro"/>
    <s v="Canada"/>
    <s v="Jane Doe"/>
  </r>
  <r>
    <n v="11359"/>
    <x v="3"/>
    <x v="8"/>
    <x v="1358"/>
    <x v="3"/>
    <x v="3"/>
    <x v="3"/>
    <n v="13"/>
    <n v="137"/>
    <n v="116450"/>
    <n v="38428.5"/>
    <s v="Setembro"/>
    <s v="New Zealand"/>
    <s v="John Smith"/>
  </r>
  <r>
    <n v="11360"/>
    <x v="3"/>
    <x v="8"/>
    <x v="1359"/>
    <x v="4"/>
    <x v="2"/>
    <x v="2"/>
    <n v="5"/>
    <n v="365"/>
    <n v="91250"/>
    <n v="38325"/>
    <s v="Setembro"/>
    <s v="Uk"/>
    <s v="Jane Doe"/>
  </r>
  <r>
    <n v="11361"/>
    <x v="3"/>
    <x v="8"/>
    <x v="1360"/>
    <x v="3"/>
    <x v="2"/>
    <x v="1"/>
    <n v="18"/>
    <n v="239"/>
    <n v="119500"/>
    <n v="22705"/>
    <s v="Setembro"/>
    <s v="New Zealand"/>
    <s v="Jane Doe"/>
  </r>
  <r>
    <n v="11362"/>
    <x v="3"/>
    <x v="8"/>
    <x v="1361"/>
    <x v="0"/>
    <x v="3"/>
    <x v="4"/>
    <n v="25"/>
    <n v="279"/>
    <n v="97650"/>
    <n v="22459.5"/>
    <s v="Setembro"/>
    <s v="Usa"/>
    <s v="John Smith"/>
  </r>
  <r>
    <n v="11363"/>
    <x v="3"/>
    <x v="8"/>
    <x v="1362"/>
    <x v="4"/>
    <x v="4"/>
    <x v="1"/>
    <n v="11"/>
    <n v="301"/>
    <n v="150500"/>
    <n v="15050"/>
    <s v="Setembro"/>
    <s v="Uk"/>
    <s v="Liam Lee"/>
  </r>
  <r>
    <n v="11364"/>
    <x v="3"/>
    <x v="8"/>
    <x v="1363"/>
    <x v="2"/>
    <x v="4"/>
    <x v="1"/>
    <n v="2"/>
    <n v="34"/>
    <n v="17000"/>
    <n v="1700"/>
    <s v="Setembro"/>
    <s v="Australia"/>
    <s v="Liam Lee"/>
  </r>
  <r>
    <n v="11365"/>
    <x v="3"/>
    <x v="8"/>
    <x v="1364"/>
    <x v="3"/>
    <x v="0"/>
    <x v="2"/>
    <n v="25"/>
    <n v="451"/>
    <n v="112750"/>
    <n v="43972.5"/>
    <s v="Setembro"/>
    <s v="New Zealand"/>
    <s v="Emily White"/>
  </r>
  <r>
    <n v="11366"/>
    <x v="3"/>
    <x v="8"/>
    <x v="1365"/>
    <x v="4"/>
    <x v="0"/>
    <x v="0"/>
    <n v="4"/>
    <n v="92"/>
    <n v="69000"/>
    <n v="17250"/>
    <s v="Setembro"/>
    <s v="Uk"/>
    <s v="Emily White"/>
  </r>
  <r>
    <n v="11367"/>
    <x v="3"/>
    <x v="8"/>
    <x v="1366"/>
    <x v="4"/>
    <x v="1"/>
    <x v="0"/>
    <n v="15"/>
    <n v="185"/>
    <n v="138750"/>
    <n v="22200"/>
    <s v="Setembro"/>
    <s v="Uk"/>
    <s v="James Brown"/>
  </r>
  <r>
    <n v="11368"/>
    <x v="3"/>
    <x v="8"/>
    <x v="1367"/>
    <x v="4"/>
    <x v="2"/>
    <x v="4"/>
    <n v="11"/>
    <n v="290"/>
    <n v="101500"/>
    <n v="33495"/>
    <s v="Setembro"/>
    <s v="Uk"/>
    <s v="Jane Doe"/>
  </r>
  <r>
    <n v="11369"/>
    <x v="3"/>
    <x v="8"/>
    <x v="1368"/>
    <x v="3"/>
    <x v="0"/>
    <x v="3"/>
    <n v="2"/>
    <n v="20"/>
    <n v="17000"/>
    <n v="6120"/>
    <s v="Setembro"/>
    <s v="New Zealand"/>
    <s v="Emily White"/>
  </r>
  <r>
    <n v="11370"/>
    <x v="3"/>
    <x v="9"/>
    <x v="1369"/>
    <x v="4"/>
    <x v="2"/>
    <x v="1"/>
    <n v="30"/>
    <n v="341"/>
    <n v="170500"/>
    <n v="57970.000000000007"/>
    <s v="Outubro"/>
    <s v="Uk"/>
    <s v="Jane Doe"/>
  </r>
  <r>
    <n v="11371"/>
    <x v="3"/>
    <x v="9"/>
    <x v="1370"/>
    <x v="1"/>
    <x v="0"/>
    <x v="3"/>
    <n v="29"/>
    <n v="393"/>
    <n v="334050"/>
    <n v="73491"/>
    <s v="Outubro"/>
    <s v="Canada"/>
    <s v="Emily White"/>
  </r>
  <r>
    <n v="11372"/>
    <x v="3"/>
    <x v="9"/>
    <x v="1371"/>
    <x v="2"/>
    <x v="4"/>
    <x v="2"/>
    <n v="9"/>
    <n v="464"/>
    <n v="116000"/>
    <n v="48720"/>
    <s v="Outubro"/>
    <s v="Australia"/>
    <s v="Liam Lee"/>
  </r>
  <r>
    <n v="11373"/>
    <x v="3"/>
    <x v="9"/>
    <x v="1372"/>
    <x v="4"/>
    <x v="4"/>
    <x v="3"/>
    <n v="3"/>
    <n v="158"/>
    <n v="134300"/>
    <n v="55063"/>
    <s v="Outubro"/>
    <s v="Uk"/>
    <s v="Liam Lee"/>
  </r>
  <r>
    <n v="11374"/>
    <x v="3"/>
    <x v="9"/>
    <x v="1373"/>
    <x v="4"/>
    <x v="0"/>
    <x v="3"/>
    <n v="25"/>
    <n v="367"/>
    <n v="311950"/>
    <n v="124780"/>
    <s v="Outubro"/>
    <s v="Uk"/>
    <s v="Emily White"/>
  </r>
  <r>
    <n v="11375"/>
    <x v="3"/>
    <x v="9"/>
    <x v="1374"/>
    <x v="3"/>
    <x v="0"/>
    <x v="4"/>
    <n v="3"/>
    <n v="158"/>
    <n v="55300"/>
    <n v="18249"/>
    <s v="Outubro"/>
    <s v="New Zealand"/>
    <s v="Emily White"/>
  </r>
  <r>
    <n v="11376"/>
    <x v="3"/>
    <x v="9"/>
    <x v="1375"/>
    <x v="3"/>
    <x v="0"/>
    <x v="2"/>
    <n v="19"/>
    <n v="329"/>
    <n v="82250"/>
    <n v="33722.5"/>
    <s v="Outubro"/>
    <s v="New Zealand"/>
    <s v="Emily White"/>
  </r>
  <r>
    <n v="11377"/>
    <x v="3"/>
    <x v="9"/>
    <x v="1376"/>
    <x v="0"/>
    <x v="2"/>
    <x v="0"/>
    <n v="24"/>
    <n v="265"/>
    <n v="198750"/>
    <n v="39750"/>
    <s v="Outubro"/>
    <s v="Usa"/>
    <s v="Jane Doe"/>
  </r>
  <r>
    <n v="11378"/>
    <x v="3"/>
    <x v="9"/>
    <x v="1377"/>
    <x v="2"/>
    <x v="4"/>
    <x v="3"/>
    <n v="17"/>
    <n v="186"/>
    <n v="158100"/>
    <n v="25296"/>
    <s v="Outubro"/>
    <s v="Australia"/>
    <s v="Liam Lee"/>
  </r>
  <r>
    <n v="11379"/>
    <x v="3"/>
    <x v="9"/>
    <x v="1378"/>
    <x v="3"/>
    <x v="0"/>
    <x v="1"/>
    <n v="15"/>
    <n v="219"/>
    <n v="109500"/>
    <n v="32850"/>
    <s v="Outubro"/>
    <s v="New Zealand"/>
    <s v="Emily White"/>
  </r>
  <r>
    <n v="11380"/>
    <x v="3"/>
    <x v="9"/>
    <x v="1379"/>
    <x v="1"/>
    <x v="2"/>
    <x v="0"/>
    <n v="14"/>
    <n v="174"/>
    <n v="130500"/>
    <n v="56115"/>
    <s v="Outubro"/>
    <s v="Canada"/>
    <s v="Jane Doe"/>
  </r>
  <r>
    <n v="11381"/>
    <x v="3"/>
    <x v="9"/>
    <x v="1380"/>
    <x v="4"/>
    <x v="2"/>
    <x v="3"/>
    <n v="6"/>
    <n v="68"/>
    <n v="57800"/>
    <n v="16184.000000000002"/>
    <s v="Outubro"/>
    <s v="Uk"/>
    <s v="Jane Doe"/>
  </r>
  <r>
    <n v="11382"/>
    <x v="3"/>
    <x v="9"/>
    <x v="1381"/>
    <x v="4"/>
    <x v="3"/>
    <x v="4"/>
    <n v="19"/>
    <n v="395"/>
    <n v="138250"/>
    <n v="51152.5"/>
    <s v="Outubro"/>
    <s v="Uk"/>
    <s v="John Smith"/>
  </r>
  <r>
    <n v="11383"/>
    <x v="3"/>
    <x v="9"/>
    <x v="1382"/>
    <x v="3"/>
    <x v="3"/>
    <x v="1"/>
    <n v="10"/>
    <n v="164"/>
    <n v="82000"/>
    <n v="15580"/>
    <s v="Outubro"/>
    <s v="New Zealand"/>
    <s v="John Smith"/>
  </r>
  <r>
    <n v="11384"/>
    <x v="3"/>
    <x v="9"/>
    <x v="1383"/>
    <x v="4"/>
    <x v="2"/>
    <x v="2"/>
    <n v="19"/>
    <n v="212"/>
    <n v="53000"/>
    <n v="15369.999999999998"/>
    <s v="Outubro"/>
    <s v="Uk"/>
    <s v="Jane Doe"/>
  </r>
  <r>
    <n v="11385"/>
    <x v="3"/>
    <x v="9"/>
    <x v="1384"/>
    <x v="3"/>
    <x v="0"/>
    <x v="0"/>
    <n v="40"/>
    <n v="400"/>
    <n v="300000"/>
    <n v="81000"/>
    <s v="Outubro"/>
    <s v="New Zealand"/>
    <s v="Emily White"/>
  </r>
  <r>
    <n v="11386"/>
    <x v="3"/>
    <x v="9"/>
    <x v="1385"/>
    <x v="4"/>
    <x v="2"/>
    <x v="1"/>
    <n v="33"/>
    <n v="392"/>
    <n v="196000"/>
    <n v="39200"/>
    <s v="Outubro"/>
    <s v="Uk"/>
    <s v="Jane Doe"/>
  </r>
  <r>
    <n v="11387"/>
    <x v="3"/>
    <x v="9"/>
    <x v="1386"/>
    <x v="0"/>
    <x v="4"/>
    <x v="3"/>
    <n v="38"/>
    <n v="432"/>
    <n v="367200"/>
    <n v="143208"/>
    <s v="Outubro"/>
    <s v="Usa"/>
    <s v="Liam Lee"/>
  </r>
  <r>
    <n v="11388"/>
    <x v="3"/>
    <x v="9"/>
    <x v="1387"/>
    <x v="3"/>
    <x v="4"/>
    <x v="1"/>
    <n v="13"/>
    <n v="384"/>
    <n v="192000"/>
    <n v="26880.000000000004"/>
    <s v="Outubro"/>
    <s v="New Zealand"/>
    <s v="Liam Lee"/>
  </r>
  <r>
    <n v="11389"/>
    <x v="3"/>
    <x v="9"/>
    <x v="1388"/>
    <x v="2"/>
    <x v="1"/>
    <x v="0"/>
    <n v="5"/>
    <n v="257"/>
    <n v="192750"/>
    <n v="46260"/>
    <s v="Outubro"/>
    <s v="Australia"/>
    <s v="James Brown"/>
  </r>
  <r>
    <n v="11390"/>
    <x v="3"/>
    <x v="9"/>
    <x v="1389"/>
    <x v="4"/>
    <x v="1"/>
    <x v="3"/>
    <n v="3"/>
    <n v="176"/>
    <n v="149600"/>
    <n v="64328"/>
    <s v="Outubro"/>
    <s v="Uk"/>
    <s v="James Brown"/>
  </r>
  <r>
    <n v="11391"/>
    <x v="3"/>
    <x v="9"/>
    <x v="1390"/>
    <x v="4"/>
    <x v="0"/>
    <x v="3"/>
    <n v="7"/>
    <n v="96"/>
    <n v="81600"/>
    <n v="11424.000000000002"/>
    <s v="Outubro"/>
    <s v="Uk"/>
    <s v="Emily White"/>
  </r>
  <r>
    <n v="11392"/>
    <x v="3"/>
    <x v="9"/>
    <x v="1391"/>
    <x v="4"/>
    <x v="2"/>
    <x v="2"/>
    <n v="1"/>
    <n v="26"/>
    <n v="6500"/>
    <n v="2015"/>
    <s v="Outubro"/>
    <s v="Uk"/>
    <s v="Jane Doe"/>
  </r>
  <r>
    <n v="11393"/>
    <x v="3"/>
    <x v="9"/>
    <x v="1392"/>
    <x v="4"/>
    <x v="1"/>
    <x v="4"/>
    <n v="7"/>
    <n v="197"/>
    <n v="68950"/>
    <n v="17927"/>
    <s v="Outubro"/>
    <s v="Uk"/>
    <s v="James Brown"/>
  </r>
  <r>
    <n v="11394"/>
    <x v="3"/>
    <x v="9"/>
    <x v="1393"/>
    <x v="1"/>
    <x v="4"/>
    <x v="0"/>
    <n v="13"/>
    <n v="312"/>
    <n v="234000"/>
    <n v="35100"/>
    <s v="Outubro"/>
    <s v="Canada"/>
    <s v="Liam Lee"/>
  </r>
  <r>
    <n v="11395"/>
    <x v="3"/>
    <x v="9"/>
    <x v="1394"/>
    <x v="2"/>
    <x v="3"/>
    <x v="4"/>
    <n v="6"/>
    <n v="179"/>
    <n v="62650"/>
    <n v="16289"/>
    <s v="Outubro"/>
    <s v="Australia"/>
    <s v="John Smith"/>
  </r>
  <r>
    <n v="11396"/>
    <x v="3"/>
    <x v="9"/>
    <x v="1395"/>
    <x v="1"/>
    <x v="4"/>
    <x v="0"/>
    <n v="14"/>
    <n v="254"/>
    <n v="190500"/>
    <n v="30480"/>
    <s v="Outubro"/>
    <s v="Canada"/>
    <s v="Liam Lee"/>
  </r>
  <r>
    <n v="11397"/>
    <x v="3"/>
    <x v="9"/>
    <x v="1396"/>
    <x v="3"/>
    <x v="2"/>
    <x v="4"/>
    <n v="13"/>
    <n v="242"/>
    <n v="84700"/>
    <n v="11011"/>
    <s v="Outubro"/>
    <s v="New Zealand"/>
    <s v="Jane Doe"/>
  </r>
  <r>
    <n v="11398"/>
    <x v="3"/>
    <x v="9"/>
    <x v="1397"/>
    <x v="0"/>
    <x v="4"/>
    <x v="2"/>
    <n v="5"/>
    <n v="96"/>
    <n v="24000"/>
    <n v="4560"/>
    <s v="Outubro"/>
    <s v="Usa"/>
    <s v="Liam Lee"/>
  </r>
  <r>
    <n v="11399"/>
    <x v="3"/>
    <x v="9"/>
    <x v="1398"/>
    <x v="1"/>
    <x v="0"/>
    <x v="2"/>
    <n v="23"/>
    <n v="337"/>
    <n v="84250"/>
    <n v="26960"/>
    <s v="Outubro"/>
    <s v="Canada"/>
    <s v="Emily White"/>
  </r>
  <r>
    <n v="11400"/>
    <x v="3"/>
    <x v="9"/>
    <x v="1399"/>
    <x v="4"/>
    <x v="1"/>
    <x v="4"/>
    <n v="28"/>
    <n v="369"/>
    <n v="129150"/>
    <n v="50368.5"/>
    <s v="Outubro"/>
    <s v="Uk"/>
    <s v="James Brown"/>
  </r>
  <r>
    <n v="11401"/>
    <x v="3"/>
    <x v="10"/>
    <x v="1400"/>
    <x v="1"/>
    <x v="4"/>
    <x v="0"/>
    <n v="10"/>
    <n v="277"/>
    <n v="207750"/>
    <n v="60247.499999999993"/>
    <s v="Novembro"/>
    <s v="Canada"/>
    <s v="Liam Lee"/>
  </r>
  <r>
    <n v="11402"/>
    <x v="3"/>
    <x v="10"/>
    <x v="1401"/>
    <x v="4"/>
    <x v="1"/>
    <x v="1"/>
    <n v="13"/>
    <n v="138"/>
    <n v="69000"/>
    <n v="8970"/>
    <s v="Novembro"/>
    <s v="Uk"/>
    <s v="James Brown"/>
  </r>
  <r>
    <n v="11403"/>
    <x v="3"/>
    <x v="10"/>
    <x v="1402"/>
    <x v="2"/>
    <x v="0"/>
    <x v="0"/>
    <n v="13"/>
    <n v="285"/>
    <n v="213750"/>
    <n v="21375"/>
    <s v="Novembro"/>
    <s v="Australia"/>
    <s v="Emily White"/>
  </r>
  <r>
    <n v="11404"/>
    <x v="3"/>
    <x v="10"/>
    <x v="1403"/>
    <x v="4"/>
    <x v="1"/>
    <x v="2"/>
    <n v="7"/>
    <n v="223"/>
    <n v="55750"/>
    <n v="18397.5"/>
    <s v="Novembro"/>
    <s v="Uk"/>
    <s v="James Brown"/>
  </r>
  <r>
    <n v="11405"/>
    <x v="3"/>
    <x v="10"/>
    <x v="1404"/>
    <x v="3"/>
    <x v="3"/>
    <x v="3"/>
    <n v="37"/>
    <n v="378"/>
    <n v="321300"/>
    <n v="61047"/>
    <s v="Novembro"/>
    <s v="New Zealand"/>
    <s v="John Smith"/>
  </r>
  <r>
    <n v="11406"/>
    <x v="3"/>
    <x v="10"/>
    <x v="1405"/>
    <x v="0"/>
    <x v="2"/>
    <x v="2"/>
    <n v="15"/>
    <n v="205"/>
    <n v="51250"/>
    <n v="19475"/>
    <s v="Novembro"/>
    <s v="Usa"/>
    <s v="Jane Doe"/>
  </r>
  <r>
    <n v="11407"/>
    <x v="3"/>
    <x v="10"/>
    <x v="1406"/>
    <x v="2"/>
    <x v="3"/>
    <x v="3"/>
    <n v="20"/>
    <n v="492"/>
    <n v="418200"/>
    <n v="41820"/>
    <s v="Novembro"/>
    <s v="Australia"/>
    <s v="John Smith"/>
  </r>
  <r>
    <n v="11408"/>
    <x v="3"/>
    <x v="10"/>
    <x v="1407"/>
    <x v="2"/>
    <x v="4"/>
    <x v="3"/>
    <n v="15"/>
    <n v="251"/>
    <n v="213350"/>
    <n v="21335"/>
    <s v="Novembro"/>
    <s v="Australia"/>
    <s v="Liam Lee"/>
  </r>
  <r>
    <n v="11409"/>
    <x v="3"/>
    <x v="10"/>
    <x v="1408"/>
    <x v="1"/>
    <x v="1"/>
    <x v="3"/>
    <n v="6"/>
    <n v="98"/>
    <n v="83300"/>
    <n v="9163"/>
    <s v="Novembro"/>
    <s v="Canada"/>
    <s v="James Brown"/>
  </r>
  <r>
    <n v="11410"/>
    <x v="3"/>
    <x v="10"/>
    <x v="1409"/>
    <x v="0"/>
    <x v="1"/>
    <x v="3"/>
    <n v="1"/>
    <n v="27"/>
    <n v="22950"/>
    <n v="5737.5"/>
    <s v="Novembro"/>
    <s v="Usa"/>
    <s v="James Brown"/>
  </r>
  <r>
    <n v="11411"/>
    <x v="3"/>
    <x v="10"/>
    <x v="1410"/>
    <x v="0"/>
    <x v="3"/>
    <x v="2"/>
    <n v="5"/>
    <n v="281"/>
    <n v="70250"/>
    <n v="29505"/>
    <s v="Novembro"/>
    <s v="Usa"/>
    <s v="John Smith"/>
  </r>
  <r>
    <n v="11412"/>
    <x v="3"/>
    <x v="10"/>
    <x v="1411"/>
    <x v="2"/>
    <x v="3"/>
    <x v="2"/>
    <n v="19"/>
    <n v="371"/>
    <n v="92750"/>
    <n v="22260"/>
    <s v="Novembro"/>
    <s v="Australia"/>
    <s v="John Smith"/>
  </r>
  <r>
    <n v="11413"/>
    <x v="3"/>
    <x v="10"/>
    <x v="1412"/>
    <x v="0"/>
    <x v="0"/>
    <x v="3"/>
    <n v="18"/>
    <n v="409"/>
    <n v="347650"/>
    <n v="104295"/>
    <s v="Novembro"/>
    <s v="Usa"/>
    <s v="Emily White"/>
  </r>
  <r>
    <n v="11414"/>
    <x v="3"/>
    <x v="10"/>
    <x v="1413"/>
    <x v="4"/>
    <x v="3"/>
    <x v="4"/>
    <n v="1"/>
    <n v="28"/>
    <n v="9800"/>
    <n v="2058"/>
    <s v="Novembro"/>
    <s v="Uk"/>
    <s v="John Smith"/>
  </r>
  <r>
    <n v="11415"/>
    <x v="3"/>
    <x v="10"/>
    <x v="1414"/>
    <x v="3"/>
    <x v="0"/>
    <x v="2"/>
    <n v="12"/>
    <n v="402"/>
    <n v="100500"/>
    <n v="10050"/>
    <s v="Novembro"/>
    <s v="New Zealand"/>
    <s v="Emily White"/>
  </r>
  <r>
    <n v="11416"/>
    <x v="3"/>
    <x v="10"/>
    <x v="1415"/>
    <x v="0"/>
    <x v="3"/>
    <x v="1"/>
    <n v="10"/>
    <n v="137"/>
    <n v="68500"/>
    <n v="15755"/>
    <s v="Novembro"/>
    <s v="Usa"/>
    <s v="John Smith"/>
  </r>
  <r>
    <n v="11417"/>
    <x v="3"/>
    <x v="10"/>
    <x v="1416"/>
    <x v="2"/>
    <x v="0"/>
    <x v="2"/>
    <n v="12"/>
    <n v="290"/>
    <n v="72500"/>
    <n v="31900"/>
    <s v="Novembro"/>
    <s v="Australia"/>
    <s v="Emily White"/>
  </r>
  <r>
    <n v="11418"/>
    <x v="3"/>
    <x v="10"/>
    <x v="1417"/>
    <x v="1"/>
    <x v="2"/>
    <x v="3"/>
    <n v="32"/>
    <n v="442"/>
    <n v="375700"/>
    <n v="131495"/>
    <s v="Novembro"/>
    <s v="Canada"/>
    <s v="Jane Doe"/>
  </r>
  <r>
    <n v="11419"/>
    <x v="3"/>
    <x v="10"/>
    <x v="1418"/>
    <x v="1"/>
    <x v="4"/>
    <x v="2"/>
    <n v="31"/>
    <n v="360"/>
    <n v="90000"/>
    <n v="29700"/>
    <s v="Novembro"/>
    <s v="Canada"/>
    <s v="Liam Lee"/>
  </r>
  <r>
    <n v="11420"/>
    <x v="3"/>
    <x v="10"/>
    <x v="1419"/>
    <x v="2"/>
    <x v="1"/>
    <x v="3"/>
    <n v="1"/>
    <n v="21"/>
    <n v="17850"/>
    <n v="4641"/>
    <s v="Novembro"/>
    <s v="Australia"/>
    <s v="James Brown"/>
  </r>
  <r>
    <n v="11421"/>
    <x v="3"/>
    <x v="10"/>
    <x v="1420"/>
    <x v="2"/>
    <x v="1"/>
    <x v="4"/>
    <n v="7"/>
    <n v="107"/>
    <n v="37450"/>
    <n v="16103.5"/>
    <s v="Novembro"/>
    <s v="Australia"/>
    <s v="James Brown"/>
  </r>
  <r>
    <n v="11422"/>
    <x v="3"/>
    <x v="10"/>
    <x v="1421"/>
    <x v="3"/>
    <x v="3"/>
    <x v="2"/>
    <n v="38"/>
    <n v="490"/>
    <n v="122500"/>
    <n v="47775"/>
    <s v="Novembro"/>
    <s v="New Zealand"/>
    <s v="John Smith"/>
  </r>
  <r>
    <n v="11423"/>
    <x v="3"/>
    <x v="10"/>
    <x v="1422"/>
    <x v="2"/>
    <x v="4"/>
    <x v="3"/>
    <n v="15"/>
    <n v="499"/>
    <n v="424150"/>
    <n v="123003.49999999999"/>
    <s v="Novembro"/>
    <s v="Australia"/>
    <s v="Liam Lee"/>
  </r>
  <r>
    <n v="11424"/>
    <x v="3"/>
    <x v="10"/>
    <x v="1423"/>
    <x v="1"/>
    <x v="1"/>
    <x v="2"/>
    <n v="1"/>
    <n v="88"/>
    <n v="22000"/>
    <n v="5500"/>
    <s v="Novembro"/>
    <s v="Canada"/>
    <s v="James Brown"/>
  </r>
  <r>
    <n v="11425"/>
    <x v="3"/>
    <x v="10"/>
    <x v="1424"/>
    <x v="3"/>
    <x v="4"/>
    <x v="3"/>
    <n v="3"/>
    <n v="57"/>
    <n v="48450"/>
    <n v="10174.5"/>
    <s v="Novembro"/>
    <s v="New Zealand"/>
    <s v="Liam Lee"/>
  </r>
  <r>
    <n v="11426"/>
    <x v="3"/>
    <x v="10"/>
    <x v="1425"/>
    <x v="1"/>
    <x v="3"/>
    <x v="2"/>
    <n v="4"/>
    <n v="90"/>
    <n v="22500"/>
    <n v="9225"/>
    <s v="Novembro"/>
    <s v="Canada"/>
    <s v="John Smith"/>
  </r>
  <r>
    <n v="11427"/>
    <x v="3"/>
    <x v="10"/>
    <x v="1426"/>
    <x v="3"/>
    <x v="4"/>
    <x v="1"/>
    <n v="10"/>
    <n v="115"/>
    <n v="57500"/>
    <n v="9200"/>
    <s v="Novembro"/>
    <s v="New Zealand"/>
    <s v="Liam Lee"/>
  </r>
  <r>
    <n v="11428"/>
    <x v="3"/>
    <x v="10"/>
    <x v="1427"/>
    <x v="3"/>
    <x v="0"/>
    <x v="0"/>
    <n v="6"/>
    <n v="457"/>
    <n v="342750"/>
    <n v="147382.5"/>
    <s v="Novembro"/>
    <s v="New Zealand"/>
    <s v="Emily White"/>
  </r>
  <r>
    <n v="11429"/>
    <x v="3"/>
    <x v="10"/>
    <x v="1428"/>
    <x v="1"/>
    <x v="3"/>
    <x v="1"/>
    <n v="5"/>
    <n v="70"/>
    <n v="35000"/>
    <n v="12950"/>
    <s v="Novembro"/>
    <s v="Canada"/>
    <s v="John Smith"/>
  </r>
  <r>
    <n v="11430"/>
    <x v="3"/>
    <x v="10"/>
    <x v="1429"/>
    <x v="0"/>
    <x v="2"/>
    <x v="4"/>
    <n v="16"/>
    <n v="344"/>
    <n v="120400"/>
    <n v="19264"/>
    <s v="Novembro"/>
    <s v="Usa"/>
    <s v="Jane Doe"/>
  </r>
  <r>
    <n v="11431"/>
    <x v="3"/>
    <x v="11"/>
    <x v="1430"/>
    <x v="2"/>
    <x v="2"/>
    <x v="0"/>
    <n v="5"/>
    <n v="88"/>
    <n v="66000"/>
    <n v="12540"/>
    <s v="Dezembro"/>
    <s v="Australia"/>
    <s v="Jane Doe"/>
  </r>
  <r>
    <n v="11432"/>
    <x v="3"/>
    <x v="11"/>
    <x v="1431"/>
    <x v="4"/>
    <x v="1"/>
    <x v="1"/>
    <n v="4"/>
    <n v="294"/>
    <n v="147000"/>
    <n v="42630"/>
    <s v="Dezembro"/>
    <s v="Uk"/>
    <s v="James Brown"/>
  </r>
  <r>
    <n v="11433"/>
    <x v="3"/>
    <x v="11"/>
    <x v="1432"/>
    <x v="2"/>
    <x v="0"/>
    <x v="0"/>
    <n v="10"/>
    <n v="336"/>
    <n v="252000"/>
    <n v="75600"/>
    <s v="Dezembro"/>
    <s v="Australia"/>
    <s v="Emily White"/>
  </r>
  <r>
    <n v="11434"/>
    <x v="3"/>
    <x v="11"/>
    <x v="1433"/>
    <x v="2"/>
    <x v="1"/>
    <x v="2"/>
    <n v="26"/>
    <n v="271"/>
    <n v="67750"/>
    <n v="25745"/>
    <s v="Dezembro"/>
    <s v="Australia"/>
    <s v="James Brown"/>
  </r>
  <r>
    <n v="11435"/>
    <x v="3"/>
    <x v="11"/>
    <x v="1434"/>
    <x v="2"/>
    <x v="1"/>
    <x v="2"/>
    <n v="8"/>
    <n v="347"/>
    <n v="86750"/>
    <n v="13012.5"/>
    <s v="Dezembro"/>
    <s v="Australia"/>
    <s v="James Brown"/>
  </r>
  <r>
    <n v="11436"/>
    <x v="3"/>
    <x v="11"/>
    <x v="1435"/>
    <x v="0"/>
    <x v="2"/>
    <x v="3"/>
    <n v="39"/>
    <n v="450"/>
    <n v="382500"/>
    <n v="42075"/>
    <s v="Dezembro"/>
    <s v="Usa"/>
    <s v="Jane Doe"/>
  </r>
  <r>
    <n v="11437"/>
    <x v="3"/>
    <x v="11"/>
    <x v="1436"/>
    <x v="1"/>
    <x v="0"/>
    <x v="2"/>
    <n v="2"/>
    <n v="74"/>
    <n v="18500"/>
    <n v="7585"/>
    <s v="Dezembro"/>
    <s v="Canada"/>
    <s v="Emily White"/>
  </r>
  <r>
    <n v="11438"/>
    <x v="3"/>
    <x v="11"/>
    <x v="1437"/>
    <x v="1"/>
    <x v="3"/>
    <x v="1"/>
    <n v="18"/>
    <n v="183"/>
    <n v="91500"/>
    <n v="29280"/>
    <s v="Dezembro"/>
    <s v="Canada"/>
    <s v="John Smith"/>
  </r>
  <r>
    <n v="11439"/>
    <x v="3"/>
    <x v="11"/>
    <x v="1438"/>
    <x v="1"/>
    <x v="2"/>
    <x v="1"/>
    <n v="5"/>
    <n v="55"/>
    <n v="27500"/>
    <n v="4675"/>
    <s v="Dezembro"/>
    <s v="Canada"/>
    <s v="Jane Doe"/>
  </r>
  <r>
    <n v="11440"/>
    <x v="3"/>
    <x v="11"/>
    <x v="1439"/>
    <x v="2"/>
    <x v="2"/>
    <x v="3"/>
    <n v="37"/>
    <n v="479"/>
    <n v="407150"/>
    <n v="126216.5"/>
    <s v="Dezembro"/>
    <s v="Australia"/>
    <s v="Jane Doe"/>
  </r>
  <r>
    <n v="11441"/>
    <x v="3"/>
    <x v="11"/>
    <x v="1440"/>
    <x v="3"/>
    <x v="1"/>
    <x v="4"/>
    <n v="5"/>
    <n v="63"/>
    <n v="22050"/>
    <n v="7717.4999999999991"/>
    <s v="Dezembro"/>
    <s v="New Zealand"/>
    <s v="James Brown"/>
  </r>
  <r>
    <n v="11442"/>
    <x v="3"/>
    <x v="11"/>
    <x v="1441"/>
    <x v="4"/>
    <x v="4"/>
    <x v="0"/>
    <n v="8"/>
    <n v="166"/>
    <n v="124500"/>
    <n v="56025"/>
    <s v="Dezembro"/>
    <s v="Uk"/>
    <s v="Liam Lee"/>
  </r>
  <r>
    <n v="11443"/>
    <x v="3"/>
    <x v="11"/>
    <x v="1442"/>
    <x v="1"/>
    <x v="2"/>
    <x v="1"/>
    <n v="1"/>
    <n v="70"/>
    <n v="35000"/>
    <n v="4550"/>
    <s v="Dezembro"/>
    <s v="Canada"/>
    <s v="Jane Doe"/>
  </r>
  <r>
    <n v="11444"/>
    <x v="3"/>
    <x v="11"/>
    <x v="1443"/>
    <x v="4"/>
    <x v="2"/>
    <x v="1"/>
    <n v="19"/>
    <n v="474"/>
    <n v="237000"/>
    <n v="92430"/>
    <s v="Dezembro"/>
    <s v="Uk"/>
    <s v="Jane Doe"/>
  </r>
  <r>
    <n v="11445"/>
    <x v="3"/>
    <x v="11"/>
    <x v="1444"/>
    <x v="3"/>
    <x v="1"/>
    <x v="0"/>
    <n v="8"/>
    <n v="166"/>
    <n v="124500"/>
    <n v="43575"/>
    <s v="Dezembro"/>
    <s v="New Zealand"/>
    <s v="James Brown"/>
  </r>
  <r>
    <n v="11446"/>
    <x v="3"/>
    <x v="11"/>
    <x v="1445"/>
    <x v="1"/>
    <x v="3"/>
    <x v="1"/>
    <n v="3"/>
    <n v="45"/>
    <n v="22500"/>
    <n v="7200"/>
    <s v="Dezembro"/>
    <s v="Canada"/>
    <s v="John Smith"/>
  </r>
  <r>
    <n v="11447"/>
    <x v="3"/>
    <x v="11"/>
    <x v="1446"/>
    <x v="1"/>
    <x v="4"/>
    <x v="3"/>
    <n v="25"/>
    <n v="255"/>
    <n v="216750"/>
    <n v="49852.5"/>
    <s v="Dezembro"/>
    <s v="Canada"/>
    <s v="Liam Lee"/>
  </r>
  <r>
    <n v="11448"/>
    <x v="3"/>
    <x v="11"/>
    <x v="1447"/>
    <x v="3"/>
    <x v="4"/>
    <x v="0"/>
    <n v="7"/>
    <n v="288"/>
    <n v="216000"/>
    <n v="66960"/>
    <s v="Dezembro"/>
    <s v="New Zealand"/>
    <s v="Liam Lee"/>
  </r>
  <r>
    <n v="11449"/>
    <x v="3"/>
    <x v="11"/>
    <x v="1448"/>
    <x v="4"/>
    <x v="1"/>
    <x v="3"/>
    <n v="8"/>
    <n v="269"/>
    <n v="228650"/>
    <n v="43443.5"/>
    <s v="Dezembro"/>
    <s v="Uk"/>
    <s v="James Brown"/>
  </r>
  <r>
    <n v="11450"/>
    <x v="3"/>
    <x v="11"/>
    <x v="1449"/>
    <x v="4"/>
    <x v="2"/>
    <x v="4"/>
    <n v="7"/>
    <n v="295"/>
    <n v="103250"/>
    <n v="43365"/>
    <s v="Dezembro"/>
    <s v="Uk"/>
    <s v="Jane Doe"/>
  </r>
  <r>
    <n v="11451"/>
    <x v="3"/>
    <x v="11"/>
    <x v="1450"/>
    <x v="4"/>
    <x v="4"/>
    <x v="0"/>
    <n v="11"/>
    <n v="114"/>
    <n v="85500"/>
    <n v="34200"/>
    <s v="Dezembro"/>
    <s v="Uk"/>
    <s v="Liam Lee"/>
  </r>
  <r>
    <n v="11452"/>
    <x v="3"/>
    <x v="11"/>
    <x v="1451"/>
    <x v="2"/>
    <x v="4"/>
    <x v="4"/>
    <n v="29"/>
    <n v="456"/>
    <n v="159600"/>
    <n v="35112"/>
    <s v="Dezembro"/>
    <s v="Australia"/>
    <s v="Liam Lee"/>
  </r>
  <r>
    <n v="11453"/>
    <x v="3"/>
    <x v="11"/>
    <x v="1452"/>
    <x v="3"/>
    <x v="3"/>
    <x v="3"/>
    <n v="4"/>
    <n v="176"/>
    <n v="149600"/>
    <n v="59840"/>
    <s v="Dezembro"/>
    <s v="New Zealand"/>
    <s v="John Smith"/>
  </r>
  <r>
    <n v="11454"/>
    <x v="3"/>
    <x v="11"/>
    <x v="1453"/>
    <x v="4"/>
    <x v="2"/>
    <x v="1"/>
    <n v="16"/>
    <n v="301"/>
    <n v="150500"/>
    <n v="61704.999999999993"/>
    <s v="Dezembro"/>
    <s v="Uk"/>
    <s v="Jane Doe"/>
  </r>
  <r>
    <n v="11455"/>
    <x v="3"/>
    <x v="11"/>
    <x v="1454"/>
    <x v="1"/>
    <x v="1"/>
    <x v="4"/>
    <n v="14"/>
    <n v="499"/>
    <n v="174650"/>
    <n v="55888"/>
    <s v="Dezembro"/>
    <s v="Canada"/>
    <s v="James Brown"/>
  </r>
  <r>
    <n v="11456"/>
    <x v="3"/>
    <x v="11"/>
    <x v="1455"/>
    <x v="2"/>
    <x v="0"/>
    <x v="3"/>
    <n v="6"/>
    <n v="284"/>
    <n v="241400"/>
    <n v="79662"/>
    <s v="Dezembro"/>
    <s v="Australia"/>
    <s v="Emily White"/>
  </r>
  <r>
    <n v="11457"/>
    <x v="3"/>
    <x v="11"/>
    <x v="1456"/>
    <x v="0"/>
    <x v="1"/>
    <x v="1"/>
    <n v="13"/>
    <n v="235"/>
    <n v="117500"/>
    <n v="21150"/>
    <s v="Dezembro"/>
    <s v="Usa"/>
    <s v="James Brown"/>
  </r>
  <r>
    <n v="11458"/>
    <x v="3"/>
    <x v="11"/>
    <x v="1457"/>
    <x v="3"/>
    <x v="3"/>
    <x v="1"/>
    <n v="39"/>
    <n v="439"/>
    <n v="219500"/>
    <n v="41705"/>
    <s v="Dezembro"/>
    <s v="New Zealand"/>
    <s v="John Smith"/>
  </r>
  <r>
    <n v="11459"/>
    <x v="3"/>
    <x v="11"/>
    <x v="1458"/>
    <x v="3"/>
    <x v="2"/>
    <x v="3"/>
    <n v="4"/>
    <n v="59"/>
    <n v="50150"/>
    <n v="18555.5"/>
    <s v="Dezembro"/>
    <s v="New Zealand"/>
    <s v="Jane Doe"/>
  </r>
  <r>
    <n v="11460"/>
    <x v="3"/>
    <x v="11"/>
    <x v="1459"/>
    <x v="3"/>
    <x v="1"/>
    <x v="4"/>
    <n v="13"/>
    <n v="294"/>
    <n v="102900"/>
    <n v="45276"/>
    <s v="Dezembro"/>
    <s v="New Zealand"/>
    <s v="James Brown"/>
  </r>
  <r>
    <n v="11461"/>
    <x v="3"/>
    <x v="11"/>
    <x v="1460"/>
    <x v="1"/>
    <x v="0"/>
    <x v="3"/>
    <n v="1"/>
    <n v="50"/>
    <n v="42500"/>
    <n v="18275"/>
    <s v="Dezembro"/>
    <s v="Canada"/>
    <s v="Emily Whit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2">
  <r>
    <n v="10001"/>
    <n v="2019"/>
    <s v="janeiro"/>
    <d v="2019-01-01T00:00:00"/>
    <x v="0"/>
    <x v="0"/>
    <s v="Product E"/>
    <n v="34"/>
    <n v="348"/>
    <n v="261000"/>
    <n v="60030"/>
    <n v="1"/>
    <d v="2019-01-01T00:00:00"/>
    <n v="1.3147233653291301E-3"/>
  </r>
  <r>
    <n v="10002"/>
    <n v="2019"/>
    <s v="janeiro"/>
    <d v="2019-01-02T00:00:00"/>
    <x v="1"/>
    <x v="0"/>
    <s v="Product A"/>
    <n v="4"/>
    <n v="145"/>
    <n v="72500"/>
    <n v="13775"/>
    <n v="1"/>
    <d v="2019-01-01T00:00:00"/>
    <n v="3.6520093481364803E-4"/>
  </r>
  <r>
    <n v="10003"/>
    <n v="2019"/>
    <s v="janeiro"/>
    <d v="2019-01-03T00:00:00"/>
    <x v="1"/>
    <x v="1"/>
    <s v="Product B"/>
    <n v="11"/>
    <n v="427"/>
    <n v="106750"/>
    <n v="40565"/>
    <n v="1"/>
    <d v="2019-01-01T00:00:00"/>
    <n v="5.37726893673889E-4"/>
  </r>
  <r>
    <n v="10004"/>
    <n v="2019"/>
    <s v="janeiro"/>
    <d v="2019-01-04T00:00:00"/>
    <x v="0"/>
    <x v="0"/>
    <s v="Product E"/>
    <n v="16"/>
    <n v="388"/>
    <n v="291000"/>
    <n v="110580"/>
    <n v="1"/>
    <d v="2019-01-01T00:00:00"/>
    <n v="1.4658409935278799E-3"/>
  </r>
  <r>
    <n v="10005"/>
    <n v="2019"/>
    <s v="janeiro"/>
    <d v="2019-01-05T00:00:00"/>
    <x v="1"/>
    <x v="2"/>
    <s v="Product A"/>
    <n v="34"/>
    <n v="363"/>
    <n v="181500"/>
    <n v="39930"/>
    <n v="1"/>
    <d v="2019-01-01T00:00:00"/>
    <n v="9.1426165060244299E-4"/>
  </r>
  <r>
    <n v="10006"/>
    <n v="2019"/>
    <s v="janeiro"/>
    <d v="2019-01-06T00:00:00"/>
    <x v="2"/>
    <x v="1"/>
    <s v="Product D"/>
    <n v="5"/>
    <n v="124"/>
    <n v="105400"/>
    <n v="37944"/>
    <n v="2"/>
    <d v="2019-01-01T00:00:00"/>
    <n v="5.3092660040494498E-4"/>
  </r>
  <r>
    <n v="10007"/>
    <n v="2019"/>
    <s v="janeiro"/>
    <d v="2019-01-07T00:00:00"/>
    <x v="1"/>
    <x v="3"/>
    <s v="Product B"/>
    <n v="13"/>
    <n v="389"/>
    <n v="97250"/>
    <n v="41817.5"/>
    <n v="2"/>
    <d v="2019-01-01T00:00:00"/>
    <n v="4.8987297807761795E-4"/>
  </r>
  <r>
    <n v="10008"/>
    <n v="2019"/>
    <s v="janeiro"/>
    <d v="2019-01-08T00:00:00"/>
    <x v="1"/>
    <x v="2"/>
    <s v="Product A"/>
    <n v="3"/>
    <n v="132"/>
    <n v="66000"/>
    <n v="23100"/>
    <n v="2"/>
    <d v="2019-01-01T00:00:00"/>
    <n v="3.3245878203725201E-4"/>
  </r>
  <r>
    <n v="10009"/>
    <n v="2019"/>
    <s v="janeiro"/>
    <d v="2019-01-09T00:00:00"/>
    <x v="3"/>
    <x v="0"/>
    <s v="Product C"/>
    <n v="4"/>
    <n v="58"/>
    <n v="20300"/>
    <n v="7917"/>
    <n v="2"/>
    <d v="2019-01-01T00:00:00"/>
    <n v="1.02256261747821E-4"/>
  </r>
  <r>
    <n v="10010"/>
    <n v="2019"/>
    <s v="janeiro"/>
    <d v="2019-01-10T00:00:00"/>
    <x v="2"/>
    <x v="4"/>
    <s v="Product E"/>
    <n v="25"/>
    <n v="261"/>
    <n v="195750"/>
    <n v="27405.000000000004"/>
    <n v="2"/>
    <d v="2019-01-01T00:00:00"/>
    <n v="9.8604252399684994E-4"/>
  </r>
  <r>
    <n v="10011"/>
    <n v="2019"/>
    <s v="janeiro"/>
    <d v="2019-01-11T00:00:00"/>
    <x v="1"/>
    <x v="2"/>
    <s v="Product E"/>
    <n v="17"/>
    <n v="275"/>
    <n v="206250"/>
    <n v="72187.5"/>
    <n v="2"/>
    <d v="2019-01-01T00:00:00"/>
    <n v="1.03893369386641E-3"/>
  </r>
  <r>
    <n v="10012"/>
    <n v="2019"/>
    <s v="janeiro"/>
    <d v="2019-01-12T00:00:00"/>
    <x v="0"/>
    <x v="1"/>
    <s v="Product D"/>
    <n v="7"/>
    <n v="348"/>
    <n v="295800"/>
    <n v="68034"/>
    <n v="2"/>
    <d v="2019-01-01T00:00:00"/>
    <n v="1.49001981403968E-3"/>
  </r>
  <r>
    <n v="10013"/>
    <n v="2019"/>
    <s v="janeiro"/>
    <d v="2019-01-13T00:00:00"/>
    <x v="4"/>
    <x v="4"/>
    <s v="Product B"/>
    <n v="12"/>
    <n v="437"/>
    <n v="109250"/>
    <n v="20757.5"/>
    <n v="3"/>
    <d v="2019-01-01T00:00:00"/>
    <n v="5.5032002935711795E-4"/>
  </r>
  <r>
    <n v="10014"/>
    <n v="2019"/>
    <s v="janeiro"/>
    <d v="2019-01-14T00:00:00"/>
    <x v="1"/>
    <x v="1"/>
    <s v="Product B"/>
    <n v="39"/>
    <n v="395"/>
    <n v="98750"/>
    <n v="17775"/>
    <n v="3"/>
    <d v="2019-01-01T00:00:00"/>
    <n v="4.9742885948755497E-4"/>
  </r>
  <r>
    <n v="10015"/>
    <n v="2019"/>
    <s v="janeiro"/>
    <d v="2019-01-15T00:00:00"/>
    <x v="3"/>
    <x v="1"/>
    <s v="Product D"/>
    <n v="5"/>
    <n v="81"/>
    <n v="68850"/>
    <n v="28228.5"/>
    <n v="3"/>
    <d v="2019-01-01T00:00:00"/>
    <n v="3.46814956716133E-4"/>
  </r>
  <r>
    <n v="10016"/>
    <n v="2019"/>
    <s v="janeiro"/>
    <d v="2019-01-16T00:00:00"/>
    <x v="0"/>
    <x v="3"/>
    <s v="Product A"/>
    <n v="29"/>
    <n v="357"/>
    <n v="178500"/>
    <n v="23205"/>
    <n v="3"/>
    <d v="2019-01-01T00:00:00"/>
    <n v="8.9914988778256797E-4"/>
  </r>
  <r>
    <n v="10017"/>
    <n v="2019"/>
    <s v="janeiro"/>
    <d v="2019-01-17T00:00:00"/>
    <x v="0"/>
    <x v="0"/>
    <s v="Product B"/>
    <n v="33"/>
    <n v="384"/>
    <n v="96000"/>
    <n v="24000"/>
    <n v="3"/>
    <d v="2019-01-01T00:00:00"/>
    <n v="4.8357641023600298E-4"/>
  </r>
  <r>
    <n v="10018"/>
    <n v="2019"/>
    <s v="janeiro"/>
    <d v="2019-01-18T00:00:00"/>
    <x v="1"/>
    <x v="0"/>
    <s v="Product A"/>
    <n v="9"/>
    <n v="252"/>
    <n v="126000"/>
    <n v="12600"/>
    <n v="3"/>
    <d v="2019-01-01T00:00:00"/>
    <n v="6.3469403843475396E-4"/>
  </r>
  <r>
    <n v="10019"/>
    <n v="2019"/>
    <s v="janeiro"/>
    <d v="2019-01-19T00:00:00"/>
    <x v="1"/>
    <x v="4"/>
    <s v="Product A"/>
    <n v="1"/>
    <n v="44"/>
    <n v="22000"/>
    <n v="9460"/>
    <n v="3"/>
    <d v="2019-01-01T00:00:00"/>
    <n v="1.10819594012417E-4"/>
  </r>
  <r>
    <n v="10020"/>
    <n v="2019"/>
    <s v="janeiro"/>
    <d v="2019-01-20T00:00:00"/>
    <x v="3"/>
    <x v="3"/>
    <s v="Product E"/>
    <n v="11"/>
    <n v="161"/>
    <n v="120750"/>
    <n v="36225"/>
    <n v="4"/>
    <d v="2019-01-01T00:00:00"/>
    <n v="6.0824845349997199E-4"/>
  </r>
  <r>
    <n v="10021"/>
    <n v="2019"/>
    <s v="janeiro"/>
    <d v="2019-01-21T00:00:00"/>
    <x v="3"/>
    <x v="1"/>
    <s v="Product D"/>
    <n v="9"/>
    <n v="103"/>
    <n v="87550"/>
    <n v="21012"/>
    <n v="4"/>
    <d v="2019-01-01T00:00:00"/>
    <n v="4.4101161162668799E-4"/>
  </r>
  <r>
    <n v="10022"/>
    <n v="2019"/>
    <s v="janeiro"/>
    <d v="2019-01-22T00:00:00"/>
    <x v="2"/>
    <x v="3"/>
    <s v="Product E"/>
    <n v="1"/>
    <n v="13"/>
    <n v="9750"/>
    <n v="3900"/>
    <n v="4"/>
    <d v="2019-01-01T00:00:00"/>
    <n v="4.9113229164594001E-5"/>
  </r>
  <r>
    <n v="10023"/>
    <n v="2019"/>
    <s v="janeiro"/>
    <d v="2019-01-23T00:00:00"/>
    <x v="3"/>
    <x v="4"/>
    <s v="Product A"/>
    <n v="15"/>
    <n v="358"/>
    <n v="179000"/>
    <n v="30430.000000000004"/>
    <n v="4"/>
    <d v="2019-01-01T00:00:00"/>
    <n v="9.0166851491921404E-4"/>
  </r>
  <r>
    <n v="10024"/>
    <n v="2019"/>
    <s v="janeiro"/>
    <d v="2019-01-24T00:00:00"/>
    <x v="4"/>
    <x v="2"/>
    <s v="Product E"/>
    <n v="4"/>
    <n v="44"/>
    <n v="33000"/>
    <n v="4950"/>
    <n v="4"/>
    <d v="2019-01-01T00:00:00"/>
    <n v="1.66229391018626E-4"/>
  </r>
  <r>
    <n v="10025"/>
    <n v="2019"/>
    <s v="janeiro"/>
    <d v="2019-01-25T00:00:00"/>
    <x v="0"/>
    <x v="4"/>
    <s v="Product A"/>
    <n v="4"/>
    <n v="306"/>
    <n v="153000"/>
    <n v="50490"/>
    <n v="4"/>
    <d v="2019-01-01T00:00:00"/>
    <n v="7.7069990381362996E-4"/>
  </r>
  <r>
    <n v="10026"/>
    <n v="2019"/>
    <s v="janeiro"/>
    <d v="2019-01-26T00:00:00"/>
    <x v="1"/>
    <x v="3"/>
    <s v="Product B"/>
    <n v="4"/>
    <n v="293"/>
    <n v="73250"/>
    <n v="16847.5"/>
    <n v="4"/>
    <d v="2019-01-01T00:00:00"/>
    <n v="3.6897887551861703E-4"/>
  </r>
  <r>
    <n v="10027"/>
    <n v="2019"/>
    <s v="janeiro"/>
    <d v="2019-01-27T00:00:00"/>
    <x v="2"/>
    <x v="4"/>
    <s v="Product D"/>
    <n v="4"/>
    <n v="278"/>
    <n v="236300"/>
    <n v="80342"/>
    <n v="5"/>
    <d v="2019-01-01T00:00:00"/>
    <n v="1.19030318477883E-3"/>
  </r>
  <r>
    <n v="10028"/>
    <n v="2019"/>
    <s v="janeiro"/>
    <d v="2019-01-28T00:00:00"/>
    <x v="2"/>
    <x v="3"/>
    <s v="Product C"/>
    <n v="21"/>
    <n v="295"/>
    <n v="103250"/>
    <n v="43365"/>
    <n v="5"/>
    <d v="2019-01-01T00:00:00"/>
    <n v="5.20096503717368E-4"/>
  </r>
  <r>
    <n v="10029"/>
    <n v="2019"/>
    <s v="janeiro"/>
    <d v="2019-01-29T00:00:00"/>
    <x v="3"/>
    <x v="4"/>
    <s v="Product E"/>
    <n v="30"/>
    <n v="313"/>
    <n v="234750"/>
    <n v="42255"/>
    <n v="5"/>
    <d v="2019-01-01T00:00:00"/>
    <n v="1.18249544065523E-3"/>
  </r>
  <r>
    <n v="10030"/>
    <n v="2019"/>
    <s v="janeiro"/>
    <d v="2019-01-30T00:00:00"/>
    <x v="2"/>
    <x v="3"/>
    <s v="Product A"/>
    <n v="8"/>
    <n v="127"/>
    <n v="63500"/>
    <n v="16510"/>
    <n v="5"/>
    <d v="2019-01-01T00:00:00"/>
    <n v="3.19865646354023E-4"/>
  </r>
  <r>
    <n v="10031"/>
    <n v="2019"/>
    <s v="janeiro"/>
    <d v="2019-01-31T00:00:00"/>
    <x v="2"/>
    <x v="2"/>
    <s v="Product C"/>
    <n v="4"/>
    <n v="253"/>
    <n v="88550"/>
    <n v="16824.5"/>
    <n v="5"/>
    <d v="2019-01-01T00:00:00"/>
    <n v="4.4604886589998002E-4"/>
  </r>
  <r>
    <n v="10032"/>
    <n v="2019"/>
    <s v="fevereiro"/>
    <d v="2019-02-01T00:00:00"/>
    <x v="0"/>
    <x v="3"/>
    <s v="Product B"/>
    <n v="23"/>
    <n v="499"/>
    <n v="124750"/>
    <n v="14970"/>
    <n v="5"/>
    <d v="2019-01-01T00:00:00"/>
    <n v="6.2839747059313905E-4"/>
  </r>
  <r>
    <n v="10033"/>
    <n v="2019"/>
    <s v="fevereiro"/>
    <d v="2019-02-02T00:00:00"/>
    <x v="3"/>
    <x v="2"/>
    <s v="Product E"/>
    <n v="1"/>
    <n v="25"/>
    <n v="18750"/>
    <n v="6375.0000000000009"/>
    <n v="5"/>
    <d v="2019-01-01T00:00:00"/>
    <n v="9.4448517624219299E-5"/>
  </r>
  <r>
    <n v="10034"/>
    <n v="2019"/>
    <s v="fevereiro"/>
    <d v="2019-02-03T00:00:00"/>
    <x v="3"/>
    <x v="2"/>
    <s v="Product B"/>
    <n v="1"/>
    <n v="17"/>
    <n v="4250"/>
    <n v="1657.5"/>
    <n v="6"/>
    <d v="2019-01-01T00:00:00"/>
    <n v="2.1408330661489701E-5"/>
  </r>
  <r>
    <n v="10035"/>
    <n v="2019"/>
    <s v="fevereiro"/>
    <d v="2019-02-04T00:00:00"/>
    <x v="4"/>
    <x v="2"/>
    <s v="Product A"/>
    <n v="2"/>
    <n v="21"/>
    <n v="10500"/>
    <n v="3360"/>
    <n v="6"/>
    <d v="2019-01-01T00:00:00"/>
    <n v="5.2891169869562798E-5"/>
  </r>
  <r>
    <n v="10036"/>
    <n v="2019"/>
    <s v="fevereiro"/>
    <d v="2019-02-05T00:00:00"/>
    <x v="4"/>
    <x v="4"/>
    <s v="Product D"/>
    <n v="13"/>
    <n v="264"/>
    <n v="224400"/>
    <n v="53856"/>
    <n v="6"/>
    <d v="2019-01-01T00:00:00"/>
    <n v="1.1303598589266601E-3"/>
  </r>
  <r>
    <n v="10037"/>
    <n v="2019"/>
    <s v="fevereiro"/>
    <d v="2019-02-06T00:00:00"/>
    <x v="1"/>
    <x v="2"/>
    <s v="Product C"/>
    <n v="41"/>
    <n v="429"/>
    <n v="150150"/>
    <n v="66066"/>
    <n v="6"/>
    <d v="2019-01-01T00:00:00"/>
    <n v="7.5634372913474805E-4"/>
  </r>
  <r>
    <n v="10038"/>
    <n v="2019"/>
    <s v="fevereiro"/>
    <d v="2019-02-07T00:00:00"/>
    <x v="2"/>
    <x v="0"/>
    <s v="Product E"/>
    <n v="9"/>
    <n v="312"/>
    <n v="234000"/>
    <n v="102960"/>
    <n v="6"/>
    <d v="2019-01-01T00:00:00"/>
    <n v="1.1787174999502599E-3"/>
  </r>
  <r>
    <n v="10039"/>
    <n v="2019"/>
    <s v="fevereiro"/>
    <d v="2019-02-08T00:00:00"/>
    <x v="0"/>
    <x v="0"/>
    <s v="Product E"/>
    <n v="31"/>
    <n v="461"/>
    <n v="345750"/>
    <n v="117555.00000000001"/>
    <n v="6"/>
    <d v="2019-01-01T00:00:00"/>
    <n v="1.7416306649906E-3"/>
  </r>
  <r>
    <n v="10040"/>
    <n v="2019"/>
    <s v="fevereiro"/>
    <d v="2019-02-09T00:00:00"/>
    <x v="1"/>
    <x v="2"/>
    <s v="Product A"/>
    <n v="17"/>
    <n v="218"/>
    <n v="109000"/>
    <n v="13080"/>
    <n v="6"/>
    <d v="2019-01-01T00:00:00"/>
    <n v="5.4906071578879497E-4"/>
  </r>
  <r>
    <n v="10041"/>
    <n v="2019"/>
    <s v="fevereiro"/>
    <d v="2019-02-10T00:00:00"/>
    <x v="2"/>
    <x v="2"/>
    <s v="Product B"/>
    <n v="7"/>
    <n v="487"/>
    <n v="121750"/>
    <n v="35307.5"/>
    <n v="7"/>
    <d v="2019-01-01T00:00:00"/>
    <n v="6.1328570777326402E-4"/>
  </r>
  <r>
    <n v="10042"/>
    <n v="2019"/>
    <s v="fevereiro"/>
    <d v="2019-02-11T00:00:00"/>
    <x v="1"/>
    <x v="1"/>
    <s v="Product C"/>
    <n v="6"/>
    <n v="87"/>
    <n v="30450"/>
    <n v="10048.5"/>
    <n v="7"/>
    <d v="2019-01-01T00:00:00"/>
    <n v="1.5338439262173201E-4"/>
  </r>
  <r>
    <n v="10043"/>
    <n v="2019"/>
    <s v="fevereiro"/>
    <d v="2019-02-12T00:00:00"/>
    <x v="1"/>
    <x v="4"/>
    <s v="Product A"/>
    <n v="16"/>
    <n v="174"/>
    <n v="87000"/>
    <n v="18270"/>
    <n v="7"/>
    <d v="2019-01-01T00:00:00"/>
    <n v="4.3824112177637801E-4"/>
  </r>
  <r>
    <n v="10044"/>
    <n v="2019"/>
    <s v="fevereiro"/>
    <d v="2019-02-13T00:00:00"/>
    <x v="2"/>
    <x v="1"/>
    <s v="Product C"/>
    <n v="20"/>
    <n v="200"/>
    <n v="70000"/>
    <n v="11900"/>
    <n v="7"/>
    <d v="2019-01-01T00:00:00"/>
    <n v="3.5260779913041902E-4"/>
  </r>
  <r>
    <n v="10045"/>
    <n v="2019"/>
    <s v="fevereiro"/>
    <d v="2019-02-14T00:00:00"/>
    <x v="3"/>
    <x v="4"/>
    <s v="Product D"/>
    <n v="27"/>
    <n v="468"/>
    <n v="397800"/>
    <n v="159120"/>
    <n v="7"/>
    <d v="2019-01-01T00:00:00"/>
    <n v="2.0038197499154401E-3"/>
  </r>
  <r>
    <n v="10046"/>
    <n v="2019"/>
    <s v="fevereiro"/>
    <d v="2019-02-15T00:00:00"/>
    <x v="0"/>
    <x v="2"/>
    <s v="Product B"/>
    <n v="1"/>
    <n v="19"/>
    <n v="4750"/>
    <n v="807.50000000000011"/>
    <n v="7"/>
    <d v="2019-01-01T00:00:00"/>
    <n v="2.3926957798135601E-5"/>
  </r>
  <r>
    <n v="10047"/>
    <n v="2019"/>
    <s v="fevereiro"/>
    <d v="2019-02-16T00:00:00"/>
    <x v="0"/>
    <x v="0"/>
    <s v="Product D"/>
    <n v="18"/>
    <n v="433"/>
    <n v="368050"/>
    <n v="40485.5"/>
    <n v="7"/>
    <d v="2019-01-01T00:00:00"/>
    <n v="1.85396143528501E-3"/>
  </r>
  <r>
    <n v="10048"/>
    <n v="2019"/>
    <s v="fevereiro"/>
    <d v="2019-02-17T00:00:00"/>
    <x v="3"/>
    <x v="2"/>
    <s v="Product A"/>
    <n v="9"/>
    <n v="133"/>
    <n v="66500"/>
    <n v="24605"/>
    <n v="8"/>
    <d v="2019-01-01T00:00:00"/>
    <n v="3.3497740917389803E-4"/>
  </r>
  <r>
    <n v="10049"/>
    <n v="2019"/>
    <s v="fevereiro"/>
    <d v="2019-02-18T00:00:00"/>
    <x v="1"/>
    <x v="3"/>
    <s v="Product D"/>
    <n v="1"/>
    <n v="18"/>
    <n v="15300"/>
    <n v="2601"/>
    <n v="8"/>
    <d v="2019-01-01T00:00:00"/>
    <n v="7.7069990381362996E-5"/>
  </r>
  <r>
    <n v="10050"/>
    <n v="2019"/>
    <s v="fevereiro"/>
    <d v="2019-02-19T00:00:00"/>
    <x v="4"/>
    <x v="0"/>
    <s v="Product C"/>
    <n v="12"/>
    <n v="130"/>
    <n v="45500"/>
    <n v="15015"/>
    <n v="8"/>
    <d v="2019-01-01T00:00:00"/>
    <n v="2.29195069434772E-4"/>
  </r>
  <r>
    <n v="10051"/>
    <n v="2019"/>
    <s v="fevereiro"/>
    <d v="2019-02-20T00:00:00"/>
    <x v="4"/>
    <x v="1"/>
    <s v="Product E"/>
    <n v="33"/>
    <n v="408"/>
    <n v="306000"/>
    <n v="88740"/>
    <n v="8"/>
    <d v="2019-01-01T00:00:00"/>
    <n v="1.5413998076272599E-3"/>
  </r>
  <r>
    <n v="10052"/>
    <n v="2019"/>
    <s v="fevereiro"/>
    <d v="2019-02-21T00:00:00"/>
    <x v="3"/>
    <x v="1"/>
    <s v="Product B"/>
    <n v="3"/>
    <n v="184"/>
    <n v="46000"/>
    <n v="7820.0000000000009"/>
    <n v="8"/>
    <d v="2019-01-01T00:00:00"/>
    <n v="2.3171369657141799E-4"/>
  </r>
  <r>
    <n v="10053"/>
    <n v="2019"/>
    <s v="fevereiro"/>
    <d v="2019-02-22T00:00:00"/>
    <x v="4"/>
    <x v="2"/>
    <s v="Product C"/>
    <n v="16"/>
    <n v="199"/>
    <n v="69650"/>
    <n v="9751.0000000000018"/>
    <n v="8"/>
    <d v="2019-01-01T00:00:00"/>
    <n v="3.5084476013476698E-4"/>
  </r>
  <r>
    <n v="10054"/>
    <n v="2019"/>
    <s v="fevereiro"/>
    <d v="2019-02-23T00:00:00"/>
    <x v="3"/>
    <x v="2"/>
    <s v="Product D"/>
    <n v="9"/>
    <n v="479"/>
    <n v="407150"/>
    <n v="138431"/>
    <n v="8"/>
    <d v="2019-01-01T00:00:00"/>
    <n v="2.0509180773707102E-3"/>
  </r>
  <r>
    <n v="10055"/>
    <n v="2019"/>
    <s v="fevereiro"/>
    <d v="2019-02-24T00:00:00"/>
    <x v="3"/>
    <x v="3"/>
    <s v="Product D"/>
    <n v="37"/>
    <n v="400"/>
    <n v="340000"/>
    <n v="98600"/>
    <n v="9"/>
    <d v="2019-01-01T00:00:00"/>
    <n v="1.7126664529191801E-3"/>
  </r>
  <r>
    <n v="10056"/>
    <n v="2019"/>
    <s v="fevereiro"/>
    <d v="2019-02-25T00:00:00"/>
    <x v="0"/>
    <x v="2"/>
    <s v="Product B"/>
    <n v="2"/>
    <n v="51"/>
    <n v="12750"/>
    <n v="3442.5"/>
    <n v="9"/>
    <d v="2019-01-01T00:00:00"/>
    <n v="6.4224991984469096E-5"/>
  </r>
  <r>
    <n v="10057"/>
    <n v="2019"/>
    <s v="fevereiro"/>
    <d v="2019-02-26T00:00:00"/>
    <x v="2"/>
    <x v="1"/>
    <s v="Product C"/>
    <n v="1"/>
    <n v="20"/>
    <n v="7000"/>
    <n v="1960.0000000000002"/>
    <n v="9"/>
    <d v="2019-01-01T00:00:00"/>
    <n v="3.5260779913041902E-5"/>
  </r>
  <r>
    <n v="10058"/>
    <n v="2019"/>
    <s v="fevereiro"/>
    <d v="2019-02-27T00:00:00"/>
    <x v="1"/>
    <x v="3"/>
    <s v="Product D"/>
    <n v="7"/>
    <n v="131"/>
    <n v="111350"/>
    <n v="21156.5"/>
    <n v="9"/>
    <d v="2019-01-01T00:00:00"/>
    <n v="5.6089826333103005E-4"/>
  </r>
  <r>
    <n v="10059"/>
    <n v="2019"/>
    <s v="fevereiro"/>
    <d v="2019-02-28T00:00:00"/>
    <x v="4"/>
    <x v="3"/>
    <s v="Product B"/>
    <n v="15"/>
    <n v="233"/>
    <n v="58250"/>
    <n v="15727.500000000002"/>
    <n v="9"/>
    <d v="2019-01-01T00:00:00"/>
    <n v="2.9342006141924102E-4"/>
  </r>
  <r>
    <n v="10060"/>
    <n v="2019"/>
    <s v="março"/>
    <d v="2019-03-01T00:00:00"/>
    <x v="2"/>
    <x v="0"/>
    <s v="Product E"/>
    <n v="5"/>
    <n v="405"/>
    <n v="303750"/>
    <n v="109350"/>
    <n v="9"/>
    <d v="2019-01-01T00:00:00"/>
    <n v="1.5300659855123501E-3"/>
  </r>
  <r>
    <n v="10061"/>
    <n v="2019"/>
    <s v="março"/>
    <d v="2019-03-02T00:00:00"/>
    <x v="0"/>
    <x v="2"/>
    <s v="Product E"/>
    <n v="9"/>
    <n v="101"/>
    <n v="75750"/>
    <n v="33330"/>
    <n v="9"/>
    <d v="2019-01-01T00:00:00"/>
    <n v="3.8157201120184598E-4"/>
  </r>
  <r>
    <n v="10062"/>
    <n v="2019"/>
    <s v="março"/>
    <d v="2019-03-03T00:00:00"/>
    <x v="4"/>
    <x v="4"/>
    <s v="Product C"/>
    <n v="14"/>
    <n v="258"/>
    <n v="90300"/>
    <n v="27090"/>
    <n v="10"/>
    <d v="2019-01-01T00:00:00"/>
    <n v="4.5486406087823998E-4"/>
  </r>
  <r>
    <n v="10063"/>
    <n v="2019"/>
    <s v="março"/>
    <d v="2019-03-04T00:00:00"/>
    <x v="3"/>
    <x v="0"/>
    <s v="Product A"/>
    <n v="14"/>
    <n v="147"/>
    <n v="73500"/>
    <n v="31605"/>
    <n v="10"/>
    <d v="2019-01-01T00:00:00"/>
    <n v="3.7023818908694001E-4"/>
  </r>
  <r>
    <n v="10064"/>
    <n v="2019"/>
    <s v="março"/>
    <d v="2019-03-05T00:00:00"/>
    <x v="2"/>
    <x v="1"/>
    <s v="Product C"/>
    <n v="8"/>
    <n v="362"/>
    <n v="126700"/>
    <n v="49413"/>
    <n v="10"/>
    <d v="2019-01-01T00:00:00"/>
    <n v="6.3822011642605803E-4"/>
  </r>
  <r>
    <n v="10065"/>
    <n v="2019"/>
    <s v="março"/>
    <d v="2019-03-06T00:00:00"/>
    <x v="2"/>
    <x v="1"/>
    <s v="Product A"/>
    <n v="3"/>
    <n v="212"/>
    <n v="106000"/>
    <n v="43460"/>
    <n v="10"/>
    <d v="2019-01-01T00:00:00"/>
    <n v="5.3394895296892005E-4"/>
  </r>
  <r>
    <n v="10066"/>
    <n v="2019"/>
    <s v="março"/>
    <d v="2019-03-07T00:00:00"/>
    <x v="4"/>
    <x v="2"/>
    <s v="Product D"/>
    <n v="3"/>
    <n v="61"/>
    <n v="51850"/>
    <n v="22814"/>
    <n v="10"/>
    <d v="2019-01-01T00:00:00"/>
    <n v="2.61181634070174E-4"/>
  </r>
  <r>
    <n v="10067"/>
    <n v="2019"/>
    <s v="março"/>
    <d v="2019-03-08T00:00:00"/>
    <x v="2"/>
    <x v="1"/>
    <s v="Product C"/>
    <n v="4"/>
    <n v="41"/>
    <n v="14350"/>
    <n v="6457.5"/>
    <n v="10"/>
    <d v="2019-01-01T00:00:00"/>
    <n v="7.2284598821735797E-5"/>
  </r>
  <r>
    <n v="10068"/>
    <n v="2019"/>
    <s v="março"/>
    <d v="2019-03-09T00:00:00"/>
    <x v="1"/>
    <x v="1"/>
    <s v="Product A"/>
    <n v="18"/>
    <n v="332"/>
    <n v="166000"/>
    <n v="58099.999999999993"/>
    <n v="10"/>
    <d v="2019-01-01T00:00:00"/>
    <n v="8.36184209366422E-4"/>
  </r>
  <r>
    <n v="10069"/>
    <n v="2019"/>
    <s v="março"/>
    <d v="2019-03-10T00:00:00"/>
    <x v="4"/>
    <x v="0"/>
    <s v="Product D"/>
    <n v="3"/>
    <n v="33"/>
    <n v="28050"/>
    <n v="7012.5"/>
    <n v="11"/>
    <d v="2019-01-01T00:00:00"/>
    <n v="1.41294982365832E-4"/>
  </r>
  <r>
    <n v="10070"/>
    <n v="2019"/>
    <s v="março"/>
    <d v="2019-03-11T00:00:00"/>
    <x v="1"/>
    <x v="1"/>
    <s v="Product A"/>
    <n v="1"/>
    <n v="13"/>
    <n v="6500"/>
    <n v="1690"/>
    <n v="11"/>
    <d v="2019-01-01T00:00:00"/>
    <n v="3.2742152776395998E-5"/>
  </r>
  <r>
    <n v="10071"/>
    <n v="2019"/>
    <s v="março"/>
    <d v="2019-03-12T00:00:00"/>
    <x v="2"/>
    <x v="3"/>
    <s v="Product A"/>
    <n v="1"/>
    <n v="58"/>
    <n v="29000"/>
    <n v="6670"/>
    <n v="11"/>
    <d v="2019-01-01T00:00:00"/>
    <n v="1.4608037392545899E-4"/>
  </r>
  <r>
    <n v="10072"/>
    <n v="2019"/>
    <s v="março"/>
    <d v="2019-03-13T00:00:00"/>
    <x v="0"/>
    <x v="0"/>
    <s v="Product B"/>
    <n v="4"/>
    <n v="40"/>
    <n v="10000"/>
    <n v="2300"/>
    <n v="11"/>
    <d v="2019-01-01T00:00:00"/>
    <n v="5.0372542732916997E-5"/>
  </r>
  <r>
    <n v="10073"/>
    <n v="2019"/>
    <s v="março"/>
    <d v="2019-03-14T00:00:00"/>
    <x v="4"/>
    <x v="4"/>
    <s v="Product A"/>
    <n v="2"/>
    <n v="43"/>
    <n v="21500"/>
    <n v="7095"/>
    <n v="11"/>
    <d v="2019-01-01T00:00:00"/>
    <n v="1.0830096687577199E-4"/>
  </r>
  <r>
    <n v="10074"/>
    <n v="2019"/>
    <s v="março"/>
    <d v="2019-03-15T00:00:00"/>
    <x v="3"/>
    <x v="0"/>
    <s v="Product D"/>
    <n v="19"/>
    <n v="293"/>
    <n v="249050"/>
    <n v="92148.5"/>
    <n v="11"/>
    <d v="2019-01-01T00:00:00"/>
    <n v="1.2545281767632999E-3"/>
  </r>
  <r>
    <n v="10075"/>
    <n v="2019"/>
    <s v="março"/>
    <d v="2019-03-16T00:00:00"/>
    <x v="2"/>
    <x v="2"/>
    <s v="Product A"/>
    <n v="19"/>
    <n v="387"/>
    <n v="193500"/>
    <n v="71595"/>
    <n v="11"/>
    <d v="2019-01-01T00:00:00"/>
    <n v="9.7470870188194299E-4"/>
  </r>
  <r>
    <n v="10076"/>
    <n v="2019"/>
    <s v="março"/>
    <d v="2019-03-17T00:00:00"/>
    <x v="3"/>
    <x v="0"/>
    <s v="Product E"/>
    <n v="16"/>
    <n v="413"/>
    <n v="309750"/>
    <n v="96022.5"/>
    <n v="12"/>
    <d v="2019-01-01T00:00:00"/>
    <n v="1.5602895111521001E-3"/>
  </r>
  <r>
    <n v="10077"/>
    <n v="2019"/>
    <s v="março"/>
    <d v="2019-03-18T00:00:00"/>
    <x v="3"/>
    <x v="2"/>
    <s v="Product C"/>
    <n v="21"/>
    <n v="297"/>
    <n v="103950"/>
    <n v="46777.5"/>
    <n v="12"/>
    <d v="2019-01-01T00:00:00"/>
    <n v="5.2362258170867196E-4"/>
  </r>
  <r>
    <n v="10078"/>
    <n v="2019"/>
    <s v="março"/>
    <d v="2019-03-19T00:00:00"/>
    <x v="3"/>
    <x v="3"/>
    <s v="Product C"/>
    <n v="8"/>
    <n v="342"/>
    <n v="119700"/>
    <n v="35910"/>
    <n v="12"/>
    <d v="2019-01-01T00:00:00"/>
    <n v="6.0295933651301605E-4"/>
  </r>
  <r>
    <n v="10079"/>
    <n v="2019"/>
    <s v="março"/>
    <d v="2019-03-20T00:00:00"/>
    <x v="1"/>
    <x v="3"/>
    <s v="Product E"/>
    <n v="27"/>
    <n v="280"/>
    <n v="210000"/>
    <n v="46200"/>
    <n v="12"/>
    <d v="2019-01-01T00:00:00"/>
    <n v="1.0578233973912599E-3"/>
  </r>
  <r>
    <n v="10080"/>
    <n v="2019"/>
    <s v="março"/>
    <d v="2019-03-21T00:00:00"/>
    <x v="3"/>
    <x v="4"/>
    <s v="Product B"/>
    <n v="25"/>
    <n v="428"/>
    <n v="107000"/>
    <n v="31029.999999999996"/>
    <n v="12"/>
    <d v="2019-01-01T00:00:00"/>
    <n v="5.3898620724221198E-4"/>
  </r>
  <r>
    <n v="10081"/>
    <n v="2019"/>
    <s v="março"/>
    <d v="2019-03-22T00:00:00"/>
    <x v="4"/>
    <x v="0"/>
    <s v="Product C"/>
    <n v="22"/>
    <n v="439"/>
    <n v="153650"/>
    <n v="69142.5"/>
    <n v="12"/>
    <d v="2019-01-01T00:00:00"/>
    <n v="7.7397411909126905E-4"/>
  </r>
  <r>
    <n v="10082"/>
    <n v="2019"/>
    <s v="março"/>
    <d v="2019-03-23T00:00:00"/>
    <x v="4"/>
    <x v="4"/>
    <s v="Product A"/>
    <n v="21"/>
    <n v="399"/>
    <n v="199500"/>
    <n v="83790"/>
    <n v="12"/>
    <d v="2019-01-01T00:00:00"/>
    <n v="1.0049322275216899E-3"/>
  </r>
  <r>
    <n v="10083"/>
    <n v="2019"/>
    <s v="março"/>
    <d v="2019-03-24T00:00:00"/>
    <x v="3"/>
    <x v="3"/>
    <s v="Product E"/>
    <n v="18"/>
    <n v="395"/>
    <n v="296250"/>
    <n v="133312.5"/>
    <n v="13"/>
    <d v="2019-01-01T00:00:00"/>
    <n v="1.4922865784626699E-3"/>
  </r>
  <r>
    <n v="10084"/>
    <n v="2019"/>
    <s v="março"/>
    <d v="2019-03-25T00:00:00"/>
    <x v="3"/>
    <x v="3"/>
    <s v="Product E"/>
    <n v="2"/>
    <n v="41"/>
    <n v="30750"/>
    <n v="4305"/>
    <n v="13"/>
    <d v="2019-01-01T00:00:00"/>
    <n v="1.5489556890372E-4"/>
  </r>
  <r>
    <n v="10085"/>
    <n v="2019"/>
    <s v="março"/>
    <d v="2019-03-26T00:00:00"/>
    <x v="0"/>
    <x v="4"/>
    <s v="Product B"/>
    <n v="6"/>
    <n v="88"/>
    <n v="22000"/>
    <n v="4620"/>
    <n v="13"/>
    <d v="2019-01-01T00:00:00"/>
    <n v="1.10819594012417E-4"/>
  </r>
  <r>
    <n v="10086"/>
    <n v="2019"/>
    <s v="março"/>
    <d v="2019-03-27T00:00:00"/>
    <x v="0"/>
    <x v="3"/>
    <s v="Product A"/>
    <n v="44"/>
    <n v="471"/>
    <n v="235500"/>
    <n v="89490"/>
    <n v="13"/>
    <d v="2019-01-01T00:00:00"/>
    <n v="1.18627338136019E-3"/>
  </r>
  <r>
    <n v="10087"/>
    <n v="2019"/>
    <s v="março"/>
    <d v="2019-03-28T00:00:00"/>
    <x v="0"/>
    <x v="3"/>
    <s v="Product D"/>
    <n v="1"/>
    <n v="84"/>
    <n v="71400"/>
    <n v="9282"/>
    <n v="13"/>
    <d v="2019-01-01T00:00:00"/>
    <n v="3.5965995511302699E-4"/>
  </r>
  <r>
    <n v="10088"/>
    <n v="2019"/>
    <s v="março"/>
    <d v="2019-03-29T00:00:00"/>
    <x v="1"/>
    <x v="0"/>
    <s v="Product C"/>
    <n v="5"/>
    <n v="73"/>
    <n v="25550"/>
    <n v="8431.5"/>
    <n v="13"/>
    <d v="2019-01-01T00:00:00"/>
    <n v="1.2870184668260299E-4"/>
  </r>
  <r>
    <n v="10089"/>
    <n v="2019"/>
    <s v="março"/>
    <d v="2019-03-30T00:00:00"/>
    <x v="1"/>
    <x v="4"/>
    <s v="Product A"/>
    <n v="7"/>
    <n v="441"/>
    <n v="220500"/>
    <n v="22050"/>
    <n v="13"/>
    <d v="2019-01-01T00:00:00"/>
    <n v="1.11071456726082E-3"/>
  </r>
  <r>
    <n v="10090"/>
    <n v="2019"/>
    <s v="março"/>
    <d v="2019-03-31T00:00:00"/>
    <x v="4"/>
    <x v="2"/>
    <s v="Product C"/>
    <n v="27"/>
    <n v="361"/>
    <n v="126350"/>
    <n v="51803.5"/>
    <n v="14"/>
    <d v="2019-01-01T00:00:00"/>
    <n v="6.3645707743040605E-4"/>
  </r>
  <r>
    <n v="10091"/>
    <n v="2019"/>
    <s v="abril"/>
    <d v="2019-04-01T00:00:00"/>
    <x v="3"/>
    <x v="0"/>
    <s v="Product A"/>
    <n v="30"/>
    <n v="330"/>
    <n v="165000"/>
    <n v="41250"/>
    <n v="14"/>
    <d v="2019-04-01T00:00:00"/>
    <n v="8.3114695509312996E-4"/>
  </r>
  <r>
    <n v="10092"/>
    <n v="2019"/>
    <s v="abril"/>
    <d v="2019-04-02T00:00:00"/>
    <x v="3"/>
    <x v="4"/>
    <s v="Product E"/>
    <n v="3"/>
    <n v="195"/>
    <n v="146250"/>
    <n v="62887.5"/>
    <n v="14"/>
    <d v="2019-04-01T00:00:00"/>
    <n v="7.3669843746891096E-4"/>
  </r>
  <r>
    <n v="10093"/>
    <n v="2019"/>
    <s v="abril"/>
    <d v="2019-04-03T00:00:00"/>
    <x v="1"/>
    <x v="2"/>
    <s v="Product D"/>
    <n v="7"/>
    <n v="117"/>
    <n v="99450"/>
    <n v="34807.5"/>
    <n v="14"/>
    <d v="2019-04-01T00:00:00"/>
    <n v="5.0095493747885904E-4"/>
  </r>
  <r>
    <n v="10094"/>
    <n v="2019"/>
    <s v="abril"/>
    <d v="2019-04-04T00:00:00"/>
    <x v="1"/>
    <x v="1"/>
    <s v="Product C"/>
    <n v="38"/>
    <n v="477"/>
    <n v="166950"/>
    <n v="61771.5"/>
    <n v="14"/>
    <d v="2019-04-01T00:00:00"/>
    <n v="8.4096960092604905E-4"/>
  </r>
  <r>
    <n v="10095"/>
    <n v="2019"/>
    <s v="abril"/>
    <d v="2019-04-05T00:00:00"/>
    <x v="3"/>
    <x v="4"/>
    <s v="Product D"/>
    <n v="8"/>
    <n v="329"/>
    <n v="279650"/>
    <n v="86691.5"/>
    <n v="14"/>
    <d v="2019-04-01T00:00:00"/>
    <n v="1.4086681575260201E-3"/>
  </r>
  <r>
    <n v="10096"/>
    <n v="2019"/>
    <s v="abril"/>
    <d v="2019-04-06T00:00:00"/>
    <x v="4"/>
    <x v="2"/>
    <s v="Product C"/>
    <n v="7"/>
    <n v="280"/>
    <n v="98000"/>
    <n v="13720.000000000002"/>
    <n v="14"/>
    <d v="2019-04-01T00:00:00"/>
    <n v="4.9365091878258603E-4"/>
  </r>
  <r>
    <n v="10097"/>
    <n v="2019"/>
    <s v="abril"/>
    <d v="2019-04-07T00:00:00"/>
    <x v="3"/>
    <x v="3"/>
    <s v="Product E"/>
    <n v="22"/>
    <n v="338"/>
    <n v="253500"/>
    <n v="73515"/>
    <n v="15"/>
    <d v="2019-04-01T00:00:00"/>
    <n v="1.2769439582794499E-3"/>
  </r>
  <r>
    <n v="10098"/>
    <n v="2019"/>
    <s v="abril"/>
    <d v="2019-04-08T00:00:00"/>
    <x v="4"/>
    <x v="3"/>
    <s v="Product A"/>
    <n v="4"/>
    <n v="151"/>
    <n v="75500"/>
    <n v="18875"/>
    <n v="15"/>
    <d v="2019-04-01T00:00:00"/>
    <n v="3.80312697633523E-4"/>
  </r>
  <r>
    <n v="10099"/>
    <n v="2019"/>
    <s v="abril"/>
    <d v="2019-04-09T00:00:00"/>
    <x v="2"/>
    <x v="4"/>
    <s v="Product A"/>
    <n v="2"/>
    <n v="134"/>
    <n v="67000"/>
    <n v="18760"/>
    <n v="15"/>
    <d v="2019-04-01T00:00:00"/>
    <n v="3.3749603631054399E-4"/>
  </r>
  <r>
    <n v="10100"/>
    <n v="2019"/>
    <s v="abril"/>
    <d v="2019-04-10T00:00:00"/>
    <x v="1"/>
    <x v="4"/>
    <s v="Product E"/>
    <n v="25"/>
    <n v="435"/>
    <n v="326250"/>
    <n v="130500"/>
    <n v="15"/>
    <d v="2019-04-01T00:00:00"/>
    <n v="1.64340420666142E-3"/>
  </r>
  <r>
    <n v="10101"/>
    <n v="2019"/>
    <s v="abril"/>
    <d v="2019-04-11T00:00:00"/>
    <x v="3"/>
    <x v="1"/>
    <s v="Product D"/>
    <n v="15"/>
    <n v="154"/>
    <n v="130900"/>
    <n v="26180"/>
    <n v="15"/>
    <d v="2019-04-01T00:00:00"/>
    <n v="6.5937658437388298E-4"/>
  </r>
  <r>
    <n v="10102"/>
    <n v="2019"/>
    <s v="abril"/>
    <d v="2019-04-12T00:00:00"/>
    <x v="2"/>
    <x v="4"/>
    <s v="Product E"/>
    <n v="6"/>
    <n v="465"/>
    <n v="348750"/>
    <n v="139500"/>
    <n v="15"/>
    <d v="2019-04-01T00:00:00"/>
    <n v="1.7567424278104799E-3"/>
  </r>
  <r>
    <n v="10103"/>
    <n v="2019"/>
    <s v="abril"/>
    <d v="2019-04-13T00:00:00"/>
    <x v="0"/>
    <x v="3"/>
    <s v="Product C"/>
    <n v="1"/>
    <n v="47"/>
    <n v="16450"/>
    <n v="3454.5"/>
    <n v="15"/>
    <d v="2019-04-01T00:00:00"/>
    <n v="8.2862832795648395E-5"/>
  </r>
  <r>
    <n v="10104"/>
    <n v="2019"/>
    <s v="abril"/>
    <d v="2019-04-14T00:00:00"/>
    <x v="4"/>
    <x v="2"/>
    <s v="Product C"/>
    <n v="26"/>
    <n v="268"/>
    <n v="93800"/>
    <n v="41272"/>
    <n v="16"/>
    <d v="2019-04-01T00:00:00"/>
    <n v="4.7249445083476102E-4"/>
  </r>
  <r>
    <n v="10105"/>
    <n v="2019"/>
    <s v="abril"/>
    <d v="2019-04-15T00:00:00"/>
    <x v="2"/>
    <x v="2"/>
    <s v="Product D"/>
    <n v="3"/>
    <n v="31"/>
    <n v="26350"/>
    <n v="4479.5"/>
    <n v="16"/>
    <d v="2019-04-01T00:00:00"/>
    <n v="1.32731650101236E-4"/>
  </r>
  <r>
    <n v="10106"/>
    <n v="2019"/>
    <s v="abril"/>
    <d v="2019-04-16T00:00:00"/>
    <x v="3"/>
    <x v="2"/>
    <s v="Product B"/>
    <n v="8"/>
    <n v="141"/>
    <n v="35250"/>
    <n v="11985"/>
    <n v="16"/>
    <d v="2019-04-01T00:00:00"/>
    <n v="1.77563213133532E-4"/>
  </r>
  <r>
    <n v="10107"/>
    <n v="2019"/>
    <s v="abril"/>
    <d v="2019-04-17T00:00:00"/>
    <x v="4"/>
    <x v="4"/>
    <s v="Product A"/>
    <n v="5"/>
    <n v="232"/>
    <n v="116000"/>
    <n v="48720"/>
    <n v="16"/>
    <d v="2019-04-01T00:00:00"/>
    <n v="5.8432149570183695E-4"/>
  </r>
  <r>
    <n v="10108"/>
    <n v="2019"/>
    <s v="abril"/>
    <d v="2019-04-18T00:00:00"/>
    <x v="4"/>
    <x v="3"/>
    <s v="Product B"/>
    <n v="13"/>
    <n v="166"/>
    <n v="41500"/>
    <n v="12865"/>
    <n v="16"/>
    <d v="2019-04-01T00:00:00"/>
    <n v="2.0904605234160501E-4"/>
  </r>
  <r>
    <n v="10109"/>
    <n v="2019"/>
    <s v="abril"/>
    <d v="2019-04-19T00:00:00"/>
    <x v="1"/>
    <x v="1"/>
    <s v="Product E"/>
    <n v="13"/>
    <n v="495"/>
    <n v="371250"/>
    <n v="66825"/>
    <n v="16"/>
    <d v="2019-04-01T00:00:00"/>
    <n v="1.8700806489595401E-3"/>
  </r>
  <r>
    <n v="10110"/>
    <n v="2019"/>
    <s v="abril"/>
    <d v="2019-04-20T00:00:00"/>
    <x v="0"/>
    <x v="4"/>
    <s v="Product D"/>
    <n v="29"/>
    <n v="355"/>
    <n v="301750"/>
    <n v="93542.5"/>
    <n v="16"/>
    <d v="2019-04-01T00:00:00"/>
    <n v="1.5199914769657701E-3"/>
  </r>
  <r>
    <n v="10111"/>
    <n v="2019"/>
    <s v="abril"/>
    <d v="2019-04-21T00:00:00"/>
    <x v="2"/>
    <x v="2"/>
    <s v="Product B"/>
    <n v="44"/>
    <n v="459"/>
    <n v="114750"/>
    <n v="42457.5"/>
    <n v="17"/>
    <d v="2019-04-01T00:00:00"/>
    <n v="5.7802492786022204E-4"/>
  </r>
  <r>
    <n v="10112"/>
    <n v="2019"/>
    <s v="abril"/>
    <d v="2019-04-22T00:00:00"/>
    <x v="3"/>
    <x v="2"/>
    <s v="Product A"/>
    <n v="20"/>
    <n v="420"/>
    <n v="210000"/>
    <n v="35700"/>
    <n v="17"/>
    <d v="2019-04-01T00:00:00"/>
    <n v="1.0578233973912599E-3"/>
  </r>
  <r>
    <n v="10113"/>
    <n v="2019"/>
    <s v="abril"/>
    <d v="2019-04-23T00:00:00"/>
    <x v="2"/>
    <x v="2"/>
    <s v="Product E"/>
    <n v="10"/>
    <n v="237"/>
    <n v="177750"/>
    <n v="19552.5"/>
    <n v="17"/>
    <d v="2019-04-01T00:00:00"/>
    <n v="8.9537194707759902E-4"/>
  </r>
  <r>
    <n v="10114"/>
    <n v="2019"/>
    <s v="abril"/>
    <d v="2019-04-24T00:00:00"/>
    <x v="3"/>
    <x v="3"/>
    <s v="Product E"/>
    <n v="15"/>
    <n v="343"/>
    <n v="257250"/>
    <n v="33442.5"/>
    <n v="17"/>
    <d v="2019-04-01T00:00:00"/>
    <n v="1.2958336618042899E-3"/>
  </r>
  <r>
    <n v="10115"/>
    <n v="2019"/>
    <s v="abril"/>
    <d v="2019-04-25T00:00:00"/>
    <x v="1"/>
    <x v="0"/>
    <s v="Product E"/>
    <n v="17"/>
    <n v="189"/>
    <n v="141750"/>
    <n v="56700"/>
    <n v="17"/>
    <d v="2019-04-01T00:00:00"/>
    <n v="7.1403079323909804E-4"/>
  </r>
  <r>
    <n v="10116"/>
    <n v="2019"/>
    <s v="abril"/>
    <d v="2019-04-26T00:00:00"/>
    <x v="4"/>
    <x v="3"/>
    <s v="Product D"/>
    <n v="27"/>
    <n v="338"/>
    <n v="287300"/>
    <n v="77571"/>
    <n v="17"/>
    <d v="2019-04-01T00:00:00"/>
    <n v="1.4472031527167E-3"/>
  </r>
  <r>
    <n v="10117"/>
    <n v="2019"/>
    <s v="abril"/>
    <d v="2019-04-27T00:00:00"/>
    <x v="3"/>
    <x v="3"/>
    <s v="Product E"/>
    <n v="22"/>
    <n v="432"/>
    <n v="324000"/>
    <n v="68040"/>
    <n v="17"/>
    <d v="2019-04-01T00:00:00"/>
    <n v="1.6320703845465101E-3"/>
  </r>
  <r>
    <n v="10118"/>
    <n v="2019"/>
    <s v="abril"/>
    <d v="2019-04-28T00:00:00"/>
    <x v="0"/>
    <x v="2"/>
    <s v="Product C"/>
    <n v="16"/>
    <n v="494"/>
    <n v="172900"/>
    <n v="53599"/>
    <n v="18"/>
    <d v="2019-04-01T00:00:00"/>
    <n v="8.7094126385213401E-4"/>
  </r>
  <r>
    <n v="10119"/>
    <n v="2019"/>
    <s v="abril"/>
    <d v="2019-04-29T00:00:00"/>
    <x v="4"/>
    <x v="4"/>
    <s v="Product B"/>
    <n v="9"/>
    <n v="411"/>
    <n v="102750"/>
    <n v="30825"/>
    <n v="18"/>
    <d v="2019-04-01T00:00:00"/>
    <n v="5.1757787658072204E-4"/>
  </r>
  <r>
    <n v="10120"/>
    <n v="2019"/>
    <s v="abril"/>
    <d v="2019-04-30T00:00:00"/>
    <x v="0"/>
    <x v="2"/>
    <s v="Product A"/>
    <n v="21"/>
    <n v="344"/>
    <n v="172000"/>
    <n v="58480.000000000007"/>
    <n v="18"/>
    <d v="2019-04-01T00:00:00"/>
    <n v="8.6640773500617195E-4"/>
  </r>
  <r>
    <n v="10121"/>
    <n v="2019"/>
    <s v="maio"/>
    <d v="2019-05-01T00:00:00"/>
    <x v="4"/>
    <x v="4"/>
    <s v="Product A"/>
    <n v="8"/>
    <n v="308"/>
    <n v="154000"/>
    <n v="66220"/>
    <n v="18"/>
    <d v="2019-04-01T00:00:00"/>
    <n v="7.7573715808692103E-4"/>
  </r>
  <r>
    <n v="10122"/>
    <n v="2019"/>
    <s v="maio"/>
    <d v="2019-05-02T00:00:00"/>
    <x v="4"/>
    <x v="2"/>
    <s v="Product C"/>
    <n v="18"/>
    <n v="220"/>
    <n v="77000"/>
    <n v="23100"/>
    <n v="18"/>
    <d v="2019-04-01T00:00:00"/>
    <n v="3.87868579043461E-4"/>
  </r>
  <r>
    <n v="10123"/>
    <n v="2019"/>
    <s v="maio"/>
    <d v="2019-05-03T00:00:00"/>
    <x v="1"/>
    <x v="0"/>
    <s v="Product D"/>
    <n v="3"/>
    <n v="64"/>
    <n v="54400"/>
    <n v="5984"/>
    <n v="18"/>
    <d v="2019-04-01T00:00:00"/>
    <n v="2.74026632467068E-4"/>
  </r>
  <r>
    <n v="10124"/>
    <n v="2019"/>
    <s v="maio"/>
    <d v="2019-05-04T00:00:00"/>
    <x v="4"/>
    <x v="2"/>
    <s v="Product A"/>
    <n v="8"/>
    <n v="459"/>
    <n v="229500"/>
    <n v="29835"/>
    <n v="18"/>
    <d v="2019-04-01T00:00:00"/>
    <n v="1.15604985572044E-3"/>
  </r>
  <r>
    <n v="10125"/>
    <n v="2019"/>
    <s v="maio"/>
    <d v="2019-05-05T00:00:00"/>
    <x v="2"/>
    <x v="3"/>
    <s v="Product D"/>
    <n v="4"/>
    <n v="257"/>
    <n v="218450"/>
    <n v="96118"/>
    <n v="19"/>
    <d v="2019-04-01T00:00:00"/>
    <n v="1.10038819600057E-3"/>
  </r>
  <r>
    <n v="10126"/>
    <n v="2019"/>
    <s v="maio"/>
    <d v="2019-05-06T00:00:00"/>
    <x v="0"/>
    <x v="3"/>
    <s v="Product E"/>
    <n v="10"/>
    <n v="132"/>
    <n v="99000"/>
    <n v="21780"/>
    <n v="19"/>
    <d v="2019-04-01T00:00:00"/>
    <n v="4.9868817305587796E-4"/>
  </r>
  <r>
    <n v="10127"/>
    <n v="2019"/>
    <s v="maio"/>
    <d v="2019-05-07T00:00:00"/>
    <x v="4"/>
    <x v="3"/>
    <s v="Product E"/>
    <n v="3"/>
    <n v="61"/>
    <n v="45750"/>
    <n v="12810.000000000002"/>
    <n v="19"/>
    <d v="2019-04-01T00:00:00"/>
    <n v="2.30454383003095E-4"/>
  </r>
  <r>
    <n v="10128"/>
    <n v="2019"/>
    <s v="maio"/>
    <d v="2019-05-08T00:00:00"/>
    <x v="3"/>
    <x v="1"/>
    <s v="Product C"/>
    <n v="34"/>
    <n v="461"/>
    <n v="161350"/>
    <n v="56472.5"/>
    <n v="19"/>
    <d v="2019-04-01T00:00:00"/>
    <n v="8.1276097699561499E-4"/>
  </r>
  <r>
    <n v="10129"/>
    <n v="2019"/>
    <s v="maio"/>
    <d v="2019-05-09T00:00:00"/>
    <x v="1"/>
    <x v="2"/>
    <s v="Product B"/>
    <n v="16"/>
    <n v="272"/>
    <n v="68000"/>
    <n v="24480"/>
    <n v="19"/>
    <d v="2019-04-01T00:00:00"/>
    <n v="3.42533290583835E-4"/>
  </r>
  <r>
    <n v="10130"/>
    <n v="2019"/>
    <s v="maio"/>
    <d v="2019-05-10T00:00:00"/>
    <x v="3"/>
    <x v="1"/>
    <s v="Product E"/>
    <n v="25"/>
    <n v="500"/>
    <n v="375000"/>
    <n v="82500"/>
    <n v="19"/>
    <d v="2019-04-01T00:00:00"/>
    <n v="1.88897035248439E-3"/>
  </r>
  <r>
    <n v="10131"/>
    <n v="2019"/>
    <s v="maio"/>
    <d v="2019-05-11T00:00:00"/>
    <x v="0"/>
    <x v="2"/>
    <s v="Product A"/>
    <n v="18"/>
    <n v="368"/>
    <n v="184000"/>
    <n v="64399.999999999993"/>
    <n v="19"/>
    <d v="2019-04-01T00:00:00"/>
    <n v="9.2685478628567195E-4"/>
  </r>
  <r>
    <n v="10132"/>
    <n v="2019"/>
    <s v="maio"/>
    <d v="2019-05-12T00:00:00"/>
    <x v="1"/>
    <x v="1"/>
    <s v="Product E"/>
    <n v="42"/>
    <n v="473"/>
    <n v="354750"/>
    <n v="60307.500000000007"/>
    <n v="20"/>
    <d v="2019-04-01T00:00:00"/>
    <n v="1.78696595345023E-3"/>
  </r>
  <r>
    <n v="10133"/>
    <n v="2019"/>
    <s v="maio"/>
    <d v="2019-05-13T00:00:00"/>
    <x v="0"/>
    <x v="3"/>
    <s v="Product C"/>
    <n v="31"/>
    <n v="439"/>
    <n v="153650"/>
    <n v="30730"/>
    <n v="20"/>
    <d v="2019-04-01T00:00:00"/>
    <n v="7.7397411909126905E-4"/>
  </r>
  <r>
    <n v="10134"/>
    <n v="2019"/>
    <s v="maio"/>
    <d v="2019-05-14T00:00:00"/>
    <x v="1"/>
    <x v="1"/>
    <s v="Product D"/>
    <n v="35"/>
    <n v="445"/>
    <n v="378250"/>
    <n v="121040"/>
    <n v="20"/>
    <d v="2019-04-01T00:00:00"/>
    <n v="1.9053414288725801E-3"/>
  </r>
  <r>
    <n v="10135"/>
    <n v="2019"/>
    <s v="maio"/>
    <d v="2019-05-15T00:00:00"/>
    <x v="2"/>
    <x v="3"/>
    <s v="Product D"/>
    <n v="37"/>
    <n v="413"/>
    <n v="351050"/>
    <n v="122867.49999999999"/>
    <n v="20"/>
    <d v="2019-04-01T00:00:00"/>
    <n v="1.76832811263905E-3"/>
  </r>
  <r>
    <n v="10136"/>
    <n v="2019"/>
    <s v="maio"/>
    <d v="2019-05-16T00:00:00"/>
    <x v="1"/>
    <x v="4"/>
    <s v="Product D"/>
    <n v="24"/>
    <n v="480"/>
    <n v="408000"/>
    <n v="65280"/>
    <n v="20"/>
    <d v="2019-04-01T00:00:00"/>
    <n v="2.0551997435030102E-3"/>
  </r>
  <r>
    <n v="10137"/>
    <n v="2019"/>
    <s v="maio"/>
    <d v="2019-05-17T00:00:00"/>
    <x v="0"/>
    <x v="3"/>
    <s v="Product A"/>
    <n v="2"/>
    <n v="37"/>
    <n v="18500"/>
    <n v="4255"/>
    <n v="20"/>
    <d v="2019-04-01T00:00:00"/>
    <n v="9.3189204055896398E-5"/>
  </r>
  <r>
    <n v="10138"/>
    <n v="2019"/>
    <s v="maio"/>
    <d v="2019-05-18T00:00:00"/>
    <x v="1"/>
    <x v="3"/>
    <s v="Product D"/>
    <n v="5"/>
    <n v="255"/>
    <n v="216750"/>
    <n v="62857.499999999993"/>
    <n v="20"/>
    <d v="2019-04-01T00:00:00"/>
    <n v="1.09182486373598E-3"/>
  </r>
  <r>
    <n v="10139"/>
    <n v="2019"/>
    <s v="maio"/>
    <d v="2019-05-19T00:00:00"/>
    <x v="4"/>
    <x v="1"/>
    <s v="Product B"/>
    <n v="29"/>
    <n v="345"/>
    <n v="86250"/>
    <n v="22425"/>
    <n v="21"/>
    <d v="2019-04-01T00:00:00"/>
    <n v="4.3446318107140901E-4"/>
  </r>
  <r>
    <n v="10140"/>
    <n v="2019"/>
    <s v="maio"/>
    <d v="2019-05-20T00:00:00"/>
    <x v="4"/>
    <x v="1"/>
    <s v="Product E"/>
    <n v="6"/>
    <n v="366"/>
    <n v="274500"/>
    <n v="76860.000000000015"/>
    <n v="21"/>
    <d v="2019-04-01T00:00:00"/>
    <n v="1.38272629801857E-3"/>
  </r>
  <r>
    <n v="10141"/>
    <n v="2019"/>
    <s v="maio"/>
    <d v="2019-05-21T00:00:00"/>
    <x v="4"/>
    <x v="0"/>
    <s v="Product A"/>
    <n v="11"/>
    <n v="259"/>
    <n v="129500"/>
    <n v="36260"/>
    <n v="21"/>
    <d v="2019-04-01T00:00:00"/>
    <n v="6.5232442839127495E-4"/>
  </r>
  <r>
    <n v="10142"/>
    <n v="2019"/>
    <s v="maio"/>
    <d v="2019-05-22T00:00:00"/>
    <x v="1"/>
    <x v="1"/>
    <s v="Product A"/>
    <n v="12"/>
    <n v="337"/>
    <n v="168500"/>
    <n v="50550"/>
    <n v="21"/>
    <d v="2019-04-01T00:00:00"/>
    <n v="8.4877734504965096E-4"/>
  </r>
  <r>
    <n v="10143"/>
    <n v="2019"/>
    <s v="maio"/>
    <d v="2019-05-23T00:00:00"/>
    <x v="3"/>
    <x v="1"/>
    <s v="Product B"/>
    <n v="7"/>
    <n v="222"/>
    <n v="55500"/>
    <n v="8325"/>
    <n v="21"/>
    <d v="2019-04-01T00:00:00"/>
    <n v="2.7956761216768898E-4"/>
  </r>
  <r>
    <n v="10144"/>
    <n v="2019"/>
    <s v="maio"/>
    <d v="2019-05-24T00:00:00"/>
    <x v="0"/>
    <x v="2"/>
    <s v="Product E"/>
    <n v="5"/>
    <n v="201"/>
    <n v="150750"/>
    <n v="36180"/>
    <n v="21"/>
    <d v="2019-04-01T00:00:00"/>
    <n v="7.5936608169872302E-4"/>
  </r>
  <r>
    <n v="10145"/>
    <n v="2019"/>
    <s v="maio"/>
    <d v="2019-05-25T00:00:00"/>
    <x v="2"/>
    <x v="1"/>
    <s v="Product B"/>
    <n v="16"/>
    <n v="375"/>
    <n v="93750"/>
    <n v="36562.5"/>
    <n v="21"/>
    <d v="2019-04-01T00:00:00"/>
    <n v="4.7224258812109701E-4"/>
  </r>
  <r>
    <n v="10146"/>
    <n v="2019"/>
    <s v="maio"/>
    <d v="2019-05-26T00:00:00"/>
    <x v="4"/>
    <x v="4"/>
    <s v="Product D"/>
    <n v="10"/>
    <n v="337"/>
    <n v="286450"/>
    <n v="60154.5"/>
    <n v="22"/>
    <d v="2019-04-01T00:00:00"/>
    <n v="1.4429214865844099E-3"/>
  </r>
  <r>
    <n v="10147"/>
    <n v="2019"/>
    <s v="maio"/>
    <d v="2019-05-27T00:00:00"/>
    <x v="4"/>
    <x v="3"/>
    <s v="Product D"/>
    <n v="22"/>
    <n v="285"/>
    <n v="242250"/>
    <n v="99322.5"/>
    <n v="22"/>
    <d v="2019-04-01T00:00:00"/>
    <n v="1.2202748477049101E-3"/>
  </r>
  <r>
    <n v="10148"/>
    <n v="2019"/>
    <s v="maio"/>
    <d v="2019-05-28T00:00:00"/>
    <x v="1"/>
    <x v="1"/>
    <s v="Product D"/>
    <n v="10"/>
    <n v="104"/>
    <n v="88400"/>
    <n v="20332"/>
    <n v="22"/>
    <d v="2019-04-01T00:00:00"/>
    <n v="4.4529327775898598E-4"/>
  </r>
  <r>
    <n v="10149"/>
    <n v="2019"/>
    <s v="maio"/>
    <d v="2019-05-29T00:00:00"/>
    <x v="3"/>
    <x v="4"/>
    <s v="Product C"/>
    <n v="11"/>
    <n v="247"/>
    <n v="86450"/>
    <n v="17290"/>
    <n v="22"/>
    <d v="2019-04-01T00:00:00"/>
    <n v="4.3547063192606701E-4"/>
  </r>
  <r>
    <n v="10150"/>
    <n v="2019"/>
    <s v="maio"/>
    <d v="2019-05-30T00:00:00"/>
    <x v="3"/>
    <x v="2"/>
    <s v="Product C"/>
    <n v="11"/>
    <n v="190"/>
    <n v="66500"/>
    <n v="25935"/>
    <n v="22"/>
    <d v="2019-04-01T00:00:00"/>
    <n v="3.3497740917389803E-4"/>
  </r>
  <r>
    <n v="10151"/>
    <n v="2019"/>
    <s v="maio"/>
    <d v="2019-05-31T00:00:00"/>
    <x v="1"/>
    <x v="0"/>
    <s v="Product A"/>
    <n v="10"/>
    <n v="249"/>
    <n v="124500"/>
    <n v="36105"/>
    <n v="22"/>
    <d v="2019-04-01T00:00:00"/>
    <n v="6.2713815702481596E-4"/>
  </r>
  <r>
    <n v="10152"/>
    <n v="2019"/>
    <s v="junho"/>
    <d v="2019-06-01T00:00:00"/>
    <x v="2"/>
    <x v="1"/>
    <s v="Product C"/>
    <n v="5"/>
    <n v="63"/>
    <n v="22050"/>
    <n v="9040.5"/>
    <n v="22"/>
    <d v="2019-04-01T00:00:00"/>
    <n v="1.11071456726082E-4"/>
  </r>
  <r>
    <n v="10153"/>
    <n v="2019"/>
    <s v="junho"/>
    <d v="2019-06-02T00:00:00"/>
    <x v="2"/>
    <x v="1"/>
    <s v="Product E"/>
    <n v="18"/>
    <n v="484"/>
    <n v="363000"/>
    <n v="72600"/>
    <n v="23"/>
    <d v="2019-04-01T00:00:00"/>
    <n v="1.8285233012048901E-3"/>
  </r>
  <r>
    <n v="10154"/>
    <n v="2019"/>
    <s v="junho"/>
    <d v="2019-06-03T00:00:00"/>
    <x v="3"/>
    <x v="0"/>
    <s v="Product E"/>
    <n v="4"/>
    <n v="352"/>
    <n v="264000"/>
    <n v="36960"/>
    <n v="23"/>
    <d v="2019-04-01T00:00:00"/>
    <n v="1.32983512814901E-3"/>
  </r>
  <r>
    <n v="10155"/>
    <n v="2019"/>
    <s v="junho"/>
    <d v="2019-06-04T00:00:00"/>
    <x v="1"/>
    <x v="0"/>
    <s v="Product C"/>
    <n v="8"/>
    <n v="241"/>
    <n v="84350"/>
    <n v="9278.5"/>
    <n v="23"/>
    <d v="2019-04-01T00:00:00"/>
    <n v="4.2489239795215502E-4"/>
  </r>
  <r>
    <n v="10156"/>
    <n v="2019"/>
    <s v="junho"/>
    <d v="2019-06-05T00:00:00"/>
    <x v="1"/>
    <x v="3"/>
    <s v="Product E"/>
    <n v="34"/>
    <n v="431"/>
    <n v="323250"/>
    <n v="93742.5"/>
    <n v="23"/>
    <d v="2019-04-01T00:00:00"/>
    <n v="1.6282924438415401E-3"/>
  </r>
  <r>
    <n v="10157"/>
    <n v="2019"/>
    <s v="junho"/>
    <d v="2019-06-06T00:00:00"/>
    <x v="0"/>
    <x v="1"/>
    <s v="Product E"/>
    <n v="5"/>
    <n v="64"/>
    <n v="48000"/>
    <n v="11040"/>
    <n v="23"/>
    <d v="2019-04-01T00:00:00"/>
    <n v="2.41788205118001E-4"/>
  </r>
  <r>
    <n v="10158"/>
    <n v="2019"/>
    <s v="junho"/>
    <d v="2019-06-07T00:00:00"/>
    <x v="2"/>
    <x v="4"/>
    <s v="Product E"/>
    <n v="5"/>
    <n v="53"/>
    <n v="39750"/>
    <n v="5565.0000000000009"/>
    <n v="23"/>
    <d v="2019-04-01T00:00:00"/>
    <n v="2.00230857363345E-4"/>
  </r>
  <r>
    <n v="10159"/>
    <n v="2019"/>
    <s v="junho"/>
    <d v="2019-06-08T00:00:00"/>
    <x v="3"/>
    <x v="1"/>
    <s v="Product A"/>
    <n v="1"/>
    <n v="23"/>
    <n v="11500"/>
    <n v="3220.0000000000005"/>
    <n v="23"/>
    <d v="2019-04-01T00:00:00"/>
    <n v="5.7928424142854497E-5"/>
  </r>
  <r>
    <n v="10160"/>
    <n v="2019"/>
    <s v="junho"/>
    <d v="2019-06-09T00:00:00"/>
    <x v="4"/>
    <x v="0"/>
    <s v="Product C"/>
    <n v="1"/>
    <n v="27"/>
    <n v="9450"/>
    <n v="4063.5"/>
    <n v="24"/>
    <d v="2019-04-01T00:00:00"/>
    <n v="4.76020528826065E-5"/>
  </r>
  <r>
    <n v="10161"/>
    <n v="2019"/>
    <s v="junho"/>
    <d v="2019-06-10T00:00:00"/>
    <x v="0"/>
    <x v="0"/>
    <s v="Product C"/>
    <n v="10"/>
    <n v="122"/>
    <n v="42700"/>
    <n v="11529"/>
    <n v="24"/>
    <d v="2019-04-01T00:00:00"/>
    <n v="2.1509075746955499E-4"/>
  </r>
  <r>
    <n v="10162"/>
    <n v="2019"/>
    <s v="junho"/>
    <d v="2019-06-11T00:00:00"/>
    <x v="2"/>
    <x v="1"/>
    <s v="Product D"/>
    <n v="26"/>
    <n v="339"/>
    <n v="288150"/>
    <n v="72037.5"/>
    <n v="24"/>
    <d v="2019-04-01T00:00:00"/>
    <n v="1.451484818849E-3"/>
  </r>
  <r>
    <n v="10163"/>
    <n v="2019"/>
    <s v="junho"/>
    <d v="2019-06-12T00:00:00"/>
    <x v="2"/>
    <x v="4"/>
    <s v="Product B"/>
    <n v="13"/>
    <n v="414"/>
    <n v="103500"/>
    <n v="43470"/>
    <n v="24"/>
    <d v="2019-04-01T00:00:00"/>
    <n v="5.2135581728569099E-4"/>
  </r>
  <r>
    <n v="10164"/>
    <n v="2019"/>
    <s v="junho"/>
    <d v="2019-06-13T00:00:00"/>
    <x v="3"/>
    <x v="0"/>
    <s v="Product C"/>
    <n v="25"/>
    <n v="337"/>
    <n v="117950"/>
    <n v="15333.5"/>
    <n v="24"/>
    <d v="2019-04-01T00:00:00"/>
    <n v="5.9414414153475604E-4"/>
  </r>
  <r>
    <n v="10165"/>
    <n v="2019"/>
    <s v="junho"/>
    <d v="2019-06-14T00:00:00"/>
    <x v="0"/>
    <x v="0"/>
    <s v="Product C"/>
    <n v="13"/>
    <n v="490"/>
    <n v="171500"/>
    <n v="54880"/>
    <n v="24"/>
    <d v="2019-04-01T00:00:00"/>
    <n v="8.6388910786952598E-4"/>
  </r>
  <r>
    <n v="10166"/>
    <n v="2019"/>
    <s v="junho"/>
    <d v="2019-06-15T00:00:00"/>
    <x v="0"/>
    <x v="4"/>
    <s v="Product D"/>
    <n v="11"/>
    <n v="122"/>
    <n v="103700"/>
    <n v="26962"/>
    <n v="24"/>
    <d v="2019-04-01T00:00:00"/>
    <n v="5.2236326814034898E-4"/>
  </r>
  <r>
    <n v="10167"/>
    <n v="2019"/>
    <s v="junho"/>
    <d v="2019-06-16T00:00:00"/>
    <x v="0"/>
    <x v="2"/>
    <s v="Product A"/>
    <n v="3"/>
    <n v="105"/>
    <n v="52500"/>
    <n v="7350.0000000000009"/>
    <n v="25"/>
    <d v="2019-04-01T00:00:00"/>
    <n v="2.6445584934781401E-4"/>
  </r>
  <r>
    <n v="10168"/>
    <n v="2019"/>
    <s v="junho"/>
    <d v="2019-06-17T00:00:00"/>
    <x v="2"/>
    <x v="4"/>
    <s v="Product E"/>
    <n v="6"/>
    <n v="155"/>
    <n v="116250"/>
    <n v="46500"/>
    <n v="25"/>
    <d v="2019-04-01T00:00:00"/>
    <n v="5.8558080927016004E-4"/>
  </r>
  <r>
    <n v="10169"/>
    <n v="2019"/>
    <s v="junho"/>
    <d v="2019-06-18T00:00:00"/>
    <x v="1"/>
    <x v="0"/>
    <s v="Product D"/>
    <n v="17"/>
    <n v="179"/>
    <n v="152150"/>
    <n v="19779.5"/>
    <n v="25"/>
    <d v="2019-04-01T00:00:00"/>
    <n v="7.6641823768133202E-4"/>
  </r>
  <r>
    <n v="10170"/>
    <n v="2019"/>
    <s v="junho"/>
    <d v="2019-06-19T00:00:00"/>
    <x v="4"/>
    <x v="0"/>
    <s v="Product C"/>
    <n v="4"/>
    <n v="52"/>
    <n v="18200"/>
    <n v="2002"/>
    <n v="25"/>
    <d v="2019-04-01T00:00:00"/>
    <n v="9.1678027773908904E-5"/>
  </r>
  <r>
    <n v="10171"/>
    <n v="2019"/>
    <s v="junho"/>
    <d v="2019-06-20T00:00:00"/>
    <x v="2"/>
    <x v="2"/>
    <s v="Product B"/>
    <n v="22"/>
    <n v="317"/>
    <n v="79250"/>
    <n v="10302.5"/>
    <n v="25"/>
    <d v="2019-04-01T00:00:00"/>
    <n v="3.9920240115836703E-4"/>
  </r>
  <r>
    <n v="10172"/>
    <n v="2019"/>
    <s v="junho"/>
    <d v="2019-06-21T00:00:00"/>
    <x v="2"/>
    <x v="0"/>
    <s v="Product C"/>
    <n v="28"/>
    <n v="433"/>
    <n v="151550"/>
    <n v="22732.5"/>
    <n v="25"/>
    <d v="2019-04-01T00:00:00"/>
    <n v="7.6339588511735695E-4"/>
  </r>
  <r>
    <n v="10173"/>
    <n v="2019"/>
    <s v="junho"/>
    <d v="2019-06-22T00:00:00"/>
    <x v="1"/>
    <x v="1"/>
    <s v="Product E"/>
    <n v="14"/>
    <n v="260"/>
    <n v="195000"/>
    <n v="78000"/>
    <n v="25"/>
    <d v="2019-04-01T00:00:00"/>
    <n v="9.82264583291881E-4"/>
  </r>
  <r>
    <n v="10174"/>
    <n v="2019"/>
    <s v="junho"/>
    <d v="2019-06-23T00:00:00"/>
    <x v="3"/>
    <x v="0"/>
    <s v="Product B"/>
    <n v="28"/>
    <n v="419"/>
    <n v="104750"/>
    <n v="11522.5"/>
    <n v="26"/>
    <d v="2019-04-01T00:00:00"/>
    <n v="5.2765238512730503E-4"/>
  </r>
  <r>
    <n v="10175"/>
    <n v="2019"/>
    <s v="junho"/>
    <d v="2019-06-24T00:00:00"/>
    <x v="1"/>
    <x v="4"/>
    <s v="Product E"/>
    <n v="10"/>
    <n v="183"/>
    <n v="137250"/>
    <n v="31567.5"/>
    <n v="26"/>
    <d v="2019-04-01T00:00:00"/>
    <n v="6.9136314900928599E-4"/>
  </r>
  <r>
    <n v="10176"/>
    <n v="2019"/>
    <s v="junho"/>
    <d v="2019-06-25T00:00:00"/>
    <x v="1"/>
    <x v="3"/>
    <s v="Product D"/>
    <n v="4"/>
    <n v="208"/>
    <n v="176800"/>
    <n v="53040"/>
    <n v="26"/>
    <d v="2019-04-01T00:00:00"/>
    <n v="8.9058655551797197E-4"/>
  </r>
  <r>
    <n v="10177"/>
    <n v="2019"/>
    <s v="junho"/>
    <d v="2019-06-26T00:00:00"/>
    <x v="2"/>
    <x v="4"/>
    <s v="Product A"/>
    <n v="7"/>
    <n v="302"/>
    <n v="151000"/>
    <n v="49830"/>
    <n v="26"/>
    <d v="2019-04-01T00:00:00"/>
    <n v="7.60625395267046E-4"/>
  </r>
  <r>
    <n v="10178"/>
    <n v="2019"/>
    <s v="junho"/>
    <d v="2019-06-27T00:00:00"/>
    <x v="0"/>
    <x v="3"/>
    <s v="Product E"/>
    <n v="1"/>
    <n v="69"/>
    <n v="51750"/>
    <n v="21735"/>
    <n v="26"/>
    <d v="2019-04-01T00:00:00"/>
    <n v="2.60677908642845E-4"/>
  </r>
  <r>
    <n v="10179"/>
    <n v="2019"/>
    <s v="junho"/>
    <d v="2019-06-28T00:00:00"/>
    <x v="1"/>
    <x v="0"/>
    <s v="Product C"/>
    <n v="9"/>
    <n v="392"/>
    <n v="137200"/>
    <n v="46648"/>
    <n v="26"/>
    <d v="2019-04-01T00:00:00"/>
    <n v="6.91111286295621E-4"/>
  </r>
  <r>
    <n v="10180"/>
    <n v="2019"/>
    <s v="junho"/>
    <d v="2019-06-29T00:00:00"/>
    <x v="1"/>
    <x v="1"/>
    <s v="Product A"/>
    <n v="9"/>
    <n v="128"/>
    <n v="64000"/>
    <n v="24320"/>
    <n v="26"/>
    <d v="2019-04-01T00:00:00"/>
    <n v="3.2238427349066902E-4"/>
  </r>
  <r>
    <n v="10181"/>
    <n v="2019"/>
    <s v="junho"/>
    <d v="2019-06-30T00:00:00"/>
    <x v="3"/>
    <x v="4"/>
    <s v="Product E"/>
    <n v="5"/>
    <n v="146"/>
    <n v="109500"/>
    <n v="45990"/>
    <n v="27"/>
    <d v="2019-04-01T00:00:00"/>
    <n v="5.5157934292544104E-4"/>
  </r>
  <r>
    <n v="10182"/>
    <n v="2019"/>
    <s v="julho"/>
    <d v="2019-07-01T00:00:00"/>
    <x v="4"/>
    <x v="2"/>
    <s v="Product A"/>
    <n v="10"/>
    <n v="190"/>
    <n v="95000"/>
    <n v="29450"/>
    <n v="27"/>
    <d v="2019-07-01T00:00:00"/>
    <n v="4.78539155962711E-4"/>
  </r>
  <r>
    <n v="10183"/>
    <n v="2019"/>
    <s v="julho"/>
    <d v="2019-07-02T00:00:00"/>
    <x v="1"/>
    <x v="4"/>
    <s v="Product A"/>
    <n v="13"/>
    <n v="176"/>
    <n v="88000"/>
    <n v="37840"/>
    <n v="27"/>
    <d v="2019-07-01T00:00:00"/>
    <n v="4.4327837604966902E-4"/>
  </r>
  <r>
    <n v="10184"/>
    <n v="2019"/>
    <s v="julho"/>
    <d v="2019-07-03T00:00:00"/>
    <x v="2"/>
    <x v="4"/>
    <s v="Product E"/>
    <n v="1"/>
    <n v="80"/>
    <n v="60000"/>
    <n v="16200.000000000002"/>
    <n v="27"/>
    <d v="2019-07-01T00:00:00"/>
    <n v="3.0223525639750201E-4"/>
  </r>
  <r>
    <n v="10185"/>
    <n v="2019"/>
    <s v="julho"/>
    <d v="2019-07-04T00:00:00"/>
    <x v="0"/>
    <x v="2"/>
    <s v="Product E"/>
    <n v="13"/>
    <n v="247"/>
    <n v="185250"/>
    <n v="46312.5"/>
    <n v="27"/>
    <d v="2019-07-01T00:00:00"/>
    <n v="9.3315135412728697E-4"/>
  </r>
  <r>
    <n v="10186"/>
    <n v="2019"/>
    <s v="julho"/>
    <d v="2019-07-05T00:00:00"/>
    <x v="2"/>
    <x v="1"/>
    <s v="Product C"/>
    <n v="9"/>
    <n v="160"/>
    <n v="56000"/>
    <n v="6720"/>
    <n v="27"/>
    <d v="2019-07-01T00:00:00"/>
    <n v="2.82086239304335E-4"/>
  </r>
  <r>
    <n v="10187"/>
    <n v="2019"/>
    <s v="julho"/>
    <d v="2019-07-06T00:00:00"/>
    <x v="2"/>
    <x v="3"/>
    <s v="Product C"/>
    <n v="2"/>
    <n v="49"/>
    <n v="17150"/>
    <n v="2744"/>
    <n v="27"/>
    <d v="2019-07-01T00:00:00"/>
    <n v="8.6388910786952598E-5"/>
  </r>
  <r>
    <n v="10188"/>
    <n v="2019"/>
    <s v="julho"/>
    <d v="2019-07-07T00:00:00"/>
    <x v="0"/>
    <x v="4"/>
    <s v="Product B"/>
    <n v="5"/>
    <n v="75"/>
    <n v="18750"/>
    <n v="3000"/>
    <n v="28"/>
    <d v="2019-07-01T00:00:00"/>
    <n v="9.4448517624219299E-5"/>
  </r>
  <r>
    <n v="10189"/>
    <n v="2019"/>
    <s v="julho"/>
    <d v="2019-07-08T00:00:00"/>
    <x v="3"/>
    <x v="4"/>
    <s v="Product A"/>
    <n v="2"/>
    <n v="42"/>
    <n v="21000"/>
    <n v="6510"/>
    <n v="28"/>
    <d v="2019-07-01T00:00:00"/>
    <n v="1.05782339739126E-4"/>
  </r>
  <r>
    <n v="10190"/>
    <n v="2019"/>
    <s v="julho"/>
    <d v="2019-07-09T00:00:00"/>
    <x v="4"/>
    <x v="3"/>
    <s v="Product D"/>
    <n v="3"/>
    <n v="39"/>
    <n v="33150"/>
    <n v="7956"/>
    <n v="28"/>
    <d v="2019-07-01T00:00:00"/>
    <n v="1.6698497915961999E-4"/>
  </r>
  <r>
    <n v="10191"/>
    <n v="2019"/>
    <s v="julho"/>
    <d v="2019-07-10T00:00:00"/>
    <x v="2"/>
    <x v="3"/>
    <s v="Product C"/>
    <n v="35"/>
    <n v="479"/>
    <n v="167650"/>
    <n v="35206.5"/>
    <n v="28"/>
    <d v="2019-07-01T00:00:00"/>
    <n v="8.4449567891735301E-4"/>
  </r>
  <r>
    <n v="10192"/>
    <n v="2019"/>
    <s v="julho"/>
    <d v="2019-07-11T00:00:00"/>
    <x v="2"/>
    <x v="3"/>
    <s v="Product D"/>
    <n v="25"/>
    <n v="274"/>
    <n v="232900"/>
    <n v="58225"/>
    <n v="28"/>
    <d v="2019-07-01T00:00:00"/>
    <n v="1.17317652024964E-3"/>
  </r>
  <r>
    <n v="10193"/>
    <n v="2019"/>
    <s v="julho"/>
    <d v="2019-07-12T00:00:00"/>
    <x v="0"/>
    <x v="1"/>
    <s v="Product D"/>
    <n v="17"/>
    <n v="317"/>
    <n v="269450"/>
    <n v="35028.5"/>
    <n v="28"/>
    <d v="2019-07-01T00:00:00"/>
    <n v="1.35728816393845E-3"/>
  </r>
  <r>
    <n v="10194"/>
    <n v="2019"/>
    <s v="julho"/>
    <d v="2019-07-13T00:00:00"/>
    <x v="3"/>
    <x v="3"/>
    <s v="Product B"/>
    <n v="35"/>
    <n v="381"/>
    <n v="95250"/>
    <n v="27622.499999999996"/>
    <n v="28"/>
    <d v="2019-07-01T00:00:00"/>
    <n v="4.7979846953103398E-4"/>
  </r>
  <r>
    <n v="10195"/>
    <n v="2019"/>
    <s v="julho"/>
    <d v="2019-07-14T00:00:00"/>
    <x v="4"/>
    <x v="3"/>
    <s v="Product D"/>
    <n v="12"/>
    <n v="171"/>
    <n v="145350"/>
    <n v="21802.5"/>
    <n v="29"/>
    <d v="2019-07-01T00:00:00"/>
    <n v="7.3216490862294803E-4"/>
  </r>
  <r>
    <n v="10196"/>
    <n v="2019"/>
    <s v="julho"/>
    <d v="2019-07-15T00:00:00"/>
    <x v="2"/>
    <x v="3"/>
    <s v="Product C"/>
    <n v="22"/>
    <n v="268"/>
    <n v="93800"/>
    <n v="26264.000000000004"/>
    <n v="29"/>
    <d v="2019-07-01T00:00:00"/>
    <n v="4.7249445083476102E-4"/>
  </r>
  <r>
    <n v="10197"/>
    <n v="2019"/>
    <s v="julho"/>
    <d v="2019-07-16T00:00:00"/>
    <x v="0"/>
    <x v="0"/>
    <s v="Product A"/>
    <n v="4"/>
    <n v="295"/>
    <n v="147500"/>
    <n v="38350"/>
    <n v="29"/>
    <d v="2019-07-01T00:00:00"/>
    <n v="7.4299500531052501E-4"/>
  </r>
  <r>
    <n v="10198"/>
    <n v="2019"/>
    <s v="julho"/>
    <d v="2019-07-17T00:00:00"/>
    <x v="0"/>
    <x v="1"/>
    <s v="Product C"/>
    <n v="1"/>
    <n v="70"/>
    <n v="24500"/>
    <n v="5390"/>
    <n v="29"/>
    <d v="2019-07-01T00:00:00"/>
    <n v="1.2341272969564699E-4"/>
  </r>
  <r>
    <n v="10199"/>
    <n v="2019"/>
    <s v="julho"/>
    <d v="2019-07-18T00:00:00"/>
    <x v="2"/>
    <x v="2"/>
    <s v="Product C"/>
    <n v="9"/>
    <n v="110"/>
    <n v="38500"/>
    <n v="7315"/>
    <n v="29"/>
    <d v="2019-07-01T00:00:00"/>
    <n v="1.9393428952173001E-4"/>
  </r>
  <r>
    <n v="10200"/>
    <n v="2019"/>
    <s v="julho"/>
    <d v="2019-07-19T00:00:00"/>
    <x v="1"/>
    <x v="4"/>
    <s v="Product D"/>
    <n v="24"/>
    <n v="299"/>
    <n v="254150"/>
    <n v="94035.5"/>
    <n v="29"/>
    <d v="2019-07-01T00:00:00"/>
    <n v="1.28021817355708E-3"/>
  </r>
  <r>
    <n v="10201"/>
    <n v="2019"/>
    <s v="julho"/>
    <d v="2019-07-20T00:00:00"/>
    <x v="2"/>
    <x v="2"/>
    <s v="Product B"/>
    <n v="21"/>
    <n v="343"/>
    <n v="85750"/>
    <n v="24867.5"/>
    <n v="29"/>
    <d v="2019-07-01T00:00:00"/>
    <n v="4.3194455393476299E-4"/>
  </r>
  <r>
    <n v="10202"/>
    <n v="2019"/>
    <s v="julho"/>
    <d v="2019-07-21T00:00:00"/>
    <x v="4"/>
    <x v="1"/>
    <s v="Product B"/>
    <n v="7"/>
    <n v="104"/>
    <n v="26000"/>
    <n v="7020.0000000000009"/>
    <n v="30"/>
    <d v="2019-07-01T00:00:00"/>
    <n v="1.3096861110558399E-4"/>
  </r>
  <r>
    <n v="10203"/>
    <n v="2019"/>
    <s v="julho"/>
    <d v="2019-07-22T00:00:00"/>
    <x v="4"/>
    <x v="2"/>
    <s v="Product B"/>
    <n v="6"/>
    <n v="293"/>
    <n v="73250"/>
    <n v="7325"/>
    <n v="30"/>
    <d v="2019-07-01T00:00:00"/>
    <n v="3.6897887551861703E-4"/>
  </r>
  <r>
    <n v="10204"/>
    <n v="2019"/>
    <s v="julho"/>
    <d v="2019-07-23T00:00:00"/>
    <x v="4"/>
    <x v="0"/>
    <s v="Product E"/>
    <n v="17"/>
    <n v="351"/>
    <n v="263250"/>
    <n v="97402.5"/>
    <n v="30"/>
    <d v="2019-07-01T00:00:00"/>
    <n v="1.32605718744404E-3"/>
  </r>
  <r>
    <n v="10205"/>
    <n v="2019"/>
    <s v="julho"/>
    <d v="2019-07-24T00:00:00"/>
    <x v="2"/>
    <x v="4"/>
    <s v="Product D"/>
    <n v="14"/>
    <n v="328"/>
    <n v="278800"/>
    <n v="55760"/>
    <n v="30"/>
    <d v="2019-07-01T00:00:00"/>
    <n v="1.4043864913937201E-3"/>
  </r>
  <r>
    <n v="10206"/>
    <n v="2019"/>
    <s v="julho"/>
    <d v="2019-07-25T00:00:00"/>
    <x v="1"/>
    <x v="0"/>
    <s v="Product B"/>
    <n v="32"/>
    <n v="378"/>
    <n v="94500"/>
    <n v="15120"/>
    <n v="30"/>
    <d v="2019-07-01T00:00:00"/>
    <n v="4.7602052882606498E-4"/>
  </r>
  <r>
    <n v="10207"/>
    <n v="2019"/>
    <s v="julho"/>
    <d v="2019-07-26T00:00:00"/>
    <x v="2"/>
    <x v="2"/>
    <s v="Product B"/>
    <n v="5"/>
    <n v="95"/>
    <n v="23750"/>
    <n v="9737.5"/>
    <n v="30"/>
    <d v="2019-07-01T00:00:00"/>
    <n v="1.1963478899067799E-4"/>
  </r>
  <r>
    <n v="10208"/>
    <n v="2019"/>
    <s v="julho"/>
    <d v="2019-07-27T00:00:00"/>
    <x v="0"/>
    <x v="1"/>
    <s v="Product E"/>
    <n v="2"/>
    <n v="47"/>
    <n v="35250"/>
    <n v="4582.5"/>
    <n v="30"/>
    <d v="2019-07-01T00:00:00"/>
    <n v="1.77563213133532E-4"/>
  </r>
  <r>
    <n v="10209"/>
    <n v="2019"/>
    <s v="julho"/>
    <d v="2019-07-28T00:00:00"/>
    <x v="2"/>
    <x v="3"/>
    <s v="Product C"/>
    <n v="21"/>
    <n v="243"/>
    <n v="85050"/>
    <n v="16159.5"/>
    <n v="31"/>
    <d v="2019-07-01T00:00:00"/>
    <n v="4.2841847594345898E-4"/>
  </r>
  <r>
    <n v="10210"/>
    <n v="2019"/>
    <s v="julho"/>
    <d v="2019-07-29T00:00:00"/>
    <x v="0"/>
    <x v="0"/>
    <s v="Product E"/>
    <n v="17"/>
    <n v="455"/>
    <n v="341250"/>
    <n v="129675"/>
    <n v="31"/>
    <d v="2019-07-01T00:00:00"/>
    <n v="1.71896302076079E-3"/>
  </r>
  <r>
    <n v="10211"/>
    <n v="2019"/>
    <s v="julho"/>
    <d v="2019-07-30T00:00:00"/>
    <x v="3"/>
    <x v="0"/>
    <s v="Product E"/>
    <n v="3"/>
    <n v="50"/>
    <n v="37500"/>
    <n v="4875"/>
    <n v="31"/>
    <d v="2019-07-01T00:00:00"/>
    <n v="1.8889703524843901E-4"/>
  </r>
  <r>
    <n v="10212"/>
    <n v="2019"/>
    <s v="julho"/>
    <d v="2019-07-31T00:00:00"/>
    <x v="2"/>
    <x v="3"/>
    <s v="Product A"/>
    <n v="9"/>
    <n v="310"/>
    <n v="155000"/>
    <n v="66650"/>
    <n v="31"/>
    <d v="2019-07-01T00:00:00"/>
    <n v="7.8077441236021295E-4"/>
  </r>
  <r>
    <n v="10213"/>
    <n v="2019"/>
    <s v="agosto"/>
    <d v="2019-08-01T00:00:00"/>
    <x v="2"/>
    <x v="3"/>
    <s v="Product C"/>
    <n v="16"/>
    <n v="171"/>
    <n v="59850"/>
    <n v="11970"/>
    <n v="31"/>
    <d v="2019-07-01T00:00:00"/>
    <n v="3.0147966825650802E-4"/>
  </r>
  <r>
    <n v="10214"/>
    <n v="2019"/>
    <s v="agosto"/>
    <d v="2019-08-02T00:00:00"/>
    <x v="1"/>
    <x v="3"/>
    <s v="Product C"/>
    <n v="11"/>
    <n v="234"/>
    <n v="81900"/>
    <n v="30303"/>
    <n v="31"/>
    <d v="2019-07-01T00:00:00"/>
    <n v="4.1255112498259002E-4"/>
  </r>
  <r>
    <n v="10215"/>
    <n v="2019"/>
    <s v="agosto"/>
    <d v="2019-08-03T00:00:00"/>
    <x v="1"/>
    <x v="2"/>
    <s v="Product D"/>
    <n v="15"/>
    <n v="259"/>
    <n v="220150"/>
    <n v="59440.500000000007"/>
    <n v="31"/>
    <d v="2019-07-01T00:00:00"/>
    <n v="1.1089515282651701E-3"/>
  </r>
  <r>
    <n v="10216"/>
    <n v="2019"/>
    <s v="agosto"/>
    <d v="2019-08-04T00:00:00"/>
    <x v="2"/>
    <x v="1"/>
    <s v="Product D"/>
    <n v="11"/>
    <n v="340"/>
    <n v="289000"/>
    <n v="92480"/>
    <n v="32"/>
    <d v="2019-07-01T00:00:00"/>
    <n v="1.4557664849813E-3"/>
  </r>
  <r>
    <n v="10217"/>
    <n v="2019"/>
    <s v="agosto"/>
    <d v="2019-08-05T00:00:00"/>
    <x v="0"/>
    <x v="1"/>
    <s v="Product A"/>
    <n v="13"/>
    <n v="460"/>
    <n v="230000"/>
    <n v="89700"/>
    <n v="32"/>
    <d v="2019-07-01T00:00:00"/>
    <n v="1.15856848285709E-3"/>
  </r>
  <r>
    <n v="10218"/>
    <n v="2019"/>
    <s v="agosto"/>
    <d v="2019-08-06T00:00:00"/>
    <x v="1"/>
    <x v="4"/>
    <s v="Product C"/>
    <n v="37"/>
    <n v="422"/>
    <n v="147700"/>
    <n v="31017"/>
    <n v="32"/>
    <d v="2019-07-01T00:00:00"/>
    <n v="7.4400245616518398E-4"/>
  </r>
  <r>
    <n v="10219"/>
    <n v="2019"/>
    <s v="agosto"/>
    <d v="2019-08-07T00:00:00"/>
    <x v="4"/>
    <x v="2"/>
    <s v="Product A"/>
    <n v="20"/>
    <n v="332"/>
    <n v="166000"/>
    <n v="28220.000000000004"/>
    <n v="32"/>
    <d v="2019-07-01T00:00:00"/>
    <n v="8.36184209366422E-4"/>
  </r>
  <r>
    <n v="10220"/>
    <n v="2019"/>
    <s v="agosto"/>
    <d v="2019-08-08T00:00:00"/>
    <x v="3"/>
    <x v="3"/>
    <s v="Product E"/>
    <n v="21"/>
    <n v="327"/>
    <n v="245250"/>
    <n v="110362.5"/>
    <n v="32"/>
    <d v="2019-07-01T00:00:00"/>
    <n v="1.23538661052479E-3"/>
  </r>
  <r>
    <n v="10221"/>
    <n v="2019"/>
    <s v="agosto"/>
    <d v="2019-08-09T00:00:00"/>
    <x v="1"/>
    <x v="2"/>
    <s v="Product D"/>
    <n v="23"/>
    <n v="452"/>
    <n v="384200"/>
    <n v="161364"/>
    <n v="32"/>
    <d v="2019-07-01T00:00:00"/>
    <n v="1.9353130917986699E-3"/>
  </r>
  <r>
    <n v="10222"/>
    <n v="2019"/>
    <s v="agosto"/>
    <d v="2019-08-10T00:00:00"/>
    <x v="4"/>
    <x v="2"/>
    <s v="Product C"/>
    <n v="5"/>
    <n v="154"/>
    <n v="53900"/>
    <n v="19404"/>
    <n v="32"/>
    <d v="2019-07-01T00:00:00"/>
    <n v="2.7150800533042198E-4"/>
  </r>
  <r>
    <n v="10223"/>
    <n v="2019"/>
    <s v="agosto"/>
    <d v="2019-08-11T00:00:00"/>
    <x v="3"/>
    <x v="0"/>
    <s v="Product B"/>
    <n v="8"/>
    <n v="171"/>
    <n v="42750"/>
    <n v="10260"/>
    <n v="33"/>
    <d v="2019-07-01T00:00:00"/>
    <n v="2.1534262018322E-4"/>
  </r>
  <r>
    <n v="10224"/>
    <n v="2019"/>
    <s v="agosto"/>
    <d v="2019-08-12T00:00:00"/>
    <x v="3"/>
    <x v="1"/>
    <s v="Product A"/>
    <n v="12"/>
    <n v="377"/>
    <n v="188500"/>
    <n v="32045.000000000004"/>
    <n v="33"/>
    <d v="2019-07-01T00:00:00"/>
    <n v="9.4952243051548498E-4"/>
  </r>
  <r>
    <n v="10225"/>
    <n v="2019"/>
    <s v="agosto"/>
    <d v="2019-08-13T00:00:00"/>
    <x v="0"/>
    <x v="2"/>
    <s v="Product B"/>
    <n v="5"/>
    <n v="231"/>
    <n v="57750"/>
    <n v="13282.5"/>
    <n v="33"/>
    <d v="2019-07-01T00:00:00"/>
    <n v="2.9090143428259598E-4"/>
  </r>
  <r>
    <n v="10226"/>
    <n v="2019"/>
    <s v="agosto"/>
    <d v="2019-08-14T00:00:00"/>
    <x v="4"/>
    <x v="3"/>
    <s v="Product E"/>
    <n v="2"/>
    <n v="173"/>
    <n v="129750"/>
    <n v="46710"/>
    <n v="33"/>
    <d v="2019-07-01T00:00:00"/>
    <n v="6.5358374195959804E-4"/>
  </r>
  <r>
    <n v="10227"/>
    <n v="2019"/>
    <s v="agosto"/>
    <d v="2019-08-15T00:00:00"/>
    <x v="0"/>
    <x v="3"/>
    <s v="Product D"/>
    <n v="8"/>
    <n v="260"/>
    <n v="221000"/>
    <n v="33150"/>
    <n v="33"/>
    <d v="2019-07-01T00:00:00"/>
    <n v="1.1132331943974601E-3"/>
  </r>
  <r>
    <n v="10228"/>
    <n v="2019"/>
    <s v="agosto"/>
    <d v="2019-08-16T00:00:00"/>
    <x v="4"/>
    <x v="3"/>
    <s v="Product A"/>
    <n v="35"/>
    <n v="432"/>
    <n v="216000"/>
    <n v="54000"/>
    <n v="33"/>
    <d v="2019-07-01T00:00:00"/>
    <n v="1.08804692303101E-3"/>
  </r>
  <r>
    <n v="10229"/>
    <n v="2019"/>
    <s v="agosto"/>
    <d v="2019-08-17T00:00:00"/>
    <x v="2"/>
    <x v="3"/>
    <s v="Product D"/>
    <n v="12"/>
    <n v="299"/>
    <n v="254150"/>
    <n v="63537.5"/>
    <n v="33"/>
    <d v="2019-07-01T00:00:00"/>
    <n v="1.28021817355708E-3"/>
  </r>
  <r>
    <n v="10230"/>
    <n v="2019"/>
    <s v="agosto"/>
    <d v="2019-08-18T00:00:00"/>
    <x v="3"/>
    <x v="3"/>
    <s v="Product B"/>
    <n v="11"/>
    <n v="110"/>
    <n v="27500"/>
    <n v="3850.0000000000005"/>
    <n v="34"/>
    <d v="2019-07-01T00:00:00"/>
    <n v="1.38524492515522E-4"/>
  </r>
  <r>
    <n v="10231"/>
    <n v="2019"/>
    <s v="agosto"/>
    <d v="2019-08-19T00:00:00"/>
    <x v="2"/>
    <x v="3"/>
    <s v="Product A"/>
    <n v="3"/>
    <n v="101"/>
    <n v="50500"/>
    <n v="8585"/>
    <n v="34"/>
    <d v="2019-07-01T00:00:00"/>
    <n v="2.5438134080123102E-4"/>
  </r>
  <r>
    <n v="10232"/>
    <n v="2019"/>
    <s v="agosto"/>
    <d v="2019-08-20T00:00:00"/>
    <x v="0"/>
    <x v="1"/>
    <s v="Product A"/>
    <n v="17"/>
    <n v="450"/>
    <n v="225000"/>
    <n v="49500"/>
    <n v="34"/>
    <d v="2019-07-01T00:00:00"/>
    <n v="1.13338221149063E-3"/>
  </r>
  <r>
    <n v="10233"/>
    <n v="2019"/>
    <s v="agosto"/>
    <d v="2019-08-21T00:00:00"/>
    <x v="0"/>
    <x v="2"/>
    <s v="Product D"/>
    <n v="6"/>
    <n v="345"/>
    <n v="293250"/>
    <n v="73312.5"/>
    <n v="34"/>
    <d v="2019-07-01T00:00:00"/>
    <n v="1.47717481564279E-3"/>
  </r>
  <r>
    <n v="10234"/>
    <n v="2019"/>
    <s v="agosto"/>
    <d v="2019-08-22T00:00:00"/>
    <x v="1"/>
    <x v="0"/>
    <s v="Product A"/>
    <n v="7"/>
    <n v="88"/>
    <n v="44000"/>
    <n v="13200"/>
    <n v="34"/>
    <d v="2019-07-01T00:00:00"/>
    <n v="2.21639188024835E-4"/>
  </r>
  <r>
    <n v="10235"/>
    <n v="2019"/>
    <s v="agosto"/>
    <d v="2019-08-23T00:00:00"/>
    <x v="3"/>
    <x v="2"/>
    <s v="Product C"/>
    <n v="17"/>
    <n v="472"/>
    <n v="165200"/>
    <n v="64428"/>
    <n v="34"/>
    <d v="2019-07-01T00:00:00"/>
    <n v="8.3215440594778796E-4"/>
  </r>
  <r>
    <n v="10236"/>
    <n v="2019"/>
    <s v="agosto"/>
    <d v="2019-08-24T00:00:00"/>
    <x v="3"/>
    <x v="0"/>
    <s v="Product B"/>
    <n v="4"/>
    <n v="130"/>
    <n v="32500"/>
    <n v="11050"/>
    <n v="34"/>
    <d v="2019-07-01T00:00:00"/>
    <n v="1.6371076388198001E-4"/>
  </r>
  <r>
    <n v="10237"/>
    <n v="2019"/>
    <s v="agosto"/>
    <d v="2019-08-25T00:00:00"/>
    <x v="4"/>
    <x v="0"/>
    <s v="Product C"/>
    <n v="22"/>
    <n v="425"/>
    <n v="148750"/>
    <n v="49087.5"/>
    <n v="35"/>
    <d v="2019-07-01T00:00:00"/>
    <n v="7.4929157315214003E-4"/>
  </r>
  <r>
    <n v="10238"/>
    <n v="2019"/>
    <s v="agosto"/>
    <d v="2019-08-26T00:00:00"/>
    <x v="2"/>
    <x v="0"/>
    <s v="Product A"/>
    <n v="3"/>
    <n v="207"/>
    <n v="103500"/>
    <n v="30014.999999999996"/>
    <n v="35"/>
    <d v="2019-07-01T00:00:00"/>
    <n v="5.2135581728569099E-4"/>
  </r>
  <r>
    <n v="10239"/>
    <n v="2019"/>
    <s v="agosto"/>
    <d v="2019-08-27T00:00:00"/>
    <x v="4"/>
    <x v="1"/>
    <s v="Product E"/>
    <n v="23"/>
    <n v="368"/>
    <n v="276000"/>
    <n v="30360"/>
    <n v="35"/>
    <d v="2019-07-01T00:00:00"/>
    <n v="1.3902821794285101E-3"/>
  </r>
  <r>
    <n v="10240"/>
    <n v="2019"/>
    <s v="agosto"/>
    <d v="2019-08-28T00:00:00"/>
    <x v="1"/>
    <x v="3"/>
    <s v="Product E"/>
    <n v="7"/>
    <n v="360"/>
    <n v="270000"/>
    <n v="78300"/>
    <n v="35"/>
    <d v="2019-07-01T00:00:00"/>
    <n v="1.36005865378876E-3"/>
  </r>
  <r>
    <n v="10241"/>
    <n v="2019"/>
    <s v="agosto"/>
    <d v="2019-08-29T00:00:00"/>
    <x v="3"/>
    <x v="0"/>
    <s v="Product B"/>
    <n v="29"/>
    <n v="498"/>
    <n v="124500"/>
    <n v="33615"/>
    <n v="35"/>
    <d v="2019-07-01T00:00:00"/>
    <n v="6.2713815702481596E-4"/>
  </r>
  <r>
    <n v="10242"/>
    <n v="2019"/>
    <s v="agosto"/>
    <d v="2019-08-30T00:00:00"/>
    <x v="3"/>
    <x v="2"/>
    <s v="Product D"/>
    <n v="7"/>
    <n v="111"/>
    <n v="94350"/>
    <n v="23587.5"/>
    <n v="35"/>
    <d v="2019-07-01T00:00:00"/>
    <n v="4.7526494068507197E-4"/>
  </r>
  <r>
    <n v="10243"/>
    <n v="2019"/>
    <s v="agosto"/>
    <d v="2019-08-31T00:00:00"/>
    <x v="4"/>
    <x v="3"/>
    <s v="Product E"/>
    <n v="8"/>
    <n v="446"/>
    <n v="334500"/>
    <n v="43485"/>
    <n v="35"/>
    <d v="2019-07-01T00:00:00"/>
    <n v="1.6849615544160699E-3"/>
  </r>
  <r>
    <n v="10244"/>
    <n v="2019"/>
    <s v="setembro"/>
    <d v="2019-09-01T00:00:00"/>
    <x v="0"/>
    <x v="3"/>
    <s v="Product D"/>
    <n v="13"/>
    <n v="142"/>
    <n v="120700"/>
    <n v="39831"/>
    <n v="36"/>
    <d v="2019-07-01T00:00:00"/>
    <n v="6.0799659078630797E-4"/>
  </r>
  <r>
    <n v="10245"/>
    <n v="2019"/>
    <s v="setembro"/>
    <d v="2019-09-02T00:00:00"/>
    <x v="2"/>
    <x v="0"/>
    <s v="Product E"/>
    <n v="10"/>
    <n v="100"/>
    <n v="75000"/>
    <n v="9750"/>
    <n v="36"/>
    <d v="2019-07-01T00:00:00"/>
    <n v="3.7779407049687698E-4"/>
  </r>
  <r>
    <n v="10246"/>
    <n v="2019"/>
    <s v="setembro"/>
    <d v="2019-09-03T00:00:00"/>
    <x v="3"/>
    <x v="4"/>
    <s v="Product D"/>
    <n v="37"/>
    <n v="381"/>
    <n v="323850"/>
    <n v="45339.000000000007"/>
    <n v="36"/>
    <d v="2019-07-01T00:00:00"/>
    <n v="1.6313147964055199E-3"/>
  </r>
  <r>
    <n v="10247"/>
    <n v="2019"/>
    <s v="setembro"/>
    <d v="2019-09-04T00:00:00"/>
    <x v="3"/>
    <x v="2"/>
    <s v="Product A"/>
    <n v="8"/>
    <n v="192"/>
    <n v="96000"/>
    <n v="25920"/>
    <n v="36"/>
    <d v="2019-07-01T00:00:00"/>
    <n v="4.8357641023600298E-4"/>
  </r>
  <r>
    <n v="10248"/>
    <n v="2019"/>
    <s v="setembro"/>
    <d v="2019-09-05T00:00:00"/>
    <x v="0"/>
    <x v="1"/>
    <s v="Product D"/>
    <n v="18"/>
    <n v="182"/>
    <n v="154700"/>
    <n v="18564"/>
    <n v="36"/>
    <d v="2019-07-01T00:00:00"/>
    <n v="7.7926323607822596E-4"/>
  </r>
  <r>
    <n v="10249"/>
    <n v="2019"/>
    <s v="setembro"/>
    <d v="2019-09-06T00:00:00"/>
    <x v="1"/>
    <x v="0"/>
    <s v="Product C"/>
    <n v="9"/>
    <n v="374"/>
    <n v="130900"/>
    <n v="28798"/>
    <n v="36"/>
    <d v="2019-07-01T00:00:00"/>
    <n v="6.5937658437388298E-4"/>
  </r>
  <r>
    <n v="10250"/>
    <n v="2019"/>
    <s v="setembro"/>
    <d v="2019-09-07T00:00:00"/>
    <x v="3"/>
    <x v="2"/>
    <s v="Product D"/>
    <n v="1"/>
    <n v="12"/>
    <n v="10200"/>
    <n v="3978"/>
    <n v="36"/>
    <d v="2019-07-01T00:00:00"/>
    <n v="5.1379993587575297E-5"/>
  </r>
  <r>
    <n v="10251"/>
    <n v="2019"/>
    <s v="setembro"/>
    <d v="2019-09-08T00:00:00"/>
    <x v="0"/>
    <x v="1"/>
    <s v="Product D"/>
    <n v="15"/>
    <n v="314"/>
    <n v="266900"/>
    <n v="106760"/>
    <n v="37"/>
    <d v="2019-07-01T00:00:00"/>
    <n v="1.3444431655415499E-3"/>
  </r>
  <r>
    <n v="10252"/>
    <n v="2019"/>
    <s v="setembro"/>
    <d v="2019-09-09T00:00:00"/>
    <x v="4"/>
    <x v="4"/>
    <s v="Product B"/>
    <n v="15"/>
    <n v="278"/>
    <n v="69500"/>
    <n v="13205"/>
    <n v="37"/>
    <d v="2019-07-01T00:00:00"/>
    <n v="3.50089171993773E-4"/>
  </r>
  <r>
    <n v="10253"/>
    <n v="2019"/>
    <s v="setembro"/>
    <d v="2019-09-10T00:00:00"/>
    <x v="4"/>
    <x v="1"/>
    <s v="Product E"/>
    <n v="22"/>
    <n v="489"/>
    <n v="366750"/>
    <n v="84352.5"/>
    <n v="37"/>
    <d v="2019-07-01T00:00:00"/>
    <n v="1.8474130047297301E-3"/>
  </r>
  <r>
    <n v="10254"/>
    <n v="2019"/>
    <s v="setembro"/>
    <d v="2019-09-11T00:00:00"/>
    <x v="0"/>
    <x v="3"/>
    <s v="Product B"/>
    <n v="4"/>
    <n v="168"/>
    <n v="42000"/>
    <n v="8400"/>
    <n v="37"/>
    <d v="2019-07-01T00:00:00"/>
    <n v="2.11564679478251E-4"/>
  </r>
  <r>
    <n v="10255"/>
    <n v="2019"/>
    <s v="setembro"/>
    <d v="2019-09-12T00:00:00"/>
    <x v="4"/>
    <x v="2"/>
    <s v="Product C"/>
    <n v="24"/>
    <n v="244"/>
    <n v="85400"/>
    <n v="11956.000000000002"/>
    <n v="37"/>
    <d v="2019-07-01T00:00:00"/>
    <n v="4.3018151493911101E-4"/>
  </r>
  <r>
    <n v="10256"/>
    <n v="2019"/>
    <s v="setembro"/>
    <d v="2019-09-13T00:00:00"/>
    <x v="2"/>
    <x v="0"/>
    <s v="Product D"/>
    <n v="5"/>
    <n v="108"/>
    <n v="91800"/>
    <n v="37638"/>
    <n v="37"/>
    <d v="2019-07-01T00:00:00"/>
    <n v="4.6241994228817798E-4"/>
  </r>
  <r>
    <n v="10257"/>
    <n v="2019"/>
    <s v="setembro"/>
    <d v="2019-09-14T00:00:00"/>
    <x v="4"/>
    <x v="3"/>
    <s v="Product C"/>
    <n v="5"/>
    <n v="447"/>
    <n v="156450"/>
    <n v="54757.5"/>
    <n v="37"/>
    <d v="2019-07-01T00:00:00"/>
    <n v="7.8807843105648597E-4"/>
  </r>
  <r>
    <n v="10258"/>
    <n v="2019"/>
    <s v="setembro"/>
    <d v="2019-09-15T00:00:00"/>
    <x v="2"/>
    <x v="0"/>
    <s v="Product B"/>
    <n v="2"/>
    <n v="24"/>
    <n v="6000"/>
    <n v="1380"/>
    <n v="38"/>
    <d v="2019-07-01T00:00:00"/>
    <n v="3.02235256397502E-5"/>
  </r>
  <r>
    <n v="10259"/>
    <n v="2019"/>
    <s v="setembro"/>
    <d v="2019-09-16T00:00:00"/>
    <x v="4"/>
    <x v="2"/>
    <s v="Product C"/>
    <n v="9"/>
    <n v="245"/>
    <n v="85750"/>
    <n v="18007.5"/>
    <n v="38"/>
    <d v="2019-07-01T00:00:00"/>
    <n v="4.3194455393476299E-4"/>
  </r>
  <r>
    <n v="10260"/>
    <n v="2019"/>
    <s v="setembro"/>
    <d v="2019-09-17T00:00:00"/>
    <x v="1"/>
    <x v="0"/>
    <s v="Product D"/>
    <n v="5"/>
    <n v="243"/>
    <n v="206550"/>
    <n v="30982.5"/>
    <n v="38"/>
    <d v="2019-07-01T00:00:00"/>
    <n v="1.0404448701483999E-3"/>
  </r>
  <r>
    <n v="10261"/>
    <n v="2019"/>
    <s v="setembro"/>
    <d v="2019-09-18T00:00:00"/>
    <x v="4"/>
    <x v="3"/>
    <s v="Product E"/>
    <n v="8"/>
    <n v="174"/>
    <n v="130500"/>
    <n v="26100"/>
    <n v="38"/>
    <d v="2019-07-01T00:00:00"/>
    <n v="6.5736168266456601E-4"/>
  </r>
  <r>
    <n v="10262"/>
    <n v="2019"/>
    <s v="setembro"/>
    <d v="2019-09-19T00:00:00"/>
    <x v="0"/>
    <x v="2"/>
    <s v="Product E"/>
    <n v="22"/>
    <n v="288"/>
    <n v="216000"/>
    <n v="51840"/>
    <n v="38"/>
    <d v="2019-07-01T00:00:00"/>
    <n v="1.08804692303101E-3"/>
  </r>
  <r>
    <n v="10263"/>
    <n v="2019"/>
    <s v="setembro"/>
    <d v="2019-09-20T00:00:00"/>
    <x v="2"/>
    <x v="3"/>
    <s v="Product B"/>
    <n v="8"/>
    <n v="111"/>
    <n v="27750"/>
    <n v="12487.5"/>
    <n v="38"/>
    <d v="2019-07-01T00:00:00"/>
    <n v="1.39783806083845E-4"/>
  </r>
  <r>
    <n v="10264"/>
    <n v="2019"/>
    <s v="setembro"/>
    <d v="2019-09-21T00:00:00"/>
    <x v="3"/>
    <x v="2"/>
    <s v="Product B"/>
    <n v="8"/>
    <n v="106"/>
    <n v="26500"/>
    <n v="4505"/>
    <n v="38"/>
    <d v="2019-07-01T00:00:00"/>
    <n v="1.3348723824223001E-4"/>
  </r>
  <r>
    <n v="10265"/>
    <n v="2019"/>
    <s v="setembro"/>
    <d v="2019-09-22T00:00:00"/>
    <x v="3"/>
    <x v="1"/>
    <s v="Product E"/>
    <n v="26"/>
    <n v="367"/>
    <n v="275250"/>
    <n v="46792.5"/>
    <n v="39"/>
    <d v="2019-07-01T00:00:00"/>
    <n v="1.3865042387235401E-3"/>
  </r>
  <r>
    <n v="10266"/>
    <n v="2019"/>
    <s v="setembro"/>
    <d v="2019-09-23T00:00:00"/>
    <x v="4"/>
    <x v="1"/>
    <s v="Product E"/>
    <n v="5"/>
    <n v="126"/>
    <n v="94500"/>
    <n v="22680"/>
    <n v="39"/>
    <d v="2019-07-01T00:00:00"/>
    <n v="4.7602052882606498E-4"/>
  </r>
  <r>
    <n v="10267"/>
    <n v="2019"/>
    <s v="setembro"/>
    <d v="2019-09-24T00:00:00"/>
    <x v="1"/>
    <x v="1"/>
    <s v="Product A"/>
    <n v="1"/>
    <n v="17"/>
    <n v="8500"/>
    <n v="3060"/>
    <n v="39"/>
    <d v="2019-07-01T00:00:00"/>
    <n v="4.2816661322979402E-5"/>
  </r>
  <r>
    <n v="10268"/>
    <n v="2019"/>
    <s v="setembro"/>
    <d v="2019-09-25T00:00:00"/>
    <x v="2"/>
    <x v="0"/>
    <s v="Product B"/>
    <n v="4"/>
    <n v="345"/>
    <n v="86250"/>
    <n v="27600"/>
    <n v="39"/>
    <d v="2019-07-01T00:00:00"/>
    <n v="4.3446318107140901E-4"/>
  </r>
  <r>
    <n v="10269"/>
    <n v="2019"/>
    <s v="setembro"/>
    <d v="2019-09-26T00:00:00"/>
    <x v="4"/>
    <x v="4"/>
    <s v="Product E"/>
    <n v="8"/>
    <n v="157"/>
    <n v="117750"/>
    <n v="52987.5"/>
    <n v="39"/>
    <d v="2019-07-01T00:00:00"/>
    <n v="5.9313669068009696E-4"/>
  </r>
  <r>
    <n v="10270"/>
    <n v="2019"/>
    <s v="setembro"/>
    <d v="2019-09-27T00:00:00"/>
    <x v="3"/>
    <x v="2"/>
    <s v="Product D"/>
    <n v="24"/>
    <n v="319"/>
    <n v="271150"/>
    <n v="65076"/>
    <n v="39"/>
    <d v="2019-07-01T00:00:00"/>
    <n v="1.36585149620304E-3"/>
  </r>
  <r>
    <n v="10271"/>
    <n v="2019"/>
    <s v="setembro"/>
    <d v="2019-09-28T00:00:00"/>
    <x v="4"/>
    <x v="2"/>
    <s v="Product B"/>
    <n v="7"/>
    <n v="96"/>
    <n v="24000"/>
    <n v="3600"/>
    <n v="39"/>
    <d v="2019-07-01T00:00:00"/>
    <n v="1.20894102559001E-4"/>
  </r>
  <r>
    <n v="10272"/>
    <n v="2019"/>
    <s v="setembro"/>
    <d v="2019-09-29T00:00:00"/>
    <x v="1"/>
    <x v="0"/>
    <s v="Product D"/>
    <n v="3"/>
    <n v="47"/>
    <n v="39950"/>
    <n v="14781.5"/>
    <n v="40"/>
    <d v="2019-07-01T00:00:00"/>
    <n v="2.01238308218003E-4"/>
  </r>
  <r>
    <n v="10273"/>
    <n v="2019"/>
    <s v="setembro"/>
    <d v="2019-09-30T00:00:00"/>
    <x v="3"/>
    <x v="3"/>
    <s v="Product D"/>
    <n v="9"/>
    <n v="438"/>
    <n v="372300"/>
    <n v="122859"/>
    <n v="40"/>
    <d v="2019-07-01T00:00:00"/>
    <n v="1.8753697659465E-3"/>
  </r>
  <r>
    <n v="10274"/>
    <n v="2019"/>
    <s v="outubro"/>
    <d v="2019-10-01T00:00:00"/>
    <x v="1"/>
    <x v="3"/>
    <s v="Product A"/>
    <n v="19"/>
    <n v="216"/>
    <n v="108000"/>
    <n v="43200"/>
    <n v="40"/>
    <d v="2019-10-01T00:00:00"/>
    <n v="5.4402346151550304E-4"/>
  </r>
  <r>
    <n v="10275"/>
    <n v="2019"/>
    <s v="outubro"/>
    <d v="2019-10-02T00:00:00"/>
    <x v="3"/>
    <x v="4"/>
    <s v="Product B"/>
    <n v="14"/>
    <n v="153"/>
    <n v="38250"/>
    <n v="5737.5"/>
    <n v="40"/>
    <d v="2019-10-01T00:00:00"/>
    <n v="1.92674975953407E-4"/>
  </r>
  <r>
    <n v="10276"/>
    <n v="2019"/>
    <s v="outubro"/>
    <d v="2019-10-03T00:00:00"/>
    <x v="3"/>
    <x v="2"/>
    <s v="Product D"/>
    <n v="32"/>
    <n v="330"/>
    <n v="280500"/>
    <n v="106590"/>
    <n v="40"/>
    <d v="2019-10-01T00:00:00"/>
    <n v="1.4129498236583201E-3"/>
  </r>
  <r>
    <n v="10277"/>
    <n v="2019"/>
    <s v="outubro"/>
    <d v="2019-10-04T00:00:00"/>
    <x v="0"/>
    <x v="2"/>
    <s v="Product D"/>
    <n v="38"/>
    <n v="385"/>
    <n v="327250"/>
    <n v="143990"/>
    <n v="40"/>
    <d v="2019-10-01T00:00:00"/>
    <n v="1.6484414609347099E-3"/>
  </r>
  <r>
    <n v="10278"/>
    <n v="2019"/>
    <s v="outubro"/>
    <d v="2019-10-05T00:00:00"/>
    <x v="3"/>
    <x v="0"/>
    <s v="Product A"/>
    <n v="7"/>
    <n v="184"/>
    <n v="92000"/>
    <n v="18400"/>
    <n v="40"/>
    <d v="2019-10-01T00:00:00"/>
    <n v="4.6342739314283597E-4"/>
  </r>
  <r>
    <n v="10279"/>
    <n v="2019"/>
    <s v="outubro"/>
    <d v="2019-10-06T00:00:00"/>
    <x v="4"/>
    <x v="1"/>
    <s v="Product D"/>
    <n v="1"/>
    <n v="28"/>
    <n v="23800"/>
    <n v="5236"/>
    <n v="41"/>
    <d v="2019-10-01T00:00:00"/>
    <n v="1.1988665170434201E-4"/>
  </r>
  <r>
    <n v="10280"/>
    <n v="2019"/>
    <s v="outubro"/>
    <d v="2019-10-07T00:00:00"/>
    <x v="1"/>
    <x v="1"/>
    <s v="Product E"/>
    <n v="2"/>
    <n v="80"/>
    <n v="60000"/>
    <n v="6000"/>
    <n v="41"/>
    <d v="2019-10-01T00:00:00"/>
    <n v="3.0223525639750201E-4"/>
  </r>
  <r>
    <n v="10281"/>
    <n v="2019"/>
    <s v="outubro"/>
    <d v="2019-10-08T00:00:00"/>
    <x v="4"/>
    <x v="0"/>
    <s v="Product B"/>
    <n v="20"/>
    <n v="286"/>
    <n v="71500"/>
    <n v="20020.000000000004"/>
    <n v="41"/>
    <d v="2019-10-01T00:00:00"/>
    <n v="3.6016368054035599E-4"/>
  </r>
  <r>
    <n v="10282"/>
    <n v="2019"/>
    <s v="outubro"/>
    <d v="2019-10-09T00:00:00"/>
    <x v="2"/>
    <x v="4"/>
    <s v="Product C"/>
    <n v="5"/>
    <n v="160"/>
    <n v="56000"/>
    <n v="6720"/>
    <n v="41"/>
    <d v="2019-10-01T00:00:00"/>
    <n v="2.82086239304335E-4"/>
  </r>
  <r>
    <n v="10283"/>
    <n v="2019"/>
    <s v="outubro"/>
    <d v="2019-10-10T00:00:00"/>
    <x v="2"/>
    <x v="3"/>
    <s v="Product E"/>
    <n v="28"/>
    <n v="284"/>
    <n v="213000"/>
    <n v="36210"/>
    <n v="41"/>
    <d v="2019-10-01T00:00:00"/>
    <n v="1.0729351602111301E-3"/>
  </r>
  <r>
    <n v="10284"/>
    <n v="2019"/>
    <s v="outubro"/>
    <d v="2019-10-11T00:00:00"/>
    <x v="4"/>
    <x v="3"/>
    <s v="Product A"/>
    <n v="33"/>
    <n v="447"/>
    <n v="223500"/>
    <n v="31290.000000000004"/>
    <n v="41"/>
    <d v="2019-10-01T00:00:00"/>
    <n v="1.1258263300806899E-3"/>
  </r>
  <r>
    <n v="10285"/>
    <n v="2019"/>
    <s v="outubro"/>
    <d v="2019-10-12T00:00:00"/>
    <x v="4"/>
    <x v="4"/>
    <s v="Product B"/>
    <n v="12"/>
    <n v="144"/>
    <n v="36000"/>
    <n v="6840"/>
    <n v="41"/>
    <d v="2019-10-01T00:00:00"/>
    <n v="1.81341153838501E-4"/>
  </r>
  <r>
    <n v="10286"/>
    <n v="2019"/>
    <s v="outubro"/>
    <d v="2019-10-13T00:00:00"/>
    <x v="0"/>
    <x v="0"/>
    <s v="Product C"/>
    <n v="6"/>
    <n v="237"/>
    <n v="82950"/>
    <n v="36498"/>
    <n v="42"/>
    <d v="2019-10-01T00:00:00"/>
    <n v="4.1784024196954601E-4"/>
  </r>
  <r>
    <n v="10287"/>
    <n v="2019"/>
    <s v="outubro"/>
    <d v="2019-10-14T00:00:00"/>
    <x v="1"/>
    <x v="4"/>
    <s v="Product A"/>
    <n v="7"/>
    <n v="146"/>
    <n v="73000"/>
    <n v="29930"/>
    <n v="42"/>
    <d v="2019-10-01T00:00:00"/>
    <n v="3.6771956195029399E-4"/>
  </r>
  <r>
    <n v="10288"/>
    <n v="2019"/>
    <s v="outubro"/>
    <d v="2019-10-15T00:00:00"/>
    <x v="4"/>
    <x v="0"/>
    <s v="Product B"/>
    <n v="6"/>
    <n v="366"/>
    <n v="91500"/>
    <n v="9150"/>
    <n v="42"/>
    <d v="2019-10-01T00:00:00"/>
    <n v="4.6090876600619001E-4"/>
  </r>
  <r>
    <n v="10289"/>
    <n v="2019"/>
    <s v="outubro"/>
    <d v="2019-10-16T00:00:00"/>
    <x v="0"/>
    <x v="2"/>
    <s v="Product D"/>
    <n v="23"/>
    <n v="443"/>
    <n v="376550"/>
    <n v="105434.00000000001"/>
    <n v="42"/>
    <d v="2019-10-01T00:00:00"/>
    <n v="1.8967780966079901E-3"/>
  </r>
  <r>
    <n v="10290"/>
    <n v="2019"/>
    <s v="outubro"/>
    <d v="2019-10-17T00:00:00"/>
    <x v="0"/>
    <x v="3"/>
    <s v="Product B"/>
    <n v="13"/>
    <n v="371"/>
    <n v="92750"/>
    <n v="22260"/>
    <n v="42"/>
    <d v="2019-10-01T00:00:00"/>
    <n v="4.6720533384780497E-4"/>
  </r>
  <r>
    <n v="10291"/>
    <n v="2019"/>
    <s v="outubro"/>
    <d v="2019-10-18T00:00:00"/>
    <x v="0"/>
    <x v="2"/>
    <s v="Product B"/>
    <n v="21"/>
    <n v="313"/>
    <n v="78250"/>
    <n v="28170"/>
    <n v="42"/>
    <d v="2019-10-01T00:00:00"/>
    <n v="3.9416514688507499E-4"/>
  </r>
  <r>
    <n v="10292"/>
    <n v="2019"/>
    <s v="outubro"/>
    <d v="2019-10-19T00:00:00"/>
    <x v="4"/>
    <x v="2"/>
    <s v="Product A"/>
    <n v="21"/>
    <n v="370"/>
    <n v="185000"/>
    <n v="42550"/>
    <n v="42"/>
    <d v="2019-10-01T00:00:00"/>
    <n v="9.3189204055896398E-4"/>
  </r>
  <r>
    <n v="10293"/>
    <n v="2019"/>
    <s v="outubro"/>
    <d v="2019-10-20T00:00:00"/>
    <x v="2"/>
    <x v="2"/>
    <s v="Product D"/>
    <n v="13"/>
    <n v="141"/>
    <n v="119850"/>
    <n v="22771.5"/>
    <n v="43"/>
    <d v="2019-10-01T00:00:00"/>
    <n v="6.0371492465401003E-4"/>
  </r>
  <r>
    <n v="10294"/>
    <n v="2019"/>
    <s v="outubro"/>
    <d v="2019-10-21T00:00:00"/>
    <x v="1"/>
    <x v="0"/>
    <s v="Product B"/>
    <n v="5"/>
    <n v="229"/>
    <n v="57250"/>
    <n v="9732.5"/>
    <n v="43"/>
    <d v="2019-10-01T00:00:00"/>
    <n v="2.8838280714595002E-4"/>
  </r>
  <r>
    <n v="10295"/>
    <n v="2019"/>
    <s v="outubro"/>
    <d v="2019-10-22T00:00:00"/>
    <x v="3"/>
    <x v="1"/>
    <s v="Product D"/>
    <n v="10"/>
    <n v="294"/>
    <n v="249900"/>
    <n v="34986"/>
    <n v="43"/>
    <d v="2019-10-01T00:00:00"/>
    <n v="1.2588098428955999E-3"/>
  </r>
  <r>
    <n v="10296"/>
    <n v="2019"/>
    <s v="outubro"/>
    <d v="2019-10-23T00:00:00"/>
    <x v="0"/>
    <x v="0"/>
    <s v="Product A"/>
    <n v="9"/>
    <n v="302"/>
    <n v="151000"/>
    <n v="33220"/>
    <n v="43"/>
    <d v="2019-10-01T00:00:00"/>
    <n v="7.60625395267046E-4"/>
  </r>
  <r>
    <n v="10297"/>
    <n v="2019"/>
    <s v="outubro"/>
    <d v="2019-10-24T00:00:00"/>
    <x v="4"/>
    <x v="4"/>
    <s v="Product C"/>
    <n v="28"/>
    <n v="358"/>
    <n v="125300"/>
    <n v="56385"/>
    <n v="43"/>
    <d v="2019-10-01T00:00:00"/>
    <n v="6.3116796044345E-4"/>
  </r>
  <r>
    <n v="10298"/>
    <n v="2019"/>
    <s v="outubro"/>
    <d v="2019-10-25T00:00:00"/>
    <x v="2"/>
    <x v="1"/>
    <s v="Product A"/>
    <n v="1"/>
    <n v="12"/>
    <n v="6000"/>
    <n v="2520"/>
    <n v="43"/>
    <d v="2019-10-01T00:00:00"/>
    <n v="3.02235256397502E-5"/>
  </r>
  <r>
    <n v="10299"/>
    <n v="2019"/>
    <s v="outubro"/>
    <d v="2019-10-26T00:00:00"/>
    <x v="1"/>
    <x v="1"/>
    <s v="Product C"/>
    <n v="14"/>
    <n v="257"/>
    <n v="89950"/>
    <n v="26985"/>
    <n v="43"/>
    <d v="2019-10-01T00:00:00"/>
    <n v="4.53101021882588E-4"/>
  </r>
  <r>
    <n v="10300"/>
    <n v="2019"/>
    <s v="outubro"/>
    <d v="2019-10-27T00:00:00"/>
    <x v="1"/>
    <x v="3"/>
    <s v="Product A"/>
    <n v="29"/>
    <n v="341"/>
    <n v="170500"/>
    <n v="57970.000000000007"/>
    <n v="44"/>
    <d v="2019-10-01T00:00:00"/>
    <n v="8.5885185359623395E-4"/>
  </r>
  <r>
    <n v="10301"/>
    <n v="2019"/>
    <s v="outubro"/>
    <d v="2019-10-28T00:00:00"/>
    <x v="4"/>
    <x v="0"/>
    <s v="Product C"/>
    <n v="8"/>
    <n v="180"/>
    <n v="63000"/>
    <n v="25200"/>
    <n v="44"/>
    <d v="2019-10-01T00:00:00"/>
    <n v="3.1734701921737698E-4"/>
  </r>
  <r>
    <n v="10302"/>
    <n v="2019"/>
    <s v="outubro"/>
    <d v="2019-10-29T00:00:00"/>
    <x v="2"/>
    <x v="0"/>
    <s v="Product B"/>
    <n v="18"/>
    <n v="205"/>
    <n v="51250"/>
    <n v="22550"/>
    <n v="44"/>
    <d v="2019-10-01T00:00:00"/>
    <n v="2.5815928150619899E-4"/>
  </r>
  <r>
    <n v="10303"/>
    <n v="2019"/>
    <s v="outubro"/>
    <d v="2019-10-30T00:00:00"/>
    <x v="4"/>
    <x v="1"/>
    <s v="Product B"/>
    <n v="14"/>
    <n v="490"/>
    <n v="122500"/>
    <n v="40425"/>
    <n v="44"/>
    <d v="2019-10-01T00:00:00"/>
    <n v="6.1706364847823297E-4"/>
  </r>
  <r>
    <n v="10304"/>
    <n v="2019"/>
    <s v="outubro"/>
    <d v="2019-10-31T00:00:00"/>
    <x v="2"/>
    <x v="3"/>
    <s v="Product D"/>
    <n v="23"/>
    <n v="448"/>
    <n v="380800"/>
    <n v="91392"/>
    <n v="44"/>
    <d v="2019-10-01T00:00:00"/>
    <n v="1.9181864272694801E-3"/>
  </r>
  <r>
    <n v="10305"/>
    <n v="2019"/>
    <s v="novembro"/>
    <d v="2019-11-01T00:00:00"/>
    <x v="0"/>
    <x v="3"/>
    <s v="Product E"/>
    <n v="8"/>
    <n v="238"/>
    <n v="178500"/>
    <n v="64260"/>
    <n v="44"/>
    <d v="2019-10-01T00:00:00"/>
    <n v="8.9914988778256797E-4"/>
  </r>
  <r>
    <n v="10306"/>
    <n v="2019"/>
    <s v="novembro"/>
    <d v="2019-11-02T00:00:00"/>
    <x v="4"/>
    <x v="1"/>
    <s v="Product B"/>
    <n v="18"/>
    <n v="195"/>
    <n v="48750"/>
    <n v="21937.5"/>
    <n v="44"/>
    <d v="2019-10-01T00:00:00"/>
    <n v="2.4556614582296998E-4"/>
  </r>
  <r>
    <n v="10307"/>
    <n v="2019"/>
    <s v="novembro"/>
    <d v="2019-11-03T00:00:00"/>
    <x v="3"/>
    <x v="1"/>
    <s v="Product A"/>
    <n v="5"/>
    <n v="311"/>
    <n v="155500"/>
    <n v="59090"/>
    <n v="45"/>
    <d v="2019-10-01T00:00:00"/>
    <n v="7.8329303949685903E-4"/>
  </r>
  <r>
    <n v="10308"/>
    <n v="2019"/>
    <s v="novembro"/>
    <d v="2019-11-04T00:00:00"/>
    <x v="0"/>
    <x v="1"/>
    <s v="Product E"/>
    <n v="24"/>
    <n v="437"/>
    <n v="327750"/>
    <n v="111435.00000000001"/>
    <n v="45"/>
    <d v="2019-10-01T00:00:00"/>
    <n v="1.6509600880713501E-3"/>
  </r>
  <r>
    <n v="10309"/>
    <n v="2019"/>
    <s v="novembro"/>
    <d v="2019-11-05T00:00:00"/>
    <x v="3"/>
    <x v="3"/>
    <s v="Product C"/>
    <n v="14"/>
    <n v="392"/>
    <n v="137200"/>
    <n v="16464"/>
    <n v="45"/>
    <d v="2019-10-01T00:00:00"/>
    <n v="6.91111286295621E-4"/>
  </r>
  <r>
    <n v="10310"/>
    <n v="2019"/>
    <s v="novembro"/>
    <d v="2019-11-06T00:00:00"/>
    <x v="2"/>
    <x v="4"/>
    <s v="Product B"/>
    <n v="27"/>
    <n v="446"/>
    <n v="111500"/>
    <n v="41255"/>
    <n v="45"/>
    <d v="2019-10-01T00:00:00"/>
    <n v="5.6165385147202403E-4"/>
  </r>
  <r>
    <n v="10311"/>
    <n v="2019"/>
    <s v="novembro"/>
    <d v="2019-11-07T00:00:00"/>
    <x v="3"/>
    <x v="2"/>
    <s v="Product E"/>
    <n v="2"/>
    <n v="79"/>
    <n v="59250"/>
    <n v="14220"/>
    <n v="45"/>
    <d v="2019-10-01T00:00:00"/>
    <n v="2.9845731569253301E-4"/>
  </r>
  <r>
    <n v="10312"/>
    <n v="2019"/>
    <s v="novembro"/>
    <d v="2019-11-08T00:00:00"/>
    <x v="1"/>
    <x v="1"/>
    <s v="Product E"/>
    <n v="4"/>
    <n v="160"/>
    <n v="120000"/>
    <n v="40800"/>
    <n v="45"/>
    <d v="2019-10-01T00:00:00"/>
    <n v="6.0447051279500401E-4"/>
  </r>
  <r>
    <n v="10313"/>
    <n v="2019"/>
    <s v="novembro"/>
    <d v="2019-11-09T00:00:00"/>
    <x v="4"/>
    <x v="4"/>
    <s v="Product D"/>
    <n v="3"/>
    <n v="136"/>
    <n v="115600"/>
    <n v="12716"/>
    <n v="45"/>
    <d v="2019-10-01T00:00:00"/>
    <n v="5.8230659399251998E-4"/>
  </r>
  <r>
    <n v="10314"/>
    <n v="2019"/>
    <s v="novembro"/>
    <d v="2019-11-10T00:00:00"/>
    <x v="2"/>
    <x v="4"/>
    <s v="Product E"/>
    <n v="6"/>
    <n v="129"/>
    <n v="96750"/>
    <n v="12577.5"/>
    <n v="46"/>
    <d v="2019-10-01T00:00:00"/>
    <n v="4.8735435094097198E-4"/>
  </r>
  <r>
    <n v="10315"/>
    <n v="2019"/>
    <s v="novembro"/>
    <d v="2019-11-11T00:00:00"/>
    <x v="4"/>
    <x v="1"/>
    <s v="Product A"/>
    <n v="3"/>
    <n v="46"/>
    <n v="23000"/>
    <n v="4600"/>
    <n v="46"/>
    <d v="2019-10-01T00:00:00"/>
    <n v="1.1585684828570899E-4"/>
  </r>
  <r>
    <n v="10316"/>
    <n v="2019"/>
    <s v="novembro"/>
    <d v="2019-11-12T00:00:00"/>
    <x v="1"/>
    <x v="1"/>
    <s v="Product E"/>
    <n v="12"/>
    <n v="219"/>
    <n v="164250"/>
    <n v="60772.5"/>
    <n v="46"/>
    <d v="2019-10-01T00:00:00"/>
    <n v="8.2736901438816102E-4"/>
  </r>
  <r>
    <n v="10317"/>
    <n v="2019"/>
    <s v="novembro"/>
    <d v="2019-11-13T00:00:00"/>
    <x v="1"/>
    <x v="0"/>
    <s v="Product A"/>
    <n v="26"/>
    <n v="320"/>
    <n v="160000"/>
    <n v="59200"/>
    <n v="46"/>
    <d v="2019-10-01T00:00:00"/>
    <n v="8.0596068372667195E-4"/>
  </r>
  <r>
    <n v="10318"/>
    <n v="2019"/>
    <s v="novembro"/>
    <d v="2019-11-14T00:00:00"/>
    <x v="0"/>
    <x v="1"/>
    <s v="Product B"/>
    <n v="40"/>
    <n v="463"/>
    <n v="115750"/>
    <n v="20835"/>
    <n v="46"/>
    <d v="2019-10-01T00:00:00"/>
    <n v="5.8306218213351397E-4"/>
  </r>
  <r>
    <n v="10319"/>
    <n v="2019"/>
    <s v="novembro"/>
    <d v="2019-11-15T00:00:00"/>
    <x v="3"/>
    <x v="0"/>
    <s v="Product C"/>
    <n v="6"/>
    <n v="85"/>
    <n v="29750"/>
    <n v="11900"/>
    <n v="46"/>
    <d v="2019-10-01T00:00:00"/>
    <n v="1.4985831463042799E-4"/>
  </r>
  <r>
    <n v="10320"/>
    <n v="2019"/>
    <s v="novembro"/>
    <d v="2019-11-16T00:00:00"/>
    <x v="4"/>
    <x v="1"/>
    <s v="Product D"/>
    <n v="15"/>
    <n v="316"/>
    <n v="268600"/>
    <n v="64464"/>
    <n v="46"/>
    <d v="2019-10-01T00:00:00"/>
    <n v="1.3530064978061499E-3"/>
  </r>
  <r>
    <n v="10321"/>
    <n v="2019"/>
    <s v="novembro"/>
    <d v="2019-11-17T00:00:00"/>
    <x v="1"/>
    <x v="0"/>
    <s v="Product C"/>
    <n v="1"/>
    <n v="15"/>
    <n v="5250"/>
    <n v="2257.5"/>
    <n v="47"/>
    <d v="2019-10-01T00:00:00"/>
    <n v="2.6445584934781399E-5"/>
  </r>
  <r>
    <n v="10322"/>
    <n v="2019"/>
    <s v="novembro"/>
    <d v="2019-11-18T00:00:00"/>
    <x v="1"/>
    <x v="3"/>
    <s v="Product A"/>
    <n v="17"/>
    <n v="402"/>
    <n v="201000"/>
    <n v="90450"/>
    <n v="47"/>
    <d v="2019-10-01T00:00:00"/>
    <n v="1.01248810893163E-3"/>
  </r>
  <r>
    <n v="10323"/>
    <n v="2019"/>
    <s v="novembro"/>
    <d v="2019-11-19T00:00:00"/>
    <x v="3"/>
    <x v="4"/>
    <s v="Product A"/>
    <n v="10"/>
    <n v="111"/>
    <n v="55500"/>
    <n v="8325"/>
    <n v="47"/>
    <d v="2019-10-01T00:00:00"/>
    <n v="2.7956761216768898E-4"/>
  </r>
  <r>
    <n v="10324"/>
    <n v="2019"/>
    <s v="novembro"/>
    <d v="2019-11-20T00:00:00"/>
    <x v="0"/>
    <x v="0"/>
    <s v="Product A"/>
    <n v="6"/>
    <n v="265"/>
    <n v="132500"/>
    <n v="50350"/>
    <n v="47"/>
    <d v="2019-10-01T00:00:00"/>
    <n v="6.6743619121114998E-4"/>
  </r>
  <r>
    <n v="10325"/>
    <n v="2019"/>
    <s v="novembro"/>
    <d v="2019-11-21T00:00:00"/>
    <x v="2"/>
    <x v="1"/>
    <s v="Product A"/>
    <n v="8"/>
    <n v="190"/>
    <n v="95000"/>
    <n v="31350"/>
    <n v="47"/>
    <d v="2019-10-01T00:00:00"/>
    <n v="4.78539155962711E-4"/>
  </r>
  <r>
    <n v="10326"/>
    <n v="2019"/>
    <s v="novembro"/>
    <d v="2019-11-22T00:00:00"/>
    <x v="2"/>
    <x v="1"/>
    <s v="Product A"/>
    <n v="6"/>
    <n v="62"/>
    <n v="31000"/>
    <n v="9300"/>
    <n v="47"/>
    <d v="2019-10-01T00:00:00"/>
    <n v="1.5615488247204299E-4"/>
  </r>
  <r>
    <n v="10327"/>
    <n v="2019"/>
    <s v="novembro"/>
    <d v="2019-11-23T00:00:00"/>
    <x v="3"/>
    <x v="0"/>
    <s v="Product B"/>
    <n v="1"/>
    <n v="46"/>
    <n v="11500"/>
    <n v="4945"/>
    <n v="47"/>
    <d v="2019-10-01T00:00:00"/>
    <n v="5.7928424142854497E-5"/>
  </r>
  <r>
    <n v="10328"/>
    <n v="2019"/>
    <s v="novembro"/>
    <d v="2019-11-24T00:00:00"/>
    <x v="0"/>
    <x v="2"/>
    <s v="Product E"/>
    <n v="9"/>
    <n v="279"/>
    <n v="209250"/>
    <n v="31387.5"/>
    <n v="48"/>
    <d v="2019-10-01T00:00:00"/>
    <n v="1.0540454566862899E-3"/>
  </r>
  <r>
    <n v="10329"/>
    <n v="2019"/>
    <s v="novembro"/>
    <d v="2019-11-25T00:00:00"/>
    <x v="1"/>
    <x v="1"/>
    <s v="Product A"/>
    <n v="16"/>
    <n v="243"/>
    <n v="121500"/>
    <n v="32805"/>
    <n v="48"/>
    <d v="2019-10-01T00:00:00"/>
    <n v="6.1202639420494104E-4"/>
  </r>
  <r>
    <n v="10330"/>
    <n v="2019"/>
    <s v="novembro"/>
    <d v="2019-11-26T00:00:00"/>
    <x v="1"/>
    <x v="1"/>
    <s v="Product E"/>
    <n v="27"/>
    <n v="314"/>
    <n v="235500"/>
    <n v="82425"/>
    <n v="48"/>
    <d v="2019-10-01T00:00:00"/>
    <n v="1.18627338136019E-3"/>
  </r>
  <r>
    <n v="10331"/>
    <n v="2019"/>
    <s v="novembro"/>
    <d v="2019-11-27T00:00:00"/>
    <x v="4"/>
    <x v="4"/>
    <s v="Product B"/>
    <n v="11"/>
    <n v="194"/>
    <n v="48500"/>
    <n v="15035"/>
    <n v="48"/>
    <d v="2019-10-01T00:00:00"/>
    <n v="2.44306832254647E-4"/>
  </r>
  <r>
    <n v="10332"/>
    <n v="2019"/>
    <s v="novembro"/>
    <d v="2019-11-28T00:00:00"/>
    <x v="4"/>
    <x v="4"/>
    <s v="Product E"/>
    <n v="36"/>
    <n v="395"/>
    <n v="296250"/>
    <n v="65175"/>
    <n v="48"/>
    <d v="2019-10-01T00:00:00"/>
    <n v="1.4922865784626699E-3"/>
  </r>
  <r>
    <n v="10333"/>
    <n v="2019"/>
    <s v="novembro"/>
    <d v="2019-11-29T00:00:00"/>
    <x v="1"/>
    <x v="3"/>
    <s v="Product B"/>
    <n v="6"/>
    <n v="234"/>
    <n v="58500"/>
    <n v="7020"/>
    <n v="48"/>
    <d v="2019-10-01T00:00:00"/>
    <n v="2.9467937498756401E-4"/>
  </r>
  <r>
    <n v="10334"/>
    <n v="2019"/>
    <s v="novembro"/>
    <d v="2019-11-30T00:00:00"/>
    <x v="0"/>
    <x v="1"/>
    <s v="Product A"/>
    <n v="1"/>
    <n v="10"/>
    <n v="5000"/>
    <n v="1500"/>
    <n v="48"/>
    <d v="2019-10-01T00:00:00"/>
    <n v="2.5186271366458498E-5"/>
  </r>
  <r>
    <n v="10335"/>
    <n v="2019"/>
    <s v="dezembro"/>
    <d v="2019-12-01T00:00:00"/>
    <x v="4"/>
    <x v="3"/>
    <s v="Product C"/>
    <n v="12"/>
    <n v="496"/>
    <n v="173600"/>
    <n v="74648"/>
    <n v="49"/>
    <d v="2019-10-01T00:00:00"/>
    <n v="8.7446734184343895E-4"/>
  </r>
  <r>
    <n v="10336"/>
    <n v="2019"/>
    <s v="dezembro"/>
    <d v="2019-12-02T00:00:00"/>
    <x v="0"/>
    <x v="1"/>
    <s v="Product B"/>
    <n v="28"/>
    <n v="325"/>
    <n v="81250"/>
    <n v="32500"/>
    <n v="49"/>
    <d v="2019-10-01T00:00:00"/>
    <n v="4.0927690970495002E-4"/>
  </r>
  <r>
    <n v="10337"/>
    <n v="2019"/>
    <s v="dezembro"/>
    <d v="2019-12-03T00:00:00"/>
    <x v="0"/>
    <x v="1"/>
    <s v="Product E"/>
    <n v="13"/>
    <n v="241"/>
    <n v="180750"/>
    <n v="74107.5"/>
    <n v="49"/>
    <d v="2019-10-01T00:00:00"/>
    <n v="9.1048370989747405E-4"/>
  </r>
  <r>
    <n v="10338"/>
    <n v="2019"/>
    <s v="dezembro"/>
    <d v="2019-12-04T00:00:00"/>
    <x v="1"/>
    <x v="0"/>
    <s v="Product E"/>
    <n v="35"/>
    <n v="404"/>
    <n v="303000"/>
    <n v="112110"/>
    <n v="49"/>
    <d v="2019-10-01T00:00:00"/>
    <n v="1.52628804480738E-3"/>
  </r>
  <r>
    <n v="10339"/>
    <n v="2019"/>
    <s v="dezembro"/>
    <d v="2019-12-05T00:00:00"/>
    <x v="2"/>
    <x v="4"/>
    <s v="Product A"/>
    <n v="9"/>
    <n v="203"/>
    <n v="101500"/>
    <n v="11165"/>
    <n v="49"/>
    <d v="2019-10-01T00:00:00"/>
    <n v="5.1128130873910702E-4"/>
  </r>
  <r>
    <n v="10340"/>
    <n v="2019"/>
    <s v="dezembro"/>
    <d v="2019-12-06T00:00:00"/>
    <x v="0"/>
    <x v="2"/>
    <s v="Product A"/>
    <n v="13"/>
    <n v="330"/>
    <n v="165000"/>
    <n v="59400"/>
    <n v="49"/>
    <d v="2019-10-01T00:00:00"/>
    <n v="8.3114695509312996E-4"/>
  </r>
  <r>
    <n v="10341"/>
    <n v="2019"/>
    <s v="dezembro"/>
    <d v="2019-12-07T00:00:00"/>
    <x v="4"/>
    <x v="4"/>
    <s v="Product A"/>
    <n v="16"/>
    <n v="314"/>
    <n v="157000"/>
    <n v="37680"/>
    <n v="49"/>
    <d v="2019-10-01T00:00:00"/>
    <n v="7.9084892090679605E-4"/>
  </r>
  <r>
    <n v="10342"/>
    <n v="2019"/>
    <s v="dezembro"/>
    <d v="2019-12-08T00:00:00"/>
    <x v="2"/>
    <x v="2"/>
    <s v="Product B"/>
    <n v="24"/>
    <n v="466"/>
    <n v="116500"/>
    <n v="51260"/>
    <n v="50"/>
    <d v="2019-10-01T00:00:00"/>
    <n v="5.8684012283848302E-4"/>
  </r>
  <r>
    <n v="10343"/>
    <n v="2019"/>
    <s v="dezembro"/>
    <d v="2019-12-09T00:00:00"/>
    <x v="1"/>
    <x v="3"/>
    <s v="Product D"/>
    <n v="18"/>
    <n v="249"/>
    <n v="211650"/>
    <n v="71961"/>
    <n v="50"/>
    <d v="2019-10-01T00:00:00"/>
    <n v="1.06613486694219E-3"/>
  </r>
  <r>
    <n v="10344"/>
    <n v="2019"/>
    <s v="dezembro"/>
    <d v="2019-12-10T00:00:00"/>
    <x v="3"/>
    <x v="1"/>
    <s v="Product A"/>
    <n v="2"/>
    <n v="23"/>
    <n v="11500"/>
    <n v="4255"/>
    <n v="50"/>
    <d v="2019-10-01T00:00:00"/>
    <n v="5.7928424142854497E-5"/>
  </r>
  <r>
    <n v="10345"/>
    <n v="2019"/>
    <s v="dezembro"/>
    <d v="2019-12-11T00:00:00"/>
    <x v="2"/>
    <x v="2"/>
    <s v="Product B"/>
    <n v="10"/>
    <n v="263"/>
    <n v="65750"/>
    <n v="25642.5"/>
    <n v="50"/>
    <d v="2019-10-01T00:00:00"/>
    <n v="3.3119946846892903E-4"/>
  </r>
  <r>
    <n v="10346"/>
    <n v="2019"/>
    <s v="dezembro"/>
    <d v="2019-12-12T00:00:00"/>
    <x v="1"/>
    <x v="3"/>
    <s v="Product D"/>
    <n v="10"/>
    <n v="141"/>
    <n v="119850"/>
    <n v="53932.5"/>
    <n v="50"/>
    <d v="2019-10-01T00:00:00"/>
    <n v="6.0371492465401003E-4"/>
  </r>
  <r>
    <n v="10347"/>
    <n v="2019"/>
    <s v="dezembro"/>
    <d v="2019-12-13T00:00:00"/>
    <x v="2"/>
    <x v="3"/>
    <s v="Product A"/>
    <n v="15"/>
    <n v="347"/>
    <n v="173500"/>
    <n v="69400"/>
    <n v="50"/>
    <d v="2019-10-01T00:00:00"/>
    <n v="8.7396361641610897E-4"/>
  </r>
  <r>
    <n v="10348"/>
    <n v="2019"/>
    <s v="dezembro"/>
    <d v="2019-12-14T00:00:00"/>
    <x v="4"/>
    <x v="3"/>
    <s v="Product A"/>
    <n v="15"/>
    <n v="486"/>
    <n v="243000"/>
    <n v="77760"/>
    <n v="50"/>
    <d v="2019-10-01T00:00:00"/>
    <n v="1.2240527884098799E-3"/>
  </r>
  <r>
    <n v="10349"/>
    <n v="2019"/>
    <s v="dezembro"/>
    <d v="2019-12-15T00:00:00"/>
    <x v="2"/>
    <x v="0"/>
    <s v="Product B"/>
    <n v="16"/>
    <n v="383"/>
    <n v="95750"/>
    <n v="14362.5"/>
    <n v="51"/>
    <d v="2019-10-01T00:00:00"/>
    <n v="4.8231709666768E-4"/>
  </r>
  <r>
    <n v="10350"/>
    <n v="2019"/>
    <s v="dezembro"/>
    <d v="2019-12-16T00:00:00"/>
    <x v="1"/>
    <x v="2"/>
    <s v="Product C"/>
    <n v="6"/>
    <n v="324"/>
    <n v="113400"/>
    <n v="26082"/>
    <n v="51"/>
    <d v="2019-10-01T00:00:00"/>
    <n v="5.7122463459127802E-4"/>
  </r>
  <r>
    <n v="10351"/>
    <n v="2019"/>
    <s v="dezembro"/>
    <d v="2019-12-17T00:00:00"/>
    <x v="0"/>
    <x v="2"/>
    <s v="Product E"/>
    <n v="3"/>
    <n v="269"/>
    <n v="201750"/>
    <n v="54472.5"/>
    <n v="51"/>
    <d v="2019-10-01T00:00:00"/>
    <n v="1.0162660496366E-3"/>
  </r>
  <r>
    <n v="10352"/>
    <n v="2019"/>
    <s v="dezembro"/>
    <d v="2019-12-18T00:00:00"/>
    <x v="4"/>
    <x v="3"/>
    <s v="Product A"/>
    <n v="3"/>
    <n v="235"/>
    <n v="117500"/>
    <n v="16450"/>
    <n v="51"/>
    <d v="2019-10-01T00:00:00"/>
    <n v="5.9187737711177398E-4"/>
  </r>
  <r>
    <n v="10353"/>
    <n v="2019"/>
    <s v="dezembro"/>
    <d v="2019-12-19T00:00:00"/>
    <x v="2"/>
    <x v="1"/>
    <s v="Product A"/>
    <n v="18"/>
    <n v="204"/>
    <n v="102000"/>
    <n v="27540"/>
    <n v="51"/>
    <d v="2019-10-01T00:00:00"/>
    <n v="5.1379993587575298E-4"/>
  </r>
  <r>
    <n v="10354"/>
    <n v="2019"/>
    <s v="dezembro"/>
    <d v="2019-12-20T00:00:00"/>
    <x v="1"/>
    <x v="3"/>
    <s v="Product C"/>
    <n v="18"/>
    <n v="224"/>
    <n v="78400"/>
    <n v="16464"/>
    <n v="51"/>
    <d v="2019-10-01T00:00:00"/>
    <n v="3.9492073502606897E-4"/>
  </r>
  <r>
    <n v="10355"/>
    <n v="2019"/>
    <s v="dezembro"/>
    <d v="2019-12-21T00:00:00"/>
    <x v="4"/>
    <x v="2"/>
    <s v="Product C"/>
    <n v="1"/>
    <n v="70"/>
    <n v="24500"/>
    <n v="10780"/>
    <n v="51"/>
    <d v="2019-10-01T00:00:00"/>
    <n v="1.2341272969564699E-4"/>
  </r>
  <r>
    <n v="10356"/>
    <n v="2019"/>
    <s v="dezembro"/>
    <d v="2019-12-22T00:00:00"/>
    <x v="0"/>
    <x v="3"/>
    <s v="Product C"/>
    <n v="42"/>
    <n v="426"/>
    <n v="149100"/>
    <n v="47712"/>
    <n v="52"/>
    <d v="2019-10-01T00:00:00"/>
    <n v="7.5105461214779201E-4"/>
  </r>
  <r>
    <n v="10357"/>
    <n v="2019"/>
    <s v="dezembro"/>
    <d v="2019-12-23T00:00:00"/>
    <x v="3"/>
    <x v="4"/>
    <s v="Product D"/>
    <n v="3"/>
    <n v="223"/>
    <n v="189550"/>
    <n v="79611"/>
    <n v="52"/>
    <d v="2019-10-01T00:00:00"/>
    <n v="9.5481154750244102E-4"/>
  </r>
  <r>
    <n v="10358"/>
    <n v="2019"/>
    <s v="dezembro"/>
    <d v="2019-12-24T00:00:00"/>
    <x v="1"/>
    <x v="3"/>
    <s v="Product E"/>
    <n v="24"/>
    <n v="440"/>
    <n v="330000"/>
    <n v="75900"/>
    <n v="52"/>
    <d v="2019-10-01T00:00:00"/>
    <n v="1.6622939101862599E-3"/>
  </r>
  <r>
    <n v="10359"/>
    <n v="2019"/>
    <s v="dezembro"/>
    <d v="2019-12-25T00:00:00"/>
    <x v="0"/>
    <x v="0"/>
    <s v="Product E"/>
    <n v="25"/>
    <n v="401"/>
    <n v="300750"/>
    <n v="57142.5"/>
    <n v="52"/>
    <d v="2019-10-01T00:00:00"/>
    <n v="1.5149542226924799E-3"/>
  </r>
  <r>
    <n v="10360"/>
    <n v="2019"/>
    <s v="dezembro"/>
    <d v="2019-12-26T00:00:00"/>
    <x v="3"/>
    <x v="2"/>
    <s v="Product C"/>
    <n v="21"/>
    <n v="273"/>
    <n v="95550"/>
    <n v="34398"/>
    <n v="52"/>
    <d v="2019-10-01T00:00:00"/>
    <n v="4.8130964581302201E-4"/>
  </r>
  <r>
    <n v="10361"/>
    <n v="2019"/>
    <s v="dezembro"/>
    <d v="2019-12-27T00:00:00"/>
    <x v="0"/>
    <x v="0"/>
    <s v="Product A"/>
    <n v="12"/>
    <n v="284"/>
    <n v="142000"/>
    <n v="58220"/>
    <n v="52"/>
    <d v="2019-10-01T00:00:00"/>
    <n v="7.1529010680742103E-4"/>
  </r>
  <r>
    <n v="10362"/>
    <n v="2019"/>
    <s v="dezembro"/>
    <d v="2019-12-28T00:00:00"/>
    <x v="3"/>
    <x v="2"/>
    <s v="Product C"/>
    <n v="1"/>
    <n v="28"/>
    <n v="9800"/>
    <n v="2940"/>
    <n v="52"/>
    <d v="2019-10-01T00:00:00"/>
    <n v="4.9365091878258601E-5"/>
  </r>
  <r>
    <n v="10363"/>
    <n v="2019"/>
    <s v="dezembro"/>
    <d v="2019-12-29T00:00:00"/>
    <x v="1"/>
    <x v="0"/>
    <s v="Product E"/>
    <n v="15"/>
    <n v="168"/>
    <n v="126000"/>
    <n v="50400"/>
    <n v="53"/>
    <d v="2019-10-01T00:00:00"/>
    <n v="6.3469403843475396E-4"/>
  </r>
  <r>
    <n v="10364"/>
    <n v="2019"/>
    <s v="dezembro"/>
    <d v="2019-12-30T00:00:00"/>
    <x v="3"/>
    <x v="3"/>
    <s v="Product A"/>
    <n v="4"/>
    <n v="140"/>
    <n v="70000"/>
    <n v="30100"/>
    <n v="53"/>
    <d v="2019-10-01T00:00:00"/>
    <n v="3.5260779913041902E-4"/>
  </r>
  <r>
    <n v="10365"/>
    <n v="2019"/>
    <s v="dezembro"/>
    <d v="2019-12-31T00:00:00"/>
    <x v="3"/>
    <x v="3"/>
    <s v="Product D"/>
    <n v="1"/>
    <n v="33"/>
    <n v="28050"/>
    <n v="11220"/>
    <n v="53"/>
    <d v="2019-10-01T00:00:00"/>
    <n v="1.41294982365832E-4"/>
  </r>
  <r>
    <n v="10366"/>
    <n v="2020"/>
    <s v="janeiro"/>
    <d v="2020-01-01T00:00:00"/>
    <x v="3"/>
    <x v="1"/>
    <s v="Product A"/>
    <n v="9"/>
    <n v="132"/>
    <n v="66000"/>
    <n v="17160"/>
    <n v="1"/>
    <d v="2020-01-01T00:00:00"/>
    <n v="3.3245878203725201E-4"/>
  </r>
  <r>
    <n v="10367"/>
    <n v="2020"/>
    <s v="janeiro"/>
    <d v="2020-01-02T00:00:00"/>
    <x v="3"/>
    <x v="4"/>
    <s v="Product A"/>
    <n v="12"/>
    <n v="349"/>
    <n v="174500"/>
    <n v="22685"/>
    <n v="1"/>
    <d v="2020-01-01T00:00:00"/>
    <n v="8.7900087068940101E-4"/>
  </r>
  <r>
    <n v="10368"/>
    <n v="2020"/>
    <s v="janeiro"/>
    <d v="2020-01-03T00:00:00"/>
    <x v="1"/>
    <x v="3"/>
    <s v="Product D"/>
    <n v="7"/>
    <n v="248"/>
    <n v="210800"/>
    <n v="35836"/>
    <n v="1"/>
    <d v="2020-01-01T00:00:00"/>
    <n v="1.06185320080989E-3"/>
  </r>
  <r>
    <n v="10369"/>
    <n v="2020"/>
    <s v="janeiro"/>
    <d v="2020-01-04T00:00:00"/>
    <x v="1"/>
    <x v="4"/>
    <s v="Product A"/>
    <n v="1"/>
    <n v="60"/>
    <n v="30000"/>
    <n v="6900"/>
    <n v="1"/>
    <d v="2020-01-01T00:00:00"/>
    <n v="1.51117628198751E-4"/>
  </r>
  <r>
    <n v="10370"/>
    <n v="2020"/>
    <s v="janeiro"/>
    <d v="2020-01-05T00:00:00"/>
    <x v="0"/>
    <x v="4"/>
    <s v="Product A"/>
    <n v="3"/>
    <n v="225"/>
    <n v="112500"/>
    <n v="11250"/>
    <n v="2"/>
    <d v="2020-01-01T00:00:00"/>
    <n v="5.6669110574531596E-4"/>
  </r>
  <r>
    <n v="10371"/>
    <n v="2020"/>
    <s v="janeiro"/>
    <d v="2020-01-06T00:00:00"/>
    <x v="1"/>
    <x v="4"/>
    <s v="Product A"/>
    <n v="40"/>
    <n v="437"/>
    <n v="218500"/>
    <n v="43700"/>
    <n v="2"/>
    <d v="2020-01-01T00:00:00"/>
    <n v="1.10064005871424E-3"/>
  </r>
  <r>
    <n v="10372"/>
    <n v="2020"/>
    <s v="janeiro"/>
    <d v="2020-01-07T00:00:00"/>
    <x v="2"/>
    <x v="4"/>
    <s v="Product C"/>
    <n v="18"/>
    <n v="207"/>
    <n v="72450"/>
    <n v="26082"/>
    <n v="2"/>
    <d v="2020-01-01T00:00:00"/>
    <n v="3.6494907209998402E-4"/>
  </r>
  <r>
    <n v="10373"/>
    <n v="2020"/>
    <s v="janeiro"/>
    <d v="2020-01-08T00:00:00"/>
    <x v="3"/>
    <x v="2"/>
    <s v="Product B"/>
    <n v="1"/>
    <n v="22"/>
    <n v="5500"/>
    <n v="1540.0000000000002"/>
    <n v="2"/>
    <d v="2020-01-01T00:00:00"/>
    <n v="2.77048985031043E-5"/>
  </r>
  <r>
    <n v="10374"/>
    <n v="2020"/>
    <s v="janeiro"/>
    <d v="2020-01-09T00:00:00"/>
    <x v="1"/>
    <x v="4"/>
    <s v="Product B"/>
    <n v="4"/>
    <n v="155"/>
    <n v="38750"/>
    <n v="13175.000000000002"/>
    <n v="2"/>
    <d v="2020-01-01T00:00:00"/>
    <n v="1.9519360309005299E-4"/>
  </r>
  <r>
    <n v="10375"/>
    <n v="2020"/>
    <s v="janeiro"/>
    <d v="2020-01-10T00:00:00"/>
    <x v="1"/>
    <x v="0"/>
    <s v="Product A"/>
    <n v="35"/>
    <n v="442"/>
    <n v="221000"/>
    <n v="26520"/>
    <n v="2"/>
    <d v="2020-01-01T00:00:00"/>
    <n v="1.1132331943974601E-3"/>
  </r>
  <r>
    <n v="10376"/>
    <n v="2020"/>
    <s v="janeiro"/>
    <d v="2020-01-11T00:00:00"/>
    <x v="3"/>
    <x v="1"/>
    <s v="Product C"/>
    <n v="33"/>
    <n v="417"/>
    <n v="145950"/>
    <n v="45244.5"/>
    <n v="2"/>
    <d v="2020-01-01T00:00:00"/>
    <n v="7.3518726118692299E-4"/>
  </r>
  <r>
    <n v="10377"/>
    <n v="2020"/>
    <s v="janeiro"/>
    <d v="2020-01-12T00:00:00"/>
    <x v="0"/>
    <x v="0"/>
    <s v="Product D"/>
    <n v="7"/>
    <n v="99"/>
    <n v="84150"/>
    <n v="19354.5"/>
    <n v="3"/>
    <d v="2020-01-01T00:00:00"/>
    <n v="4.2388494709749599E-4"/>
  </r>
  <r>
    <n v="10378"/>
    <n v="2020"/>
    <s v="janeiro"/>
    <d v="2020-01-13T00:00:00"/>
    <x v="0"/>
    <x v="3"/>
    <s v="Product A"/>
    <n v="16"/>
    <n v="237"/>
    <n v="118500"/>
    <n v="53325"/>
    <n v="3"/>
    <d v="2020-01-01T00:00:00"/>
    <n v="5.9691463138506601E-4"/>
  </r>
  <r>
    <n v="10379"/>
    <n v="2020"/>
    <s v="janeiro"/>
    <d v="2020-01-14T00:00:00"/>
    <x v="1"/>
    <x v="1"/>
    <s v="Product D"/>
    <n v="6"/>
    <n v="90"/>
    <n v="76500"/>
    <n v="7650"/>
    <n v="3"/>
    <d v="2020-01-01T00:00:00"/>
    <n v="3.8534995190681498E-4"/>
  </r>
  <r>
    <n v="10380"/>
    <n v="2020"/>
    <s v="janeiro"/>
    <d v="2020-01-15T00:00:00"/>
    <x v="1"/>
    <x v="1"/>
    <s v="Product E"/>
    <n v="7"/>
    <n v="77"/>
    <n v="57750"/>
    <n v="12705"/>
    <n v="3"/>
    <d v="2020-01-01T00:00:00"/>
    <n v="2.9090143428259598E-4"/>
  </r>
  <r>
    <n v="10381"/>
    <n v="2020"/>
    <s v="janeiro"/>
    <d v="2020-01-16T00:00:00"/>
    <x v="0"/>
    <x v="3"/>
    <s v="Product E"/>
    <n v="25"/>
    <n v="472"/>
    <n v="354000"/>
    <n v="63720"/>
    <n v="3"/>
    <d v="2020-01-01T00:00:00"/>
    <n v="1.7831880127452599E-3"/>
  </r>
  <r>
    <n v="10382"/>
    <n v="2020"/>
    <s v="janeiro"/>
    <d v="2020-01-17T00:00:00"/>
    <x v="4"/>
    <x v="0"/>
    <s v="Product A"/>
    <n v="8"/>
    <n v="138"/>
    <n v="69000"/>
    <n v="13110"/>
    <n v="3"/>
    <d v="2020-01-01T00:00:00"/>
    <n v="3.4757054485712698E-4"/>
  </r>
  <r>
    <n v="10383"/>
    <n v="2020"/>
    <s v="janeiro"/>
    <d v="2020-01-18T00:00:00"/>
    <x v="3"/>
    <x v="2"/>
    <s v="Product A"/>
    <n v="17"/>
    <n v="186"/>
    <n v="93000"/>
    <n v="19530"/>
    <n v="3"/>
    <d v="2020-01-01T00:00:00"/>
    <n v="4.6846464741612801E-4"/>
  </r>
  <r>
    <n v="10384"/>
    <n v="2020"/>
    <s v="janeiro"/>
    <d v="2020-01-19T00:00:00"/>
    <x v="4"/>
    <x v="3"/>
    <s v="Product A"/>
    <n v="9"/>
    <n v="336"/>
    <n v="168000"/>
    <n v="48720"/>
    <n v="4"/>
    <d v="2020-01-01T00:00:00"/>
    <n v="8.4625871791300499E-4"/>
  </r>
  <r>
    <n v="10385"/>
    <n v="2020"/>
    <s v="janeiro"/>
    <d v="2020-01-20T00:00:00"/>
    <x v="1"/>
    <x v="0"/>
    <s v="Product A"/>
    <n v="18"/>
    <n v="208"/>
    <n v="104000"/>
    <n v="28080.000000000004"/>
    <n v="4"/>
    <d v="2020-01-01T00:00:00"/>
    <n v="5.2387444442233597E-4"/>
  </r>
  <r>
    <n v="10386"/>
    <n v="2020"/>
    <s v="janeiro"/>
    <d v="2020-01-21T00:00:00"/>
    <x v="3"/>
    <x v="2"/>
    <s v="Product D"/>
    <n v="32"/>
    <n v="342"/>
    <n v="290700"/>
    <n v="127908"/>
    <n v="4"/>
    <d v="2020-01-01T00:00:00"/>
    <n v="1.4643298172459E-3"/>
  </r>
  <r>
    <n v="10387"/>
    <n v="2020"/>
    <s v="janeiro"/>
    <d v="2020-01-22T00:00:00"/>
    <x v="0"/>
    <x v="2"/>
    <s v="Product C"/>
    <n v="3"/>
    <n v="66"/>
    <n v="23100"/>
    <n v="3465"/>
    <n v="4"/>
    <d v="2020-01-01T00:00:00"/>
    <n v="1.16360573713038E-4"/>
  </r>
  <r>
    <n v="10388"/>
    <n v="2020"/>
    <s v="janeiro"/>
    <d v="2020-01-23T00:00:00"/>
    <x v="1"/>
    <x v="3"/>
    <s v="Product B"/>
    <n v="9"/>
    <n v="220"/>
    <n v="55000"/>
    <n v="5500"/>
    <n v="4"/>
    <d v="2020-01-01T00:00:00"/>
    <n v="2.7704898503104301E-4"/>
  </r>
  <r>
    <n v="10389"/>
    <n v="2020"/>
    <s v="janeiro"/>
    <d v="2020-01-24T00:00:00"/>
    <x v="3"/>
    <x v="0"/>
    <s v="Product E"/>
    <n v="7"/>
    <n v="87"/>
    <n v="65250"/>
    <n v="19575"/>
    <n v="4"/>
    <d v="2020-01-01T00:00:00"/>
    <n v="3.2868084133228301E-4"/>
  </r>
  <r>
    <n v="10390"/>
    <n v="2020"/>
    <s v="janeiro"/>
    <d v="2020-01-25T00:00:00"/>
    <x v="4"/>
    <x v="4"/>
    <s v="Product D"/>
    <n v="1"/>
    <n v="42"/>
    <n v="35700"/>
    <n v="8211"/>
    <n v="4"/>
    <d v="2020-01-01T00:00:00"/>
    <n v="1.7982997755651401E-4"/>
  </r>
  <r>
    <n v="10391"/>
    <n v="2020"/>
    <s v="janeiro"/>
    <d v="2020-01-26T00:00:00"/>
    <x v="2"/>
    <x v="4"/>
    <s v="Product C"/>
    <n v="42"/>
    <n v="497"/>
    <n v="173950"/>
    <n v="76538"/>
    <n v="5"/>
    <d v="2020-01-01T00:00:00"/>
    <n v="8.7623038083909104E-4"/>
  </r>
  <r>
    <n v="10392"/>
    <n v="2020"/>
    <s v="janeiro"/>
    <d v="2020-01-27T00:00:00"/>
    <x v="0"/>
    <x v="4"/>
    <s v="Product D"/>
    <n v="35"/>
    <n v="356"/>
    <n v="302600"/>
    <n v="133144"/>
    <n v="5"/>
    <d v="2020-01-01T00:00:00"/>
    <n v="1.5242731430980701E-3"/>
  </r>
  <r>
    <n v="10393"/>
    <n v="2020"/>
    <s v="janeiro"/>
    <d v="2020-01-28T00:00:00"/>
    <x v="3"/>
    <x v="0"/>
    <s v="Product E"/>
    <n v="11"/>
    <n v="121"/>
    <n v="90750"/>
    <n v="16335"/>
    <n v="5"/>
    <d v="2020-01-01T00:00:00"/>
    <n v="4.5713082530122198E-4"/>
  </r>
  <r>
    <n v="10394"/>
    <n v="2020"/>
    <s v="janeiro"/>
    <d v="2020-01-29T00:00:00"/>
    <x v="2"/>
    <x v="0"/>
    <s v="Product B"/>
    <n v="1"/>
    <n v="72"/>
    <n v="18000"/>
    <n v="7740"/>
    <n v="5"/>
    <d v="2020-01-01T00:00:00"/>
    <n v="9.0670576919250597E-5"/>
  </r>
  <r>
    <n v="10395"/>
    <n v="2020"/>
    <s v="janeiro"/>
    <d v="2020-01-30T00:00:00"/>
    <x v="1"/>
    <x v="4"/>
    <s v="Product C"/>
    <n v="9"/>
    <n v="366"/>
    <n v="128100"/>
    <n v="48678"/>
    <n v="5"/>
    <d v="2020-01-01T00:00:00"/>
    <n v="6.4527227240866595E-4"/>
  </r>
  <r>
    <n v="10396"/>
    <n v="2020"/>
    <s v="janeiro"/>
    <d v="2020-01-31T00:00:00"/>
    <x v="3"/>
    <x v="4"/>
    <s v="Product C"/>
    <n v="26"/>
    <n v="264"/>
    <n v="92400"/>
    <n v="13860"/>
    <n v="5"/>
    <d v="2020-01-01T00:00:00"/>
    <n v="4.6544229485215299E-4"/>
  </r>
  <r>
    <n v="10397"/>
    <n v="2020"/>
    <s v="fevereiro"/>
    <d v="2020-02-01T00:00:00"/>
    <x v="3"/>
    <x v="1"/>
    <s v="Product B"/>
    <n v="5"/>
    <n v="167"/>
    <n v="41750"/>
    <n v="6680"/>
    <n v="5"/>
    <d v="2020-01-01T00:00:00"/>
    <n v="2.1030536590992799E-4"/>
  </r>
  <r>
    <n v="10398"/>
    <n v="2020"/>
    <s v="fevereiro"/>
    <d v="2020-02-02T00:00:00"/>
    <x v="1"/>
    <x v="2"/>
    <s v="Product E"/>
    <n v="12"/>
    <n v="496"/>
    <n v="372000"/>
    <n v="89280"/>
    <n v="6"/>
    <d v="2020-01-01T00:00:00"/>
    <n v="1.8738585896645101E-3"/>
  </r>
  <r>
    <n v="10399"/>
    <n v="2020"/>
    <s v="fevereiro"/>
    <d v="2020-02-03T00:00:00"/>
    <x v="0"/>
    <x v="3"/>
    <s v="Product A"/>
    <n v="23"/>
    <n v="279"/>
    <n v="139500"/>
    <n v="19530.000000000004"/>
    <n v="6"/>
    <d v="2020-01-01T00:00:00"/>
    <n v="7.0269697112419196E-4"/>
  </r>
  <r>
    <n v="10400"/>
    <n v="2020"/>
    <s v="fevereiro"/>
    <d v="2020-02-04T00:00:00"/>
    <x v="2"/>
    <x v="3"/>
    <s v="Product B"/>
    <n v="37"/>
    <n v="477"/>
    <n v="119250"/>
    <n v="50085"/>
    <n v="6"/>
    <d v="2020-01-01T00:00:00"/>
    <n v="6.0069257209003496E-4"/>
  </r>
  <r>
    <n v="10401"/>
    <n v="2020"/>
    <s v="fevereiro"/>
    <d v="2020-02-05T00:00:00"/>
    <x v="3"/>
    <x v="4"/>
    <s v="Product B"/>
    <n v="7"/>
    <n v="306"/>
    <n v="76500"/>
    <n v="13770"/>
    <n v="6"/>
    <d v="2020-01-01T00:00:00"/>
    <n v="3.8534995190681498E-4"/>
  </r>
  <r>
    <n v="10402"/>
    <n v="2020"/>
    <s v="fevereiro"/>
    <d v="2020-02-06T00:00:00"/>
    <x v="2"/>
    <x v="3"/>
    <s v="Product A"/>
    <n v="46"/>
    <n v="492"/>
    <n v="246000"/>
    <n v="76260"/>
    <n v="6"/>
    <d v="2020-01-01T00:00:00"/>
    <n v="1.23916455122976E-3"/>
  </r>
  <r>
    <n v="10403"/>
    <n v="2020"/>
    <s v="fevereiro"/>
    <d v="2020-02-07T00:00:00"/>
    <x v="0"/>
    <x v="1"/>
    <s v="Product B"/>
    <n v="9"/>
    <n v="365"/>
    <n v="91250"/>
    <n v="10037.5"/>
    <n v="6"/>
    <d v="2020-01-01T00:00:00"/>
    <n v="4.5964945243786697E-4"/>
  </r>
  <r>
    <n v="10404"/>
    <n v="2020"/>
    <s v="fevereiro"/>
    <d v="2020-02-08T00:00:00"/>
    <x v="1"/>
    <x v="0"/>
    <s v="Product A"/>
    <n v="11"/>
    <n v="449"/>
    <n v="224500"/>
    <n v="101025"/>
    <n v="6"/>
    <d v="2020-01-01T00:00:00"/>
    <n v="1.1308635843539901E-3"/>
  </r>
  <r>
    <n v="10405"/>
    <n v="2020"/>
    <s v="fevereiro"/>
    <d v="2020-02-09T00:00:00"/>
    <x v="3"/>
    <x v="4"/>
    <s v="Product E"/>
    <n v="3"/>
    <n v="41"/>
    <n v="30750"/>
    <n v="7380"/>
    <n v="7"/>
    <d v="2020-01-01T00:00:00"/>
    <n v="1.5489556890372E-4"/>
  </r>
  <r>
    <n v="10406"/>
    <n v="2020"/>
    <s v="fevereiro"/>
    <d v="2020-02-10T00:00:00"/>
    <x v="4"/>
    <x v="2"/>
    <s v="Product D"/>
    <n v="6"/>
    <n v="149"/>
    <n v="126650"/>
    <n v="16464.5"/>
    <n v="7"/>
    <d v="2020-01-01T00:00:00"/>
    <n v="6.3796825371239402E-4"/>
  </r>
  <r>
    <n v="10407"/>
    <n v="2020"/>
    <s v="fevereiro"/>
    <d v="2020-02-11T00:00:00"/>
    <x v="0"/>
    <x v="2"/>
    <s v="Product C"/>
    <n v="24"/>
    <n v="279"/>
    <n v="97650"/>
    <n v="27342.000000000004"/>
    <n v="7"/>
    <d v="2020-01-01T00:00:00"/>
    <n v="4.9188787978693405E-4"/>
  </r>
  <r>
    <n v="10408"/>
    <n v="2020"/>
    <s v="fevereiro"/>
    <d v="2020-02-12T00:00:00"/>
    <x v="2"/>
    <x v="3"/>
    <s v="Product E"/>
    <n v="14"/>
    <n v="142"/>
    <n v="106500"/>
    <n v="15975"/>
    <n v="7"/>
    <d v="2020-01-01T00:00:00"/>
    <n v="5.3646758010556601E-4"/>
  </r>
  <r>
    <n v="10409"/>
    <n v="2020"/>
    <s v="fevereiro"/>
    <d v="2020-02-13T00:00:00"/>
    <x v="1"/>
    <x v="3"/>
    <s v="Product B"/>
    <n v="3"/>
    <n v="107"/>
    <n v="26750"/>
    <n v="12037.5"/>
    <n v="7"/>
    <d v="2020-01-01T00:00:00"/>
    <n v="1.3474655181055299E-4"/>
  </r>
  <r>
    <n v="10410"/>
    <n v="2020"/>
    <s v="fevereiro"/>
    <d v="2020-02-14T00:00:00"/>
    <x v="4"/>
    <x v="3"/>
    <s v="Product C"/>
    <n v="16"/>
    <n v="246"/>
    <n v="86100"/>
    <n v="24969"/>
    <n v="7"/>
    <d v="2020-01-01T00:00:00"/>
    <n v="4.3370759293041503E-4"/>
  </r>
  <r>
    <n v="10411"/>
    <n v="2020"/>
    <s v="fevereiro"/>
    <d v="2020-02-15T00:00:00"/>
    <x v="0"/>
    <x v="3"/>
    <s v="Product A"/>
    <n v="1"/>
    <n v="78"/>
    <n v="39000"/>
    <n v="13650"/>
    <n v="7"/>
    <d v="2020-01-01T00:00:00"/>
    <n v="1.96452916658376E-4"/>
  </r>
  <r>
    <n v="10412"/>
    <n v="2020"/>
    <s v="fevereiro"/>
    <d v="2020-02-16T00:00:00"/>
    <x v="4"/>
    <x v="0"/>
    <s v="Product D"/>
    <n v="2"/>
    <n v="98"/>
    <n v="83300"/>
    <n v="14994"/>
    <n v="8"/>
    <d v="2020-01-01T00:00:00"/>
    <n v="4.1960328096519799E-4"/>
  </r>
  <r>
    <n v="10413"/>
    <n v="2020"/>
    <s v="fevereiro"/>
    <d v="2020-02-17T00:00:00"/>
    <x v="3"/>
    <x v="1"/>
    <s v="Product A"/>
    <n v="1"/>
    <n v="16"/>
    <n v="8000"/>
    <n v="1920"/>
    <n v="8"/>
    <d v="2020-01-01T00:00:00"/>
    <n v="4.02980341863336E-5"/>
  </r>
  <r>
    <n v="10414"/>
    <n v="2020"/>
    <s v="fevereiro"/>
    <d v="2020-02-18T00:00:00"/>
    <x v="0"/>
    <x v="3"/>
    <s v="Product D"/>
    <n v="3"/>
    <n v="48"/>
    <n v="40800"/>
    <n v="6120"/>
    <n v="8"/>
    <d v="2020-01-01T00:00:00"/>
    <n v="2.05519974350301E-4"/>
  </r>
  <r>
    <n v="10415"/>
    <n v="2020"/>
    <s v="fevereiro"/>
    <d v="2020-02-19T00:00:00"/>
    <x v="4"/>
    <x v="0"/>
    <s v="Product D"/>
    <n v="1"/>
    <n v="63"/>
    <n v="53550"/>
    <n v="18207"/>
    <n v="8"/>
    <d v="2020-01-01T00:00:00"/>
    <n v="2.6974496633477E-4"/>
  </r>
  <r>
    <n v="10416"/>
    <n v="2020"/>
    <s v="fevereiro"/>
    <d v="2020-02-20T00:00:00"/>
    <x v="0"/>
    <x v="4"/>
    <s v="Product A"/>
    <n v="37"/>
    <n v="376"/>
    <n v="188000"/>
    <n v="24440"/>
    <n v="8"/>
    <d v="2020-01-01T00:00:00"/>
    <n v="9.4700380337883901E-4"/>
  </r>
  <r>
    <n v="10417"/>
    <n v="2020"/>
    <s v="fevereiro"/>
    <d v="2020-02-21T00:00:00"/>
    <x v="1"/>
    <x v="3"/>
    <s v="Product E"/>
    <n v="12"/>
    <n v="291"/>
    <n v="218250"/>
    <n v="65475"/>
    <n v="8"/>
    <d v="2020-01-01T00:00:00"/>
    <n v="1.0993807451459101E-3"/>
  </r>
  <r>
    <n v="10418"/>
    <n v="2020"/>
    <s v="fevereiro"/>
    <d v="2020-02-22T00:00:00"/>
    <x v="0"/>
    <x v="1"/>
    <s v="Product C"/>
    <n v="9"/>
    <n v="271"/>
    <n v="94850"/>
    <n v="19918.5"/>
    <n v="8"/>
    <d v="2020-01-01T00:00:00"/>
    <n v="4.7778356782171702E-4"/>
  </r>
  <r>
    <n v="10419"/>
    <n v="2020"/>
    <s v="fevereiro"/>
    <d v="2020-02-23T00:00:00"/>
    <x v="1"/>
    <x v="1"/>
    <s v="Product C"/>
    <n v="17"/>
    <n v="223"/>
    <n v="78050"/>
    <n v="25756.5"/>
    <n v="9"/>
    <d v="2020-01-01T00:00:00"/>
    <n v="3.9315769603041699E-4"/>
  </r>
  <r>
    <n v="10420"/>
    <n v="2020"/>
    <s v="fevereiro"/>
    <d v="2020-02-24T00:00:00"/>
    <x v="1"/>
    <x v="3"/>
    <s v="Product B"/>
    <n v="28"/>
    <n v="344"/>
    <n v="86000"/>
    <n v="18060"/>
    <n v="9"/>
    <d v="2020-01-01T00:00:00"/>
    <n v="4.3320386750308597E-4"/>
  </r>
  <r>
    <n v="10421"/>
    <n v="2020"/>
    <s v="fevereiro"/>
    <d v="2020-02-25T00:00:00"/>
    <x v="4"/>
    <x v="2"/>
    <s v="Product C"/>
    <n v="23"/>
    <n v="435"/>
    <n v="152250"/>
    <n v="18270"/>
    <n v="9"/>
    <d v="2020-01-01T00:00:00"/>
    <n v="7.6692196310866102E-4"/>
  </r>
  <r>
    <n v="10422"/>
    <n v="2020"/>
    <s v="fevereiro"/>
    <d v="2020-02-26T00:00:00"/>
    <x v="1"/>
    <x v="4"/>
    <s v="Product C"/>
    <n v="5"/>
    <n v="436"/>
    <n v="152600"/>
    <n v="16786"/>
    <n v="9"/>
    <d v="2020-01-01T00:00:00"/>
    <n v="7.68685002104313E-4"/>
  </r>
  <r>
    <n v="10423"/>
    <n v="2020"/>
    <s v="fevereiro"/>
    <d v="2020-02-27T00:00:00"/>
    <x v="2"/>
    <x v="4"/>
    <s v="Product B"/>
    <n v="35"/>
    <n v="472"/>
    <n v="118000"/>
    <n v="28320"/>
    <n v="9"/>
    <d v="2020-01-01T00:00:00"/>
    <n v="5.9439600424842005E-4"/>
  </r>
  <r>
    <n v="10424"/>
    <n v="2020"/>
    <s v="fevereiro"/>
    <d v="2020-02-28T00:00:00"/>
    <x v="3"/>
    <x v="0"/>
    <s v="Product D"/>
    <n v="6"/>
    <n v="178"/>
    <n v="151300"/>
    <n v="30260"/>
    <n v="9"/>
    <d v="2020-01-01T00:00:00"/>
    <n v="7.6213657154903397E-4"/>
  </r>
  <r>
    <n v="10425"/>
    <n v="2020"/>
    <s v="fevereiro"/>
    <d v="2020-02-29T00:00:00"/>
    <x v="0"/>
    <x v="4"/>
    <s v="Product B"/>
    <n v="30"/>
    <n v="363"/>
    <n v="90750"/>
    <n v="39930"/>
    <n v="9"/>
    <d v="2020-01-01T00:00:00"/>
    <n v="4.5713082530122198E-4"/>
  </r>
  <r>
    <n v="10426"/>
    <n v="2020"/>
    <s v="março"/>
    <d v="2020-03-01T00:00:00"/>
    <x v="0"/>
    <x v="1"/>
    <s v="Product D"/>
    <n v="1"/>
    <n v="24"/>
    <n v="20400"/>
    <n v="8568"/>
    <n v="10"/>
    <d v="2020-01-01T00:00:00"/>
    <n v="1.02759987175151E-4"/>
  </r>
  <r>
    <n v="10427"/>
    <n v="2020"/>
    <s v="março"/>
    <d v="2020-03-02T00:00:00"/>
    <x v="0"/>
    <x v="4"/>
    <s v="Product E"/>
    <n v="12"/>
    <n v="124"/>
    <n v="93000"/>
    <n v="32549.999999999996"/>
    <n v="10"/>
    <d v="2020-01-01T00:00:00"/>
    <n v="4.6846464741612801E-4"/>
  </r>
  <r>
    <n v="10428"/>
    <n v="2020"/>
    <s v="março"/>
    <d v="2020-03-03T00:00:00"/>
    <x v="0"/>
    <x v="3"/>
    <s v="Product D"/>
    <n v="35"/>
    <n v="429"/>
    <n v="364650"/>
    <n v="98455.5"/>
    <n v="10"/>
    <d v="2020-01-01T00:00:00"/>
    <n v="1.8368347707558199E-3"/>
  </r>
  <r>
    <n v="10429"/>
    <n v="2020"/>
    <s v="março"/>
    <d v="2020-03-04T00:00:00"/>
    <x v="4"/>
    <x v="4"/>
    <s v="Product B"/>
    <n v="25"/>
    <n v="338"/>
    <n v="84500"/>
    <n v="22815"/>
    <n v="10"/>
    <d v="2020-01-01T00:00:00"/>
    <n v="4.2564798609314803E-4"/>
  </r>
  <r>
    <n v="10430"/>
    <n v="2020"/>
    <s v="março"/>
    <d v="2020-03-05T00:00:00"/>
    <x v="1"/>
    <x v="3"/>
    <s v="Product C"/>
    <n v="15"/>
    <n v="175"/>
    <n v="61250"/>
    <n v="15925"/>
    <n v="10"/>
    <d v="2020-01-01T00:00:00"/>
    <n v="3.08531824239116E-4"/>
  </r>
  <r>
    <n v="10431"/>
    <n v="2020"/>
    <s v="março"/>
    <d v="2020-03-06T00:00:00"/>
    <x v="0"/>
    <x v="4"/>
    <s v="Product D"/>
    <n v="1"/>
    <n v="18"/>
    <n v="15300"/>
    <n v="6732"/>
    <n v="10"/>
    <d v="2020-01-01T00:00:00"/>
    <n v="7.7069990381362996E-5"/>
  </r>
  <r>
    <n v="10432"/>
    <n v="2020"/>
    <s v="março"/>
    <d v="2020-03-07T00:00:00"/>
    <x v="4"/>
    <x v="2"/>
    <s v="Product B"/>
    <n v="6"/>
    <n v="327"/>
    <n v="81750"/>
    <n v="30247.5"/>
    <n v="10"/>
    <d v="2020-01-01T00:00:00"/>
    <n v="4.1179553684159598E-4"/>
  </r>
  <r>
    <n v="10433"/>
    <n v="2020"/>
    <s v="março"/>
    <d v="2020-03-08T00:00:00"/>
    <x v="3"/>
    <x v="0"/>
    <s v="Product D"/>
    <n v="13"/>
    <n v="330"/>
    <n v="280500"/>
    <n v="100980"/>
    <n v="11"/>
    <d v="2020-01-01T00:00:00"/>
    <n v="1.4129498236583201E-3"/>
  </r>
  <r>
    <n v="10434"/>
    <n v="2020"/>
    <s v="março"/>
    <d v="2020-03-09T00:00:00"/>
    <x v="4"/>
    <x v="1"/>
    <s v="Product E"/>
    <n v="8"/>
    <n v="185"/>
    <n v="138750"/>
    <n v="36075"/>
    <n v="11"/>
    <d v="2020-01-01T00:00:00"/>
    <n v="6.9891903041922302E-4"/>
  </r>
  <r>
    <n v="10435"/>
    <n v="2020"/>
    <s v="março"/>
    <d v="2020-03-10T00:00:00"/>
    <x v="4"/>
    <x v="0"/>
    <s v="Product B"/>
    <n v="6"/>
    <n v="221"/>
    <n v="55250"/>
    <n v="8840"/>
    <n v="11"/>
    <d v="2020-01-01T00:00:00"/>
    <n v="2.78308298599366E-4"/>
  </r>
  <r>
    <n v="10436"/>
    <n v="2020"/>
    <s v="março"/>
    <d v="2020-03-11T00:00:00"/>
    <x v="4"/>
    <x v="0"/>
    <s v="Product C"/>
    <n v="22"/>
    <n v="475"/>
    <n v="166250"/>
    <n v="21612.5"/>
    <n v="11"/>
    <d v="2020-01-01T00:00:00"/>
    <n v="8.3744352293474498E-4"/>
  </r>
  <r>
    <n v="10437"/>
    <n v="2020"/>
    <s v="março"/>
    <d v="2020-03-12T00:00:00"/>
    <x v="3"/>
    <x v="1"/>
    <s v="Product B"/>
    <n v="6"/>
    <n v="246"/>
    <n v="61500"/>
    <n v="12300"/>
    <n v="11"/>
    <d v="2020-01-01T00:00:00"/>
    <n v="3.0979113780743898E-4"/>
  </r>
  <r>
    <n v="10438"/>
    <n v="2020"/>
    <s v="março"/>
    <d v="2020-03-13T00:00:00"/>
    <x v="3"/>
    <x v="3"/>
    <s v="Product C"/>
    <n v="23"/>
    <n v="326"/>
    <n v="114100"/>
    <n v="23961"/>
    <n v="11"/>
    <d v="2020-01-01T00:00:00"/>
    <n v="5.7475071258258296E-4"/>
  </r>
  <r>
    <n v="10439"/>
    <n v="2020"/>
    <s v="março"/>
    <d v="2020-03-14T00:00:00"/>
    <x v="3"/>
    <x v="4"/>
    <s v="Product D"/>
    <n v="2"/>
    <n v="39"/>
    <n v="33150"/>
    <n v="5967"/>
    <n v="11"/>
    <d v="2020-01-01T00:00:00"/>
    <n v="1.6698497915961999E-4"/>
  </r>
  <r>
    <n v="10440"/>
    <n v="2020"/>
    <s v="março"/>
    <d v="2020-03-15T00:00:00"/>
    <x v="4"/>
    <x v="0"/>
    <s v="Product A"/>
    <n v="1"/>
    <n v="11"/>
    <n v="5500"/>
    <n v="2200"/>
    <n v="12"/>
    <d v="2020-01-01T00:00:00"/>
    <n v="2.77048985031043E-5"/>
  </r>
  <r>
    <n v="10441"/>
    <n v="2020"/>
    <s v="março"/>
    <d v="2020-03-16T00:00:00"/>
    <x v="2"/>
    <x v="4"/>
    <s v="Product D"/>
    <n v="1"/>
    <n v="13"/>
    <n v="11050"/>
    <n v="2431"/>
    <n v="12"/>
    <d v="2020-01-01T00:00:00"/>
    <n v="5.5661659719873302E-5"/>
  </r>
  <r>
    <n v="10442"/>
    <n v="2020"/>
    <s v="março"/>
    <d v="2020-03-17T00:00:00"/>
    <x v="0"/>
    <x v="2"/>
    <s v="Product E"/>
    <n v="31"/>
    <n v="390"/>
    <n v="292500"/>
    <n v="40950.000000000007"/>
    <n v="12"/>
    <d v="2020-01-01T00:00:00"/>
    <n v="1.47339687493782E-3"/>
  </r>
  <r>
    <n v="10443"/>
    <n v="2020"/>
    <s v="março"/>
    <d v="2020-03-18T00:00:00"/>
    <x v="1"/>
    <x v="2"/>
    <s v="Product D"/>
    <n v="3"/>
    <n v="95"/>
    <n v="80750"/>
    <n v="9690"/>
    <n v="12"/>
    <d v="2020-01-01T00:00:00"/>
    <n v="4.0675828256830497E-4"/>
  </r>
  <r>
    <n v="10444"/>
    <n v="2020"/>
    <s v="março"/>
    <d v="2020-03-19T00:00:00"/>
    <x v="3"/>
    <x v="4"/>
    <s v="Product C"/>
    <n v="21"/>
    <n v="294"/>
    <n v="102900"/>
    <n v="45276"/>
    <n v="12"/>
    <d v="2020-01-01T00:00:00"/>
    <n v="5.1833346472171602E-4"/>
  </r>
  <r>
    <n v="10445"/>
    <n v="2020"/>
    <s v="março"/>
    <d v="2020-03-20T00:00:00"/>
    <x v="1"/>
    <x v="1"/>
    <s v="Product C"/>
    <n v="28"/>
    <n v="413"/>
    <n v="144550"/>
    <n v="57820"/>
    <n v="12"/>
    <d v="2020-01-01T00:00:00"/>
    <n v="7.2813510520431497E-4"/>
  </r>
  <r>
    <n v="10446"/>
    <n v="2020"/>
    <s v="março"/>
    <d v="2020-03-21T00:00:00"/>
    <x v="3"/>
    <x v="1"/>
    <s v="Product B"/>
    <n v="9"/>
    <n v="103"/>
    <n v="25750"/>
    <n v="10300"/>
    <n v="12"/>
    <d v="2020-01-01T00:00:00"/>
    <n v="1.2970929753726101E-4"/>
  </r>
  <r>
    <n v="10447"/>
    <n v="2020"/>
    <s v="março"/>
    <d v="2020-03-22T00:00:00"/>
    <x v="1"/>
    <x v="4"/>
    <s v="Product B"/>
    <n v="6"/>
    <n v="177"/>
    <n v="44250"/>
    <n v="9292.5"/>
    <n v="13"/>
    <d v="2020-01-01T00:00:00"/>
    <n v="2.2289850159315801E-4"/>
  </r>
  <r>
    <n v="10448"/>
    <n v="2020"/>
    <s v="março"/>
    <d v="2020-03-23T00:00:00"/>
    <x v="3"/>
    <x v="3"/>
    <s v="Product B"/>
    <n v="2"/>
    <n v="104"/>
    <n v="26000"/>
    <n v="2600"/>
    <n v="13"/>
    <d v="2020-01-01T00:00:00"/>
    <n v="1.3096861110558399E-4"/>
  </r>
  <r>
    <n v="10449"/>
    <n v="2020"/>
    <s v="março"/>
    <d v="2020-03-24T00:00:00"/>
    <x v="4"/>
    <x v="4"/>
    <s v="Product C"/>
    <n v="28"/>
    <n v="294"/>
    <n v="102900"/>
    <n v="28812.000000000004"/>
    <n v="13"/>
    <d v="2020-01-01T00:00:00"/>
    <n v="5.1833346472171602E-4"/>
  </r>
  <r>
    <n v="10450"/>
    <n v="2020"/>
    <s v="março"/>
    <d v="2020-03-25T00:00:00"/>
    <x v="2"/>
    <x v="3"/>
    <s v="Product E"/>
    <n v="4"/>
    <n v="44"/>
    <n v="33000"/>
    <n v="8910"/>
    <n v="13"/>
    <d v="2020-01-01T00:00:00"/>
    <n v="1.66229391018626E-4"/>
  </r>
  <r>
    <n v="10451"/>
    <n v="2020"/>
    <s v="março"/>
    <d v="2020-03-26T00:00:00"/>
    <x v="4"/>
    <x v="0"/>
    <s v="Product A"/>
    <n v="10"/>
    <n v="337"/>
    <n v="168500"/>
    <n v="23590.000000000004"/>
    <n v="13"/>
    <d v="2020-01-01T00:00:00"/>
    <n v="8.4877734504965096E-4"/>
  </r>
  <r>
    <n v="10452"/>
    <n v="2020"/>
    <s v="março"/>
    <d v="2020-03-27T00:00:00"/>
    <x v="3"/>
    <x v="0"/>
    <s v="Product C"/>
    <n v="10"/>
    <n v="339"/>
    <n v="118650"/>
    <n v="26103"/>
    <n v="13"/>
    <d v="2020-01-01T00:00:00"/>
    <n v="5.9767021952606E-4"/>
  </r>
  <r>
    <n v="10453"/>
    <n v="2020"/>
    <s v="março"/>
    <d v="2020-03-28T00:00:00"/>
    <x v="1"/>
    <x v="3"/>
    <s v="Product D"/>
    <n v="10"/>
    <n v="331"/>
    <n v="281350"/>
    <n v="118167"/>
    <n v="13"/>
    <d v="2020-01-01T00:00:00"/>
    <n v="1.4172314897906201E-3"/>
  </r>
  <r>
    <n v="10454"/>
    <n v="2020"/>
    <s v="março"/>
    <d v="2020-03-29T00:00:00"/>
    <x v="2"/>
    <x v="3"/>
    <s v="Product E"/>
    <n v="19"/>
    <n v="444"/>
    <n v="333000"/>
    <n v="123210"/>
    <n v="14"/>
    <d v="2020-01-01T00:00:00"/>
    <n v="1.6774056730061401E-3"/>
  </r>
  <r>
    <n v="10455"/>
    <n v="2020"/>
    <s v="março"/>
    <d v="2020-03-30T00:00:00"/>
    <x v="2"/>
    <x v="2"/>
    <s v="Product B"/>
    <n v="15"/>
    <n v="173"/>
    <n v="43250"/>
    <n v="6055.0000000000009"/>
    <n v="14"/>
    <d v="2020-01-01T00:00:00"/>
    <n v="2.17861247319866E-4"/>
  </r>
  <r>
    <n v="10456"/>
    <n v="2020"/>
    <s v="março"/>
    <d v="2020-03-31T00:00:00"/>
    <x v="0"/>
    <x v="2"/>
    <s v="Product E"/>
    <n v="1"/>
    <n v="32"/>
    <n v="24000"/>
    <n v="2880"/>
    <n v="14"/>
    <d v="2020-01-01T00:00:00"/>
    <n v="1.20894102559001E-4"/>
  </r>
  <r>
    <n v="10457"/>
    <n v="2020"/>
    <s v="abril"/>
    <d v="2020-04-01T00:00:00"/>
    <x v="3"/>
    <x v="1"/>
    <s v="Product B"/>
    <n v="13"/>
    <n v="500"/>
    <n v="125000"/>
    <n v="28750"/>
    <n v="14"/>
    <d v="2020-04-01T00:00:00"/>
    <n v="6.2965678416146203E-4"/>
  </r>
  <r>
    <n v="10458"/>
    <n v="2020"/>
    <s v="abril"/>
    <d v="2020-04-02T00:00:00"/>
    <x v="3"/>
    <x v="1"/>
    <s v="Product C"/>
    <n v="8"/>
    <n v="116"/>
    <n v="40600"/>
    <n v="6496"/>
    <n v="14"/>
    <d v="2020-04-01T00:00:00"/>
    <n v="2.04512523495643E-4"/>
  </r>
  <r>
    <n v="10459"/>
    <n v="2020"/>
    <s v="abril"/>
    <d v="2020-04-03T00:00:00"/>
    <x v="2"/>
    <x v="0"/>
    <s v="Product D"/>
    <n v="35"/>
    <n v="386"/>
    <n v="328100"/>
    <n v="137802"/>
    <n v="14"/>
    <d v="2020-04-01T00:00:00"/>
    <n v="1.6527231270670099E-3"/>
  </r>
  <r>
    <n v="10460"/>
    <n v="2020"/>
    <s v="abril"/>
    <d v="2020-04-04T00:00:00"/>
    <x v="3"/>
    <x v="3"/>
    <s v="Product C"/>
    <n v="9"/>
    <n v="384"/>
    <n v="134400"/>
    <n v="22848"/>
    <n v="14"/>
    <d v="2020-04-01T00:00:00"/>
    <n v="6.7700697433040397E-4"/>
  </r>
  <r>
    <n v="10461"/>
    <n v="2020"/>
    <s v="abril"/>
    <d v="2020-04-05T00:00:00"/>
    <x v="3"/>
    <x v="1"/>
    <s v="Product D"/>
    <n v="25"/>
    <n v="418"/>
    <n v="355300"/>
    <n v="78166"/>
    <n v="15"/>
    <d v="2020-04-01T00:00:00"/>
    <n v="1.78973644330054E-3"/>
  </r>
  <r>
    <n v="10462"/>
    <n v="2020"/>
    <s v="abril"/>
    <d v="2020-04-06T00:00:00"/>
    <x v="4"/>
    <x v="3"/>
    <s v="Product C"/>
    <n v="5"/>
    <n v="115"/>
    <n v="40250"/>
    <n v="8452.5"/>
    <n v="15"/>
    <d v="2020-04-01T00:00:00"/>
    <n v="2.02749484499991E-4"/>
  </r>
  <r>
    <n v="10463"/>
    <n v="2020"/>
    <s v="abril"/>
    <d v="2020-04-07T00:00:00"/>
    <x v="3"/>
    <x v="3"/>
    <s v="Product D"/>
    <n v="14"/>
    <n v="152"/>
    <n v="129200"/>
    <n v="25840"/>
    <n v="15"/>
    <d v="2020-04-01T00:00:00"/>
    <n v="6.5081325210928698E-4"/>
  </r>
  <r>
    <n v="10464"/>
    <n v="2020"/>
    <s v="abril"/>
    <d v="2020-04-08T00:00:00"/>
    <x v="2"/>
    <x v="2"/>
    <s v="Product E"/>
    <n v="5"/>
    <n v="362"/>
    <n v="271500"/>
    <n v="40725"/>
    <n v="15"/>
    <d v="2020-04-01T00:00:00"/>
    <n v="1.3676145351987001E-3"/>
  </r>
  <r>
    <n v="10465"/>
    <n v="2020"/>
    <s v="abril"/>
    <d v="2020-04-09T00:00:00"/>
    <x v="0"/>
    <x v="1"/>
    <s v="Product D"/>
    <n v="12"/>
    <n v="405"/>
    <n v="344250"/>
    <n v="130815"/>
    <n v="15"/>
    <d v="2020-04-01T00:00:00"/>
    <n v="1.7340747835806699E-3"/>
  </r>
  <r>
    <n v="10466"/>
    <n v="2020"/>
    <s v="abril"/>
    <d v="2020-04-10T00:00:00"/>
    <x v="2"/>
    <x v="4"/>
    <s v="Product C"/>
    <n v="6"/>
    <n v="90"/>
    <n v="31500"/>
    <n v="8190"/>
    <n v="15"/>
    <d v="2020-04-01T00:00:00"/>
    <n v="1.58673509608688E-4"/>
  </r>
  <r>
    <n v="10467"/>
    <n v="2020"/>
    <s v="abril"/>
    <d v="2020-04-11T00:00:00"/>
    <x v="4"/>
    <x v="3"/>
    <s v="Product A"/>
    <n v="26"/>
    <n v="339"/>
    <n v="169500"/>
    <n v="74580"/>
    <n v="15"/>
    <d v="2020-04-01T00:00:00"/>
    <n v="8.5381459932294299E-4"/>
  </r>
  <r>
    <n v="10468"/>
    <n v="2020"/>
    <s v="abril"/>
    <d v="2020-04-12T00:00:00"/>
    <x v="1"/>
    <x v="4"/>
    <s v="Product E"/>
    <n v="8"/>
    <n v="152"/>
    <n v="114000"/>
    <n v="15960.000000000002"/>
    <n v="16"/>
    <d v="2020-04-01T00:00:00"/>
    <n v="5.7424698715525298E-4"/>
  </r>
  <r>
    <n v="10469"/>
    <n v="2020"/>
    <s v="abril"/>
    <d v="2020-04-13T00:00:00"/>
    <x v="1"/>
    <x v="2"/>
    <s v="Product E"/>
    <n v="42"/>
    <n v="484"/>
    <n v="363000"/>
    <n v="152460"/>
    <n v="16"/>
    <d v="2020-04-01T00:00:00"/>
    <n v="1.8285233012048901E-3"/>
  </r>
  <r>
    <n v="10470"/>
    <n v="2020"/>
    <s v="abril"/>
    <d v="2020-04-14T00:00:00"/>
    <x v="0"/>
    <x v="4"/>
    <s v="Product B"/>
    <n v="1"/>
    <n v="61"/>
    <n v="15250"/>
    <n v="3660"/>
    <n v="16"/>
    <d v="2020-04-01T00:00:00"/>
    <n v="7.6818127667698403E-5"/>
  </r>
  <r>
    <n v="10471"/>
    <n v="2020"/>
    <s v="abril"/>
    <d v="2020-04-15T00:00:00"/>
    <x v="3"/>
    <x v="1"/>
    <s v="Product B"/>
    <n v="14"/>
    <n v="292"/>
    <n v="73000"/>
    <n v="8030"/>
    <n v="16"/>
    <d v="2020-04-01T00:00:00"/>
    <n v="3.6771956195029399E-4"/>
  </r>
  <r>
    <n v="10472"/>
    <n v="2020"/>
    <s v="abril"/>
    <d v="2020-04-16T00:00:00"/>
    <x v="3"/>
    <x v="0"/>
    <s v="Product A"/>
    <n v="22"/>
    <n v="375"/>
    <n v="187500"/>
    <n v="48750"/>
    <n v="16"/>
    <d v="2020-04-01T00:00:00"/>
    <n v="9.4448517624219305E-4"/>
  </r>
  <r>
    <n v="10473"/>
    <n v="2020"/>
    <s v="abril"/>
    <d v="2020-04-17T00:00:00"/>
    <x v="4"/>
    <x v="0"/>
    <s v="Product B"/>
    <n v="2"/>
    <n v="74"/>
    <n v="18500"/>
    <n v="6475"/>
    <n v="16"/>
    <d v="2020-04-01T00:00:00"/>
    <n v="9.3189204055896398E-5"/>
  </r>
  <r>
    <n v="10474"/>
    <n v="2020"/>
    <s v="abril"/>
    <d v="2020-04-18T00:00:00"/>
    <x v="2"/>
    <x v="3"/>
    <s v="Product B"/>
    <n v="6"/>
    <n v="70"/>
    <n v="17500"/>
    <n v="3325"/>
    <n v="16"/>
    <d v="2020-04-01T00:00:00"/>
    <n v="8.81519497826047E-5"/>
  </r>
  <r>
    <n v="10475"/>
    <n v="2020"/>
    <s v="abril"/>
    <d v="2020-04-19T00:00:00"/>
    <x v="3"/>
    <x v="0"/>
    <s v="Product D"/>
    <n v="11"/>
    <n v="367"/>
    <n v="311950"/>
    <n v="49912"/>
    <n v="17"/>
    <d v="2020-04-01T00:00:00"/>
    <n v="1.57137147055334E-3"/>
  </r>
  <r>
    <n v="10476"/>
    <n v="2020"/>
    <s v="abril"/>
    <d v="2020-04-20T00:00:00"/>
    <x v="1"/>
    <x v="3"/>
    <s v="Product E"/>
    <n v="21"/>
    <n v="395"/>
    <n v="296250"/>
    <n v="85912.5"/>
    <n v="17"/>
    <d v="2020-04-01T00:00:00"/>
    <n v="1.4922865784626699E-3"/>
  </r>
  <r>
    <n v="10477"/>
    <n v="2020"/>
    <s v="abril"/>
    <d v="2020-04-21T00:00:00"/>
    <x v="4"/>
    <x v="4"/>
    <s v="Product A"/>
    <n v="4"/>
    <n v="211"/>
    <n v="105500"/>
    <n v="13715"/>
    <n v="17"/>
    <d v="2020-04-01T00:00:00"/>
    <n v="5.3143032583227398E-4"/>
  </r>
  <r>
    <n v="10478"/>
    <n v="2020"/>
    <s v="abril"/>
    <d v="2020-04-22T00:00:00"/>
    <x v="1"/>
    <x v="1"/>
    <s v="Product D"/>
    <n v="2"/>
    <n v="37"/>
    <n v="31450"/>
    <n v="9749.5"/>
    <n v="17"/>
    <d v="2020-04-01T00:00:00"/>
    <n v="1.5842164689502399E-4"/>
  </r>
  <r>
    <n v="10479"/>
    <n v="2020"/>
    <s v="abril"/>
    <d v="2020-04-23T00:00:00"/>
    <x v="3"/>
    <x v="2"/>
    <s v="Product C"/>
    <n v="5"/>
    <n v="150"/>
    <n v="52500"/>
    <n v="6825"/>
    <n v="17"/>
    <d v="2020-04-01T00:00:00"/>
    <n v="2.6445584934781401E-4"/>
  </r>
  <r>
    <n v="10480"/>
    <n v="2020"/>
    <s v="abril"/>
    <d v="2020-04-24T00:00:00"/>
    <x v="2"/>
    <x v="4"/>
    <s v="Product D"/>
    <n v="3"/>
    <n v="133"/>
    <n v="113050"/>
    <n v="39567.5"/>
    <n v="17"/>
    <d v="2020-04-01T00:00:00"/>
    <n v="5.6946159559562604E-4"/>
  </r>
  <r>
    <n v="10481"/>
    <n v="2020"/>
    <s v="abril"/>
    <d v="2020-04-25T00:00:00"/>
    <x v="3"/>
    <x v="2"/>
    <s v="Product D"/>
    <n v="21"/>
    <n v="359"/>
    <n v="305150"/>
    <n v="82390.5"/>
    <n v="17"/>
    <d v="2020-04-01T00:00:00"/>
    <n v="1.5371181414949599E-3"/>
  </r>
  <r>
    <n v="10482"/>
    <n v="2020"/>
    <s v="abril"/>
    <d v="2020-04-26T00:00:00"/>
    <x v="0"/>
    <x v="2"/>
    <s v="Product C"/>
    <n v="14"/>
    <n v="229"/>
    <n v="80150"/>
    <n v="36067.5"/>
    <n v="18"/>
    <d v="2020-04-01T00:00:00"/>
    <n v="4.0373593000433001E-4"/>
  </r>
  <r>
    <n v="10483"/>
    <n v="2020"/>
    <s v="abril"/>
    <d v="2020-04-27T00:00:00"/>
    <x v="1"/>
    <x v="2"/>
    <s v="Product B"/>
    <n v="1"/>
    <n v="22"/>
    <n v="5500"/>
    <n v="1980"/>
    <n v="18"/>
    <d v="2020-04-01T00:00:00"/>
    <n v="2.77048985031043E-5"/>
  </r>
  <r>
    <n v="10484"/>
    <n v="2020"/>
    <s v="abril"/>
    <d v="2020-04-28T00:00:00"/>
    <x v="1"/>
    <x v="0"/>
    <s v="Product A"/>
    <n v="2"/>
    <n v="41"/>
    <n v="20500"/>
    <n v="6355"/>
    <n v="18"/>
    <d v="2020-04-01T00:00:00"/>
    <n v="1.0326371260248E-4"/>
  </r>
  <r>
    <n v="10485"/>
    <n v="2020"/>
    <s v="abril"/>
    <d v="2020-04-29T00:00:00"/>
    <x v="2"/>
    <x v="1"/>
    <s v="Product B"/>
    <n v="4"/>
    <n v="277"/>
    <n v="69250"/>
    <n v="24930"/>
    <n v="18"/>
    <d v="2020-04-01T00:00:00"/>
    <n v="3.4882985842545002E-4"/>
  </r>
  <r>
    <n v="10486"/>
    <n v="2020"/>
    <s v="abril"/>
    <d v="2020-04-30T00:00:00"/>
    <x v="0"/>
    <x v="2"/>
    <s v="Product C"/>
    <n v="26"/>
    <n v="406"/>
    <n v="142100"/>
    <n v="21315"/>
    <n v="18"/>
    <d v="2020-04-01T00:00:00"/>
    <n v="7.1579383223475002E-4"/>
  </r>
  <r>
    <n v="10487"/>
    <n v="2020"/>
    <s v="maio"/>
    <d v="2020-05-01T00:00:00"/>
    <x v="1"/>
    <x v="0"/>
    <s v="Product E"/>
    <n v="39"/>
    <n v="396"/>
    <n v="297000"/>
    <n v="38610"/>
    <n v="18"/>
    <d v="2020-04-01T00:00:00"/>
    <n v="1.49606451916763E-3"/>
  </r>
  <r>
    <n v="10488"/>
    <n v="2020"/>
    <s v="maio"/>
    <d v="2020-05-02T00:00:00"/>
    <x v="2"/>
    <x v="4"/>
    <s v="Product D"/>
    <n v="27"/>
    <n v="401"/>
    <n v="340850"/>
    <n v="71578.5"/>
    <n v="18"/>
    <d v="2020-04-01T00:00:00"/>
    <n v="1.7169481190514801E-3"/>
  </r>
  <r>
    <n v="10489"/>
    <n v="2020"/>
    <s v="maio"/>
    <d v="2020-05-03T00:00:00"/>
    <x v="2"/>
    <x v="4"/>
    <s v="Product B"/>
    <n v="1"/>
    <n v="27"/>
    <n v="6750"/>
    <n v="2700"/>
    <n v="19"/>
    <d v="2020-04-01T00:00:00"/>
    <n v="3.4001466344719001E-5"/>
  </r>
  <r>
    <n v="10490"/>
    <n v="2020"/>
    <s v="maio"/>
    <d v="2020-05-04T00:00:00"/>
    <x v="0"/>
    <x v="2"/>
    <s v="Product B"/>
    <n v="12"/>
    <n v="450"/>
    <n v="112500"/>
    <n v="20250"/>
    <n v="19"/>
    <d v="2020-04-01T00:00:00"/>
    <n v="5.6669110574531596E-4"/>
  </r>
  <r>
    <n v="10491"/>
    <n v="2020"/>
    <s v="maio"/>
    <d v="2020-05-05T00:00:00"/>
    <x v="4"/>
    <x v="1"/>
    <s v="Product D"/>
    <n v="26"/>
    <n v="298"/>
    <n v="253300"/>
    <n v="53193"/>
    <n v="19"/>
    <d v="2020-04-01T00:00:00"/>
    <n v="1.27593650742479E-3"/>
  </r>
  <r>
    <n v="10492"/>
    <n v="2020"/>
    <s v="maio"/>
    <d v="2020-05-06T00:00:00"/>
    <x v="0"/>
    <x v="4"/>
    <s v="Product E"/>
    <n v="8"/>
    <n v="91"/>
    <n v="68250"/>
    <n v="6825"/>
    <n v="19"/>
    <d v="2020-04-01T00:00:00"/>
    <n v="3.4379260415215798E-4"/>
  </r>
  <r>
    <n v="10493"/>
    <n v="2020"/>
    <s v="maio"/>
    <d v="2020-05-07T00:00:00"/>
    <x v="3"/>
    <x v="2"/>
    <s v="Product E"/>
    <n v="35"/>
    <n v="399"/>
    <n v="299250"/>
    <n v="62842.5"/>
    <n v="19"/>
    <d v="2020-04-01T00:00:00"/>
    <n v="1.5073983412825401E-3"/>
  </r>
  <r>
    <n v="10494"/>
    <n v="2020"/>
    <s v="maio"/>
    <d v="2020-05-08T00:00:00"/>
    <x v="1"/>
    <x v="0"/>
    <s v="Product B"/>
    <n v="14"/>
    <n v="345"/>
    <n v="86250"/>
    <n v="25012.5"/>
    <n v="19"/>
    <d v="2020-04-01T00:00:00"/>
    <n v="4.3446318107140901E-4"/>
  </r>
  <r>
    <n v="10495"/>
    <n v="2020"/>
    <s v="maio"/>
    <d v="2020-05-09T00:00:00"/>
    <x v="0"/>
    <x v="0"/>
    <s v="Product C"/>
    <n v="7"/>
    <n v="265"/>
    <n v="92750"/>
    <n v="20405"/>
    <n v="19"/>
    <d v="2020-04-01T00:00:00"/>
    <n v="4.6720533384780497E-4"/>
  </r>
  <r>
    <n v="10496"/>
    <n v="2020"/>
    <s v="maio"/>
    <d v="2020-05-10T00:00:00"/>
    <x v="3"/>
    <x v="2"/>
    <s v="Product E"/>
    <n v="13"/>
    <n v="422"/>
    <n v="316500"/>
    <n v="75960"/>
    <n v="20"/>
    <d v="2020-04-01T00:00:00"/>
    <n v="1.59429097749682E-3"/>
  </r>
  <r>
    <n v="10497"/>
    <n v="2020"/>
    <s v="maio"/>
    <d v="2020-05-11T00:00:00"/>
    <x v="4"/>
    <x v="0"/>
    <s v="Product A"/>
    <n v="36"/>
    <n v="486"/>
    <n v="243000"/>
    <n v="65610"/>
    <n v="20"/>
    <d v="2020-04-01T00:00:00"/>
    <n v="1.2240527884098799E-3"/>
  </r>
  <r>
    <n v="10498"/>
    <n v="2020"/>
    <s v="maio"/>
    <d v="2020-05-12T00:00:00"/>
    <x v="3"/>
    <x v="4"/>
    <s v="Product D"/>
    <n v="1"/>
    <n v="11"/>
    <n v="9350"/>
    <n v="2431"/>
    <n v="20"/>
    <d v="2020-04-01T00:00:00"/>
    <n v="4.70983274552774E-5"/>
  </r>
  <r>
    <n v="10499"/>
    <n v="2020"/>
    <s v="maio"/>
    <d v="2020-05-13T00:00:00"/>
    <x v="4"/>
    <x v="2"/>
    <s v="Product C"/>
    <n v="21"/>
    <n v="357"/>
    <n v="124950"/>
    <n v="43732.5"/>
    <n v="20"/>
    <d v="2020-04-01T00:00:00"/>
    <n v="6.2940492144779802E-4"/>
  </r>
  <r>
    <n v="10500"/>
    <n v="2020"/>
    <s v="maio"/>
    <d v="2020-05-14T00:00:00"/>
    <x v="3"/>
    <x v="1"/>
    <s v="Product D"/>
    <n v="14"/>
    <n v="188"/>
    <n v="159800"/>
    <n v="43146"/>
    <n v="20"/>
    <d v="2020-04-01T00:00:00"/>
    <n v="8.0495323287201298E-4"/>
  </r>
  <r>
    <n v="10501"/>
    <n v="2020"/>
    <s v="maio"/>
    <d v="2020-05-15T00:00:00"/>
    <x v="0"/>
    <x v="0"/>
    <s v="Product A"/>
    <n v="14"/>
    <n v="144"/>
    <n v="72000"/>
    <n v="10080.000000000002"/>
    <n v="20"/>
    <d v="2020-04-01T00:00:00"/>
    <n v="3.6268230767700201E-4"/>
  </r>
  <r>
    <n v="10502"/>
    <n v="2020"/>
    <s v="maio"/>
    <d v="2020-05-16T00:00:00"/>
    <x v="2"/>
    <x v="3"/>
    <s v="Product B"/>
    <n v="18"/>
    <n v="218"/>
    <n v="54500"/>
    <n v="9810"/>
    <n v="20"/>
    <d v="2020-04-01T00:00:00"/>
    <n v="2.74530357894397E-4"/>
  </r>
  <r>
    <n v="10503"/>
    <n v="2020"/>
    <s v="maio"/>
    <d v="2020-05-17T00:00:00"/>
    <x v="1"/>
    <x v="3"/>
    <s v="Product A"/>
    <n v="3"/>
    <n v="119"/>
    <n v="59500"/>
    <n v="11900"/>
    <n v="21"/>
    <d v="2020-04-01T00:00:00"/>
    <n v="2.9971662926085599E-4"/>
  </r>
  <r>
    <n v="10504"/>
    <n v="2020"/>
    <s v="maio"/>
    <d v="2020-05-18T00:00:00"/>
    <x v="1"/>
    <x v="0"/>
    <s v="Product B"/>
    <n v="13"/>
    <n v="339"/>
    <n v="84750"/>
    <n v="21187.5"/>
    <n v="21"/>
    <d v="2020-04-01T00:00:00"/>
    <n v="4.2690729966147101E-4"/>
  </r>
  <r>
    <n v="10505"/>
    <n v="2020"/>
    <s v="maio"/>
    <d v="2020-05-19T00:00:00"/>
    <x v="2"/>
    <x v="1"/>
    <s v="Product A"/>
    <n v="10"/>
    <n v="276"/>
    <n v="138000"/>
    <n v="20700"/>
    <n v="21"/>
    <d v="2020-04-01T00:00:00"/>
    <n v="6.9514108971425396E-4"/>
  </r>
  <r>
    <n v="10506"/>
    <n v="2020"/>
    <s v="maio"/>
    <d v="2020-05-20T00:00:00"/>
    <x v="3"/>
    <x v="3"/>
    <s v="Product D"/>
    <n v="10"/>
    <n v="256"/>
    <n v="217600"/>
    <n v="65280"/>
    <n v="21"/>
    <d v="2020-04-01T00:00:00"/>
    <n v="1.09610652986827E-3"/>
  </r>
  <r>
    <n v="10507"/>
    <n v="2020"/>
    <s v="maio"/>
    <d v="2020-05-21T00:00:00"/>
    <x v="0"/>
    <x v="1"/>
    <s v="Product A"/>
    <n v="3"/>
    <n v="90"/>
    <n v="45000"/>
    <n v="18900"/>
    <n v="21"/>
    <d v="2020-04-01T00:00:00"/>
    <n v="2.26676442298126E-4"/>
  </r>
  <r>
    <n v="10508"/>
    <n v="2020"/>
    <s v="maio"/>
    <d v="2020-05-22T00:00:00"/>
    <x v="2"/>
    <x v="0"/>
    <s v="Product C"/>
    <n v="8"/>
    <n v="223"/>
    <n v="78050"/>
    <n v="11707.5"/>
    <n v="21"/>
    <d v="2020-04-01T00:00:00"/>
    <n v="3.9315769603041699E-4"/>
  </r>
  <r>
    <n v="10509"/>
    <n v="2020"/>
    <s v="maio"/>
    <d v="2020-05-23T00:00:00"/>
    <x v="4"/>
    <x v="1"/>
    <s v="Product E"/>
    <n v="5"/>
    <n v="197"/>
    <n v="147750"/>
    <n v="48757.5"/>
    <n v="21"/>
    <d v="2020-04-01T00:00:00"/>
    <n v="7.4425431887884799E-4"/>
  </r>
  <r>
    <n v="10510"/>
    <n v="2020"/>
    <s v="maio"/>
    <d v="2020-05-24T00:00:00"/>
    <x v="1"/>
    <x v="1"/>
    <s v="Product D"/>
    <n v="12"/>
    <n v="298"/>
    <n v="253300"/>
    <n v="103853"/>
    <n v="22"/>
    <d v="2020-04-01T00:00:00"/>
    <n v="1.27593650742479E-3"/>
  </r>
  <r>
    <n v="10511"/>
    <n v="2020"/>
    <s v="maio"/>
    <d v="2020-05-25T00:00:00"/>
    <x v="4"/>
    <x v="4"/>
    <s v="Product E"/>
    <n v="30"/>
    <n v="409"/>
    <n v="306750"/>
    <n v="61350"/>
    <n v="22"/>
    <d v="2020-04-01T00:00:00"/>
    <n v="1.54517774833223E-3"/>
  </r>
  <r>
    <n v="10512"/>
    <n v="2020"/>
    <s v="maio"/>
    <d v="2020-05-26T00:00:00"/>
    <x v="3"/>
    <x v="3"/>
    <s v="Product A"/>
    <n v="25"/>
    <n v="379"/>
    <n v="189500"/>
    <n v="85275"/>
    <n v="22"/>
    <d v="2020-04-01T00:00:00"/>
    <n v="9.5455968478877701E-4"/>
  </r>
  <r>
    <n v="10513"/>
    <n v="2020"/>
    <s v="maio"/>
    <d v="2020-05-27T00:00:00"/>
    <x v="3"/>
    <x v="3"/>
    <s v="Product C"/>
    <n v="3"/>
    <n v="119"/>
    <n v="41650"/>
    <n v="6664"/>
    <n v="22"/>
    <d v="2020-04-01T00:00:00"/>
    <n v="2.09801640482599E-4"/>
  </r>
  <r>
    <n v="10514"/>
    <n v="2020"/>
    <s v="maio"/>
    <d v="2020-05-28T00:00:00"/>
    <x v="1"/>
    <x v="2"/>
    <s v="Product E"/>
    <n v="7"/>
    <n v="153"/>
    <n v="114750"/>
    <n v="47047.5"/>
    <n v="22"/>
    <d v="2020-04-01T00:00:00"/>
    <n v="5.7802492786022204E-4"/>
  </r>
  <r>
    <n v="10515"/>
    <n v="2020"/>
    <s v="maio"/>
    <d v="2020-05-29T00:00:00"/>
    <x v="1"/>
    <x v="3"/>
    <s v="Product C"/>
    <n v="24"/>
    <n v="265"/>
    <n v="92750"/>
    <n v="27825"/>
    <n v="22"/>
    <d v="2020-04-01T00:00:00"/>
    <n v="4.6720533384780497E-4"/>
  </r>
  <r>
    <n v="10516"/>
    <n v="2020"/>
    <s v="maio"/>
    <d v="2020-05-30T00:00:00"/>
    <x v="3"/>
    <x v="0"/>
    <s v="Product D"/>
    <n v="11"/>
    <n v="113"/>
    <n v="96050"/>
    <n v="24973"/>
    <n v="22"/>
    <d v="2020-04-01T00:00:00"/>
    <n v="4.8382827294966802E-4"/>
  </r>
  <r>
    <n v="10517"/>
    <n v="2020"/>
    <s v="maio"/>
    <d v="2020-05-31T00:00:00"/>
    <x v="0"/>
    <x v="1"/>
    <s v="Product A"/>
    <n v="11"/>
    <n v="196"/>
    <n v="98000"/>
    <n v="31360"/>
    <n v="23"/>
    <d v="2020-04-01T00:00:00"/>
    <n v="4.9365091878258603E-4"/>
  </r>
  <r>
    <n v="10518"/>
    <n v="2020"/>
    <s v="junho"/>
    <d v="2020-06-01T00:00:00"/>
    <x v="1"/>
    <x v="3"/>
    <s v="Product A"/>
    <n v="4"/>
    <n v="107"/>
    <n v="53500"/>
    <n v="12305"/>
    <n v="23"/>
    <d v="2020-04-01T00:00:00"/>
    <n v="2.6949310362110599E-4"/>
  </r>
  <r>
    <n v="10519"/>
    <n v="2020"/>
    <s v="junho"/>
    <d v="2020-06-02T00:00:00"/>
    <x v="0"/>
    <x v="4"/>
    <s v="Product A"/>
    <n v="11"/>
    <n v="130"/>
    <n v="65000"/>
    <n v="25350"/>
    <n v="23"/>
    <d v="2020-04-01T00:00:00"/>
    <n v="3.2742152776396002E-4"/>
  </r>
  <r>
    <n v="10520"/>
    <n v="2020"/>
    <s v="junho"/>
    <d v="2020-06-03T00:00:00"/>
    <x v="2"/>
    <x v="3"/>
    <s v="Product D"/>
    <n v="28"/>
    <n v="285"/>
    <n v="242250"/>
    <n v="33915"/>
    <n v="23"/>
    <d v="2020-04-01T00:00:00"/>
    <n v="1.2202748477049101E-3"/>
  </r>
  <r>
    <n v="10521"/>
    <n v="2020"/>
    <s v="junho"/>
    <d v="2020-06-04T00:00:00"/>
    <x v="2"/>
    <x v="2"/>
    <s v="Product C"/>
    <n v="6"/>
    <n v="166"/>
    <n v="58100"/>
    <n v="7553"/>
    <n v="23"/>
    <d v="2020-04-01T00:00:00"/>
    <n v="2.9266447327824801E-4"/>
  </r>
  <r>
    <n v="10522"/>
    <n v="2020"/>
    <s v="junho"/>
    <d v="2020-06-05T00:00:00"/>
    <x v="2"/>
    <x v="1"/>
    <s v="Product A"/>
    <n v="17"/>
    <n v="443"/>
    <n v="221500"/>
    <n v="86385"/>
    <n v="23"/>
    <d v="2020-04-01T00:00:00"/>
    <n v="1.11575182153411E-3"/>
  </r>
  <r>
    <n v="10523"/>
    <n v="2020"/>
    <s v="junho"/>
    <d v="2020-06-06T00:00:00"/>
    <x v="4"/>
    <x v="1"/>
    <s v="Product E"/>
    <n v="15"/>
    <n v="375"/>
    <n v="281250"/>
    <n v="106875"/>
    <n v="23"/>
    <d v="2020-04-01T00:00:00"/>
    <n v="1.4167277643632899E-3"/>
  </r>
  <r>
    <n v="10524"/>
    <n v="2020"/>
    <s v="junho"/>
    <d v="2020-06-07T00:00:00"/>
    <x v="3"/>
    <x v="4"/>
    <s v="Product E"/>
    <n v="27"/>
    <n v="300"/>
    <n v="225000"/>
    <n v="31500.000000000004"/>
    <n v="24"/>
    <d v="2020-04-01T00:00:00"/>
    <n v="1.13338221149063E-3"/>
  </r>
  <r>
    <n v="10525"/>
    <n v="2020"/>
    <s v="junho"/>
    <d v="2020-06-08T00:00:00"/>
    <x v="1"/>
    <x v="1"/>
    <s v="Product C"/>
    <n v="12"/>
    <n v="207"/>
    <n v="72450"/>
    <n v="21010.5"/>
    <n v="24"/>
    <d v="2020-04-01T00:00:00"/>
    <n v="3.6494907209998402E-4"/>
  </r>
  <r>
    <n v="10526"/>
    <n v="2020"/>
    <s v="junho"/>
    <d v="2020-06-09T00:00:00"/>
    <x v="4"/>
    <x v="3"/>
    <s v="Product C"/>
    <n v="13"/>
    <n v="167"/>
    <n v="58450"/>
    <n v="11105.5"/>
    <n v="24"/>
    <d v="2020-04-01T00:00:00"/>
    <n v="2.9442751227389999E-4"/>
  </r>
  <r>
    <n v="10527"/>
    <n v="2020"/>
    <s v="junho"/>
    <d v="2020-06-10T00:00:00"/>
    <x v="0"/>
    <x v="2"/>
    <s v="Product A"/>
    <n v="2"/>
    <n v="38"/>
    <n v="19000"/>
    <n v="8550"/>
    <n v="24"/>
    <d v="2020-04-01T00:00:00"/>
    <n v="9.57078311925422E-5"/>
  </r>
  <r>
    <n v="10528"/>
    <n v="2020"/>
    <s v="junho"/>
    <d v="2020-06-11T00:00:00"/>
    <x v="0"/>
    <x v="2"/>
    <s v="Product E"/>
    <n v="21"/>
    <n v="394"/>
    <n v="295500"/>
    <n v="50235"/>
    <n v="24"/>
    <d v="2020-04-01T00:00:00"/>
    <n v="1.4885086377577001E-3"/>
  </r>
  <r>
    <n v="10529"/>
    <n v="2020"/>
    <s v="junho"/>
    <d v="2020-06-12T00:00:00"/>
    <x v="0"/>
    <x v="3"/>
    <s v="Product D"/>
    <n v="16"/>
    <n v="265"/>
    <n v="225250"/>
    <n v="69827.5"/>
    <n v="24"/>
    <d v="2020-04-01T00:00:00"/>
    <n v="1.1346415250589499E-3"/>
  </r>
  <r>
    <n v="10530"/>
    <n v="2020"/>
    <s v="junho"/>
    <d v="2020-06-13T00:00:00"/>
    <x v="1"/>
    <x v="4"/>
    <s v="Product B"/>
    <n v="16"/>
    <n v="182"/>
    <n v="45500"/>
    <n v="8190"/>
    <n v="24"/>
    <d v="2020-04-01T00:00:00"/>
    <n v="2.29195069434772E-4"/>
  </r>
  <r>
    <n v="10531"/>
    <n v="2020"/>
    <s v="junho"/>
    <d v="2020-06-14T00:00:00"/>
    <x v="1"/>
    <x v="1"/>
    <s v="Product B"/>
    <n v="4"/>
    <n v="264"/>
    <n v="66000"/>
    <n v="24420"/>
    <n v="25"/>
    <d v="2020-04-01T00:00:00"/>
    <n v="3.3245878203725201E-4"/>
  </r>
  <r>
    <n v="10532"/>
    <n v="2020"/>
    <s v="junho"/>
    <d v="2020-06-15T00:00:00"/>
    <x v="0"/>
    <x v="1"/>
    <s v="Product D"/>
    <n v="6"/>
    <n v="146"/>
    <n v="124100"/>
    <n v="29784"/>
    <n v="25"/>
    <d v="2020-04-01T00:00:00"/>
    <n v="6.2512325531549997E-4"/>
  </r>
  <r>
    <n v="10533"/>
    <n v="2020"/>
    <s v="junho"/>
    <d v="2020-06-16T00:00:00"/>
    <x v="3"/>
    <x v="3"/>
    <s v="Product C"/>
    <n v="8"/>
    <n v="226"/>
    <n v="79100"/>
    <n v="14238"/>
    <n v="25"/>
    <d v="2020-04-01T00:00:00"/>
    <n v="3.9844681301737299E-4"/>
  </r>
  <r>
    <n v="10534"/>
    <n v="2020"/>
    <s v="junho"/>
    <d v="2020-06-17T00:00:00"/>
    <x v="0"/>
    <x v="1"/>
    <s v="Product B"/>
    <n v="47"/>
    <n v="487"/>
    <n v="121750"/>
    <n v="14610"/>
    <n v="25"/>
    <d v="2020-04-01T00:00:00"/>
    <n v="6.1328570777326402E-4"/>
  </r>
  <r>
    <n v="10535"/>
    <n v="2020"/>
    <s v="junho"/>
    <d v="2020-06-18T00:00:00"/>
    <x v="0"/>
    <x v="1"/>
    <s v="Product B"/>
    <n v="5"/>
    <n v="360"/>
    <n v="90000"/>
    <n v="20700"/>
    <n v="25"/>
    <d v="2020-04-01T00:00:00"/>
    <n v="4.5335288459625298E-4"/>
  </r>
  <r>
    <n v="10536"/>
    <n v="2020"/>
    <s v="junho"/>
    <d v="2020-06-19T00:00:00"/>
    <x v="3"/>
    <x v="1"/>
    <s v="Product D"/>
    <n v="27"/>
    <n v="499"/>
    <n v="424150"/>
    <n v="97554.5"/>
    <n v="25"/>
    <d v="2020-04-01T00:00:00"/>
    <n v="2.13655140001667E-3"/>
  </r>
  <r>
    <n v="10537"/>
    <n v="2020"/>
    <s v="junho"/>
    <d v="2020-06-20T00:00:00"/>
    <x v="2"/>
    <x v="1"/>
    <s v="Product A"/>
    <n v="15"/>
    <n v="299"/>
    <n v="149500"/>
    <n v="16445"/>
    <n v="25"/>
    <d v="2020-04-01T00:00:00"/>
    <n v="7.5306951385710897E-4"/>
  </r>
  <r>
    <n v="10538"/>
    <n v="2020"/>
    <s v="junho"/>
    <d v="2020-06-21T00:00:00"/>
    <x v="0"/>
    <x v="4"/>
    <s v="Product E"/>
    <n v="12"/>
    <n v="422"/>
    <n v="316500"/>
    <n v="139260"/>
    <n v="26"/>
    <d v="2020-04-01T00:00:00"/>
    <n v="1.59429097749682E-3"/>
  </r>
  <r>
    <n v="10539"/>
    <n v="2020"/>
    <s v="junho"/>
    <d v="2020-06-22T00:00:00"/>
    <x v="2"/>
    <x v="1"/>
    <s v="Product A"/>
    <n v="6"/>
    <n v="353"/>
    <n v="176500"/>
    <n v="30005.000000000004"/>
    <n v="26"/>
    <d v="2020-04-01T00:00:00"/>
    <n v="8.89075379235984E-4"/>
  </r>
  <r>
    <n v="10540"/>
    <n v="2020"/>
    <s v="junho"/>
    <d v="2020-06-23T00:00:00"/>
    <x v="3"/>
    <x v="1"/>
    <s v="Product C"/>
    <n v="21"/>
    <n v="333"/>
    <n v="116550"/>
    <n v="29137.5"/>
    <n v="26"/>
    <d v="2020-04-01T00:00:00"/>
    <n v="5.8709198555214703E-4"/>
  </r>
  <r>
    <n v="10541"/>
    <n v="2020"/>
    <s v="junho"/>
    <d v="2020-06-24T00:00:00"/>
    <x v="4"/>
    <x v="2"/>
    <s v="Product B"/>
    <n v="10"/>
    <n v="418"/>
    <n v="104500"/>
    <n v="11495"/>
    <n v="26"/>
    <d v="2020-04-01T00:00:00"/>
    <n v="5.2639307155898205E-4"/>
  </r>
  <r>
    <n v="10542"/>
    <n v="2020"/>
    <s v="junho"/>
    <d v="2020-06-25T00:00:00"/>
    <x v="1"/>
    <x v="2"/>
    <s v="Product B"/>
    <n v="5"/>
    <n v="194"/>
    <n v="48500"/>
    <n v="19885"/>
    <n v="26"/>
    <d v="2020-04-01T00:00:00"/>
    <n v="2.44306832254647E-4"/>
  </r>
  <r>
    <n v="10543"/>
    <n v="2020"/>
    <s v="junho"/>
    <d v="2020-06-26T00:00:00"/>
    <x v="0"/>
    <x v="0"/>
    <s v="Product C"/>
    <n v="27"/>
    <n v="355"/>
    <n v="124250"/>
    <n v="24850"/>
    <n v="26"/>
    <d v="2020-04-01T00:00:00"/>
    <n v="6.2587884345649298E-4"/>
  </r>
  <r>
    <n v="10544"/>
    <n v="2020"/>
    <s v="junho"/>
    <d v="2020-06-27T00:00:00"/>
    <x v="2"/>
    <x v="4"/>
    <s v="Product B"/>
    <n v="11"/>
    <n v="192"/>
    <n v="48000"/>
    <n v="21120"/>
    <n v="26"/>
    <d v="2020-04-01T00:00:00"/>
    <n v="2.41788205118001E-4"/>
  </r>
  <r>
    <n v="10545"/>
    <n v="2020"/>
    <s v="junho"/>
    <d v="2020-06-28T00:00:00"/>
    <x v="3"/>
    <x v="1"/>
    <s v="Product C"/>
    <n v="19"/>
    <n v="302"/>
    <n v="105700"/>
    <n v="22197"/>
    <n v="27"/>
    <d v="2020-04-01T00:00:00"/>
    <n v="5.3243777668693197E-4"/>
  </r>
  <r>
    <n v="10546"/>
    <n v="2020"/>
    <s v="junho"/>
    <d v="2020-06-29T00:00:00"/>
    <x v="0"/>
    <x v="1"/>
    <s v="Product A"/>
    <n v="39"/>
    <n v="419"/>
    <n v="209500"/>
    <n v="73325"/>
    <n v="27"/>
    <d v="2020-04-01T00:00:00"/>
    <n v="1.0553047702546101E-3"/>
  </r>
  <r>
    <n v="10547"/>
    <n v="2020"/>
    <s v="junho"/>
    <d v="2020-06-30T00:00:00"/>
    <x v="4"/>
    <x v="2"/>
    <s v="Product A"/>
    <n v="8"/>
    <n v="377"/>
    <n v="188500"/>
    <n v="60320"/>
    <n v="27"/>
    <d v="2020-04-01T00:00:00"/>
    <n v="9.4952243051548498E-4"/>
  </r>
  <r>
    <n v="10548"/>
    <n v="2020"/>
    <s v="julho"/>
    <d v="2020-07-01T00:00:00"/>
    <x v="3"/>
    <x v="1"/>
    <s v="Product B"/>
    <n v="5"/>
    <n v="97"/>
    <n v="24250"/>
    <n v="3152.5"/>
    <n v="27"/>
    <d v="2020-07-01T00:00:00"/>
    <n v="1.2215341612732401E-4"/>
  </r>
  <r>
    <n v="10549"/>
    <n v="2020"/>
    <s v="julho"/>
    <d v="2020-07-02T00:00:00"/>
    <x v="3"/>
    <x v="1"/>
    <s v="Product E"/>
    <n v="37"/>
    <n v="496"/>
    <n v="372000"/>
    <n v="74400"/>
    <n v="27"/>
    <d v="2020-07-01T00:00:00"/>
    <n v="1.8738585896645101E-3"/>
  </r>
  <r>
    <n v="10550"/>
    <n v="2020"/>
    <s v="julho"/>
    <d v="2020-07-03T00:00:00"/>
    <x v="2"/>
    <x v="3"/>
    <s v="Product E"/>
    <n v="7"/>
    <n v="406"/>
    <n v="304500"/>
    <n v="51765.000000000007"/>
    <n v="27"/>
    <d v="2020-07-01T00:00:00"/>
    <n v="1.5338439262173201E-3"/>
  </r>
  <r>
    <n v="10551"/>
    <n v="2020"/>
    <s v="julho"/>
    <d v="2020-07-04T00:00:00"/>
    <x v="1"/>
    <x v="0"/>
    <s v="Product D"/>
    <n v="5"/>
    <n v="130"/>
    <n v="110500"/>
    <n v="47515"/>
    <n v="27"/>
    <d v="2020-07-01T00:00:00"/>
    <n v="5.5661659719873297E-4"/>
  </r>
  <r>
    <n v="10552"/>
    <n v="2020"/>
    <s v="julho"/>
    <d v="2020-07-05T00:00:00"/>
    <x v="0"/>
    <x v="4"/>
    <s v="Product A"/>
    <n v="18"/>
    <n v="232"/>
    <n v="116000"/>
    <n v="25520"/>
    <n v="28"/>
    <d v="2020-07-01T00:00:00"/>
    <n v="5.8432149570183695E-4"/>
  </r>
  <r>
    <n v="10553"/>
    <n v="2020"/>
    <s v="julho"/>
    <d v="2020-07-06T00:00:00"/>
    <x v="4"/>
    <x v="0"/>
    <s v="Product D"/>
    <n v="5"/>
    <n v="156"/>
    <n v="132600"/>
    <n v="19890"/>
    <n v="28"/>
    <d v="2020-07-01T00:00:00"/>
    <n v="6.6793991663847898E-4"/>
  </r>
  <r>
    <n v="10554"/>
    <n v="2020"/>
    <s v="julho"/>
    <d v="2020-07-07T00:00:00"/>
    <x v="4"/>
    <x v="2"/>
    <s v="Product B"/>
    <n v="6"/>
    <n v="493"/>
    <n v="123250"/>
    <n v="20952.5"/>
    <n v="28"/>
    <d v="2020-07-01T00:00:00"/>
    <n v="6.2084158918320202E-4"/>
  </r>
  <r>
    <n v="10555"/>
    <n v="2020"/>
    <s v="julho"/>
    <d v="2020-07-08T00:00:00"/>
    <x v="1"/>
    <x v="1"/>
    <s v="Product C"/>
    <n v="13"/>
    <n v="288"/>
    <n v="100800"/>
    <n v="33264"/>
    <n v="28"/>
    <d v="2020-07-01T00:00:00"/>
    <n v="5.0775523074780295E-4"/>
  </r>
  <r>
    <n v="10556"/>
    <n v="2020"/>
    <s v="julho"/>
    <d v="2020-07-09T00:00:00"/>
    <x v="0"/>
    <x v="2"/>
    <s v="Product C"/>
    <n v="8"/>
    <n v="81"/>
    <n v="28350"/>
    <n v="7371"/>
    <n v="28"/>
    <d v="2020-07-01T00:00:00"/>
    <n v="1.4280615864781999E-4"/>
  </r>
  <r>
    <n v="10557"/>
    <n v="2020"/>
    <s v="julho"/>
    <d v="2020-07-10T00:00:00"/>
    <x v="3"/>
    <x v="4"/>
    <s v="Product D"/>
    <n v="9"/>
    <n v="229"/>
    <n v="194650"/>
    <n v="81753"/>
    <n v="28"/>
    <d v="2020-07-01T00:00:00"/>
    <n v="9.8050154429622891E-4"/>
  </r>
  <r>
    <n v="10558"/>
    <n v="2020"/>
    <s v="julho"/>
    <d v="2020-07-11T00:00:00"/>
    <x v="3"/>
    <x v="4"/>
    <s v="Product E"/>
    <n v="6"/>
    <n v="473"/>
    <n v="354750"/>
    <n v="141900"/>
    <n v="28"/>
    <d v="2020-07-01T00:00:00"/>
    <n v="1.78696595345023E-3"/>
  </r>
  <r>
    <n v="10559"/>
    <n v="2020"/>
    <s v="julho"/>
    <d v="2020-07-12T00:00:00"/>
    <x v="2"/>
    <x v="4"/>
    <s v="Product C"/>
    <n v="2"/>
    <n v="112"/>
    <n v="39200"/>
    <n v="3920"/>
    <n v="29"/>
    <d v="2020-07-01T00:00:00"/>
    <n v="1.97460367513034E-4"/>
  </r>
  <r>
    <n v="10560"/>
    <n v="2020"/>
    <s v="julho"/>
    <d v="2020-07-13T00:00:00"/>
    <x v="2"/>
    <x v="2"/>
    <s v="Product A"/>
    <n v="5"/>
    <n v="89"/>
    <n v="44500"/>
    <n v="15574.999999999998"/>
    <n v="29"/>
    <d v="2020-07-01T00:00:00"/>
    <n v="2.2415781516148099E-4"/>
  </r>
  <r>
    <n v="10561"/>
    <n v="2020"/>
    <s v="julho"/>
    <d v="2020-07-14T00:00:00"/>
    <x v="4"/>
    <x v="2"/>
    <s v="Product C"/>
    <n v="28"/>
    <n v="377"/>
    <n v="131950"/>
    <n v="15834"/>
    <n v="29"/>
    <d v="2020-07-01T00:00:00"/>
    <n v="6.6466570136084E-4"/>
  </r>
  <r>
    <n v="10562"/>
    <n v="2020"/>
    <s v="julho"/>
    <d v="2020-07-15T00:00:00"/>
    <x v="1"/>
    <x v="2"/>
    <s v="Product C"/>
    <n v="4"/>
    <n v="93"/>
    <n v="32550"/>
    <n v="8137.5"/>
    <n v="29"/>
    <d v="2020-07-01T00:00:00"/>
    <n v="1.63962626595645E-4"/>
  </r>
  <r>
    <n v="10563"/>
    <n v="2020"/>
    <s v="julho"/>
    <d v="2020-07-16T00:00:00"/>
    <x v="1"/>
    <x v="4"/>
    <s v="Product E"/>
    <n v="35"/>
    <n v="479"/>
    <n v="359250"/>
    <n v="125737.49999999999"/>
    <n v="29"/>
    <d v="2020-07-01T00:00:00"/>
    <n v="1.80963359768004E-3"/>
  </r>
  <r>
    <n v="10564"/>
    <n v="2020"/>
    <s v="julho"/>
    <d v="2020-07-17T00:00:00"/>
    <x v="4"/>
    <x v="3"/>
    <s v="Product B"/>
    <n v="23"/>
    <n v="465"/>
    <n v="116250"/>
    <n v="23250"/>
    <n v="29"/>
    <d v="2020-07-01T00:00:00"/>
    <n v="5.8558080927016004E-4"/>
  </r>
  <r>
    <n v="10565"/>
    <n v="2020"/>
    <s v="julho"/>
    <d v="2020-07-18T00:00:00"/>
    <x v="1"/>
    <x v="2"/>
    <s v="Product C"/>
    <n v="7"/>
    <n v="444"/>
    <n v="155400"/>
    <n v="57498"/>
    <n v="29"/>
    <d v="2020-07-01T00:00:00"/>
    <n v="7.8278931406953003E-4"/>
  </r>
  <r>
    <n v="10566"/>
    <n v="2020"/>
    <s v="julho"/>
    <d v="2020-07-19T00:00:00"/>
    <x v="1"/>
    <x v="4"/>
    <s v="Product D"/>
    <n v="3"/>
    <n v="78"/>
    <n v="66300"/>
    <n v="26520"/>
    <n v="30"/>
    <d v="2020-07-01T00:00:00"/>
    <n v="3.3396995831923998E-4"/>
  </r>
  <r>
    <n v="10567"/>
    <n v="2020"/>
    <s v="julho"/>
    <d v="2020-07-20T00:00:00"/>
    <x v="4"/>
    <x v="2"/>
    <s v="Product E"/>
    <n v="5"/>
    <n v="195"/>
    <n v="146250"/>
    <n v="38025"/>
    <n v="30"/>
    <d v="2020-07-01T00:00:00"/>
    <n v="7.3669843746891096E-4"/>
  </r>
  <r>
    <n v="10568"/>
    <n v="2020"/>
    <s v="julho"/>
    <d v="2020-07-21T00:00:00"/>
    <x v="3"/>
    <x v="2"/>
    <s v="Product A"/>
    <n v="21"/>
    <n v="395"/>
    <n v="197500"/>
    <n v="88875"/>
    <n v="30"/>
    <d v="2020-07-01T00:00:00"/>
    <n v="9.9485771897510995E-4"/>
  </r>
  <r>
    <n v="10569"/>
    <n v="2020"/>
    <s v="julho"/>
    <d v="2020-07-22T00:00:00"/>
    <x v="0"/>
    <x v="1"/>
    <s v="Product B"/>
    <n v="6"/>
    <n v="109"/>
    <n v="27250"/>
    <n v="12262.5"/>
    <n v="30"/>
    <d v="2020-07-01T00:00:00"/>
    <n v="1.3726517894719901E-4"/>
  </r>
  <r>
    <n v="10570"/>
    <n v="2020"/>
    <s v="julho"/>
    <d v="2020-07-23T00:00:00"/>
    <x v="1"/>
    <x v="2"/>
    <s v="Product B"/>
    <n v="5"/>
    <n v="80"/>
    <n v="20000"/>
    <n v="6600"/>
    <n v="30"/>
    <d v="2020-07-01T00:00:00"/>
    <n v="1.0074508546583399E-4"/>
  </r>
  <r>
    <n v="10571"/>
    <n v="2020"/>
    <s v="julho"/>
    <d v="2020-07-24T00:00:00"/>
    <x v="0"/>
    <x v="4"/>
    <s v="Product B"/>
    <n v="12"/>
    <n v="146"/>
    <n v="36500"/>
    <n v="16425"/>
    <n v="30"/>
    <d v="2020-07-01T00:00:00"/>
    <n v="1.83859780975147E-4"/>
  </r>
  <r>
    <n v="10572"/>
    <n v="2020"/>
    <s v="julho"/>
    <d v="2020-07-25T00:00:00"/>
    <x v="1"/>
    <x v="4"/>
    <s v="Product B"/>
    <n v="3"/>
    <n v="86"/>
    <n v="21500"/>
    <n v="7310.0000000000009"/>
    <n v="30"/>
    <d v="2020-07-01T00:00:00"/>
    <n v="1.0830096687577199E-4"/>
  </r>
  <r>
    <n v="10573"/>
    <n v="2020"/>
    <s v="julho"/>
    <d v="2020-07-26T00:00:00"/>
    <x v="4"/>
    <x v="0"/>
    <s v="Product B"/>
    <n v="9"/>
    <n v="124"/>
    <n v="31000"/>
    <n v="12710"/>
    <n v="31"/>
    <d v="2020-07-01T00:00:00"/>
    <n v="1.5615488247204299E-4"/>
  </r>
  <r>
    <n v="10574"/>
    <n v="2020"/>
    <s v="julho"/>
    <d v="2020-07-27T00:00:00"/>
    <x v="1"/>
    <x v="0"/>
    <s v="Product E"/>
    <n v="33"/>
    <n v="370"/>
    <n v="277500"/>
    <n v="47175"/>
    <n v="31"/>
    <d v="2020-07-01T00:00:00"/>
    <n v="1.3978380608384499E-3"/>
  </r>
  <r>
    <n v="10575"/>
    <n v="2020"/>
    <s v="julho"/>
    <d v="2020-07-28T00:00:00"/>
    <x v="0"/>
    <x v="2"/>
    <s v="Product D"/>
    <n v="10"/>
    <n v="495"/>
    <n v="420750"/>
    <n v="96772.5"/>
    <n v="31"/>
    <d v="2020-07-01T00:00:00"/>
    <n v="2.1194247354874799E-3"/>
  </r>
  <r>
    <n v="10576"/>
    <n v="2020"/>
    <s v="julho"/>
    <d v="2020-07-29T00:00:00"/>
    <x v="4"/>
    <x v="3"/>
    <s v="Product A"/>
    <n v="14"/>
    <n v="449"/>
    <n v="224500"/>
    <n v="40410"/>
    <n v="31"/>
    <d v="2020-07-01T00:00:00"/>
    <n v="1.1308635843539901E-3"/>
  </r>
  <r>
    <n v="10577"/>
    <n v="2020"/>
    <s v="julho"/>
    <d v="2020-07-30T00:00:00"/>
    <x v="2"/>
    <x v="1"/>
    <s v="Product C"/>
    <n v="1"/>
    <n v="64"/>
    <n v="22400"/>
    <n v="4256"/>
    <n v="31"/>
    <d v="2020-07-01T00:00:00"/>
    <n v="1.12834495721734E-4"/>
  </r>
  <r>
    <n v="10578"/>
    <n v="2020"/>
    <s v="julho"/>
    <d v="2020-07-31T00:00:00"/>
    <x v="0"/>
    <x v="0"/>
    <s v="Product B"/>
    <n v="19"/>
    <n v="434"/>
    <n v="108500"/>
    <n v="43400"/>
    <n v="31"/>
    <d v="2020-07-01T00:00:00"/>
    <n v="5.46542088652149E-4"/>
  </r>
  <r>
    <n v="10579"/>
    <n v="2020"/>
    <s v="agosto"/>
    <d v="2020-08-01T00:00:00"/>
    <x v="4"/>
    <x v="3"/>
    <s v="Product A"/>
    <n v="3"/>
    <n v="45"/>
    <n v="22500"/>
    <n v="4050"/>
    <n v="31"/>
    <d v="2020-07-01T00:00:00"/>
    <n v="1.13338221149063E-4"/>
  </r>
  <r>
    <n v="10580"/>
    <n v="2020"/>
    <s v="agosto"/>
    <d v="2020-08-02T00:00:00"/>
    <x v="1"/>
    <x v="4"/>
    <s v="Product E"/>
    <n v="5"/>
    <n v="55"/>
    <n v="41250"/>
    <n v="13200"/>
    <n v="32"/>
    <d v="2020-07-01T00:00:00"/>
    <n v="2.07786738773282E-4"/>
  </r>
  <r>
    <n v="10581"/>
    <n v="2020"/>
    <s v="agosto"/>
    <d v="2020-08-03T00:00:00"/>
    <x v="1"/>
    <x v="1"/>
    <s v="Product B"/>
    <n v="23"/>
    <n v="314"/>
    <n v="78500"/>
    <n v="9420"/>
    <n v="32"/>
    <d v="2020-07-01T00:00:00"/>
    <n v="3.9542446045339803E-4"/>
  </r>
  <r>
    <n v="10582"/>
    <n v="2020"/>
    <s v="agosto"/>
    <d v="2020-08-04T00:00:00"/>
    <x v="2"/>
    <x v="1"/>
    <s v="Product E"/>
    <n v="21"/>
    <n v="246"/>
    <n v="184500"/>
    <n v="81180"/>
    <n v="32"/>
    <d v="2020-07-01T00:00:00"/>
    <n v="9.2937341342231802E-4"/>
  </r>
  <r>
    <n v="10583"/>
    <n v="2020"/>
    <s v="agosto"/>
    <d v="2020-08-05T00:00:00"/>
    <x v="2"/>
    <x v="4"/>
    <s v="Product D"/>
    <n v="7"/>
    <n v="295"/>
    <n v="250750"/>
    <n v="45135"/>
    <n v="32"/>
    <d v="2020-07-01T00:00:00"/>
    <n v="1.26309150902789E-3"/>
  </r>
  <r>
    <n v="10584"/>
    <n v="2020"/>
    <s v="agosto"/>
    <d v="2020-08-06T00:00:00"/>
    <x v="2"/>
    <x v="0"/>
    <s v="Product E"/>
    <n v="31"/>
    <n v="364"/>
    <n v="273000"/>
    <n v="38220"/>
    <n v="32"/>
    <d v="2020-07-01T00:00:00"/>
    <n v="1.37517041660863E-3"/>
  </r>
  <r>
    <n v="10585"/>
    <n v="2020"/>
    <s v="agosto"/>
    <d v="2020-08-07T00:00:00"/>
    <x v="2"/>
    <x v="3"/>
    <s v="Product B"/>
    <n v="6"/>
    <n v="108"/>
    <n v="27000"/>
    <n v="5400"/>
    <n v="32"/>
    <d v="2020-07-01T00:00:00"/>
    <n v="1.36005865378876E-4"/>
  </r>
  <r>
    <n v="10586"/>
    <n v="2020"/>
    <s v="agosto"/>
    <d v="2020-08-08T00:00:00"/>
    <x v="4"/>
    <x v="2"/>
    <s v="Product B"/>
    <n v="46"/>
    <n v="477"/>
    <n v="119250"/>
    <n v="26235"/>
    <n v="32"/>
    <d v="2020-07-01T00:00:00"/>
    <n v="6.0069257209003496E-4"/>
  </r>
  <r>
    <n v="10587"/>
    <n v="2020"/>
    <s v="agosto"/>
    <d v="2020-08-09T00:00:00"/>
    <x v="0"/>
    <x v="4"/>
    <s v="Product B"/>
    <n v="42"/>
    <n v="461"/>
    <n v="115250"/>
    <n v="33422.5"/>
    <n v="33"/>
    <d v="2020-07-01T00:00:00"/>
    <n v="5.80543554996868E-4"/>
  </r>
  <r>
    <n v="10588"/>
    <n v="2020"/>
    <s v="agosto"/>
    <d v="2020-08-10T00:00:00"/>
    <x v="1"/>
    <x v="1"/>
    <s v="Product C"/>
    <n v="9"/>
    <n v="346"/>
    <n v="121100"/>
    <n v="39963"/>
    <n v="33"/>
    <d v="2020-07-01T00:00:00"/>
    <n v="6.1001149249562397E-4"/>
  </r>
  <r>
    <n v="10589"/>
    <n v="2020"/>
    <s v="agosto"/>
    <d v="2020-08-11T00:00:00"/>
    <x v="0"/>
    <x v="0"/>
    <s v="Product A"/>
    <n v="25"/>
    <n v="288"/>
    <n v="144000"/>
    <n v="28800"/>
    <n v="33"/>
    <d v="2020-07-01T00:00:00"/>
    <n v="7.2536461535400402E-4"/>
  </r>
  <r>
    <n v="10590"/>
    <n v="2020"/>
    <s v="agosto"/>
    <d v="2020-08-12T00:00:00"/>
    <x v="4"/>
    <x v="3"/>
    <s v="Product B"/>
    <n v="32"/>
    <n v="438"/>
    <n v="109500"/>
    <n v="38325"/>
    <n v="33"/>
    <d v="2020-07-01T00:00:00"/>
    <n v="5.5157934292544104E-4"/>
  </r>
  <r>
    <n v="10591"/>
    <n v="2020"/>
    <s v="agosto"/>
    <d v="2020-08-13T00:00:00"/>
    <x v="2"/>
    <x v="3"/>
    <s v="Product C"/>
    <n v="8"/>
    <n v="231"/>
    <n v="80850"/>
    <n v="17787"/>
    <n v="33"/>
    <d v="2020-07-01T00:00:00"/>
    <n v="4.0726200799563403E-4"/>
  </r>
  <r>
    <n v="10592"/>
    <n v="2020"/>
    <s v="agosto"/>
    <d v="2020-08-14T00:00:00"/>
    <x v="4"/>
    <x v="2"/>
    <s v="Product B"/>
    <n v="10"/>
    <n v="378"/>
    <n v="94500"/>
    <n v="28350"/>
    <n v="33"/>
    <d v="2020-07-01T00:00:00"/>
    <n v="4.7602052882606498E-4"/>
  </r>
  <r>
    <n v="10593"/>
    <n v="2020"/>
    <s v="agosto"/>
    <d v="2020-08-15T00:00:00"/>
    <x v="0"/>
    <x v="4"/>
    <s v="Product E"/>
    <n v="8"/>
    <n v="484"/>
    <n v="363000"/>
    <n v="58080"/>
    <n v="33"/>
    <d v="2020-07-01T00:00:00"/>
    <n v="1.8285233012048901E-3"/>
  </r>
  <r>
    <n v="10594"/>
    <n v="2020"/>
    <s v="agosto"/>
    <d v="2020-08-16T00:00:00"/>
    <x v="0"/>
    <x v="0"/>
    <s v="Product D"/>
    <n v="9"/>
    <n v="355"/>
    <n v="301750"/>
    <n v="39227.5"/>
    <n v="34"/>
    <d v="2020-07-01T00:00:00"/>
    <n v="1.5199914769657701E-3"/>
  </r>
  <r>
    <n v="10595"/>
    <n v="2020"/>
    <s v="agosto"/>
    <d v="2020-08-17T00:00:00"/>
    <x v="0"/>
    <x v="1"/>
    <s v="Product E"/>
    <n v="1"/>
    <n v="19"/>
    <n v="14250"/>
    <n v="4132.5"/>
    <n v="34"/>
    <d v="2020-07-01T00:00:00"/>
    <n v="7.1780873394406704E-5"/>
  </r>
  <r>
    <n v="10596"/>
    <n v="2020"/>
    <s v="agosto"/>
    <d v="2020-08-18T00:00:00"/>
    <x v="3"/>
    <x v="2"/>
    <s v="Product B"/>
    <n v="5"/>
    <n v="81"/>
    <n v="20250"/>
    <n v="8302.5"/>
    <n v="34"/>
    <d v="2020-07-01T00:00:00"/>
    <n v="1.02004399034157E-4"/>
  </r>
  <r>
    <n v="10597"/>
    <n v="2020"/>
    <s v="agosto"/>
    <d v="2020-08-19T00:00:00"/>
    <x v="2"/>
    <x v="2"/>
    <s v="Product A"/>
    <n v="3"/>
    <n v="241"/>
    <n v="120500"/>
    <n v="14460"/>
    <n v="34"/>
    <d v="2020-07-01T00:00:00"/>
    <n v="6.0698913993164998E-4"/>
  </r>
  <r>
    <n v="10598"/>
    <n v="2020"/>
    <s v="agosto"/>
    <d v="2020-08-20T00:00:00"/>
    <x v="4"/>
    <x v="1"/>
    <s v="Product C"/>
    <n v="2"/>
    <n v="33"/>
    <n v="11550"/>
    <n v="3465"/>
    <n v="34"/>
    <d v="2020-07-01T00:00:00"/>
    <n v="5.8180286856519097E-5"/>
  </r>
  <r>
    <n v="10599"/>
    <n v="2020"/>
    <s v="agosto"/>
    <d v="2020-08-21T00:00:00"/>
    <x v="3"/>
    <x v="2"/>
    <s v="Product D"/>
    <n v="3"/>
    <n v="187"/>
    <n v="158950"/>
    <n v="38148"/>
    <n v="34"/>
    <d v="2020-07-01T00:00:00"/>
    <n v="8.0067156673971503E-4"/>
  </r>
  <r>
    <n v="10600"/>
    <n v="2020"/>
    <s v="agosto"/>
    <d v="2020-08-22T00:00:00"/>
    <x v="1"/>
    <x v="3"/>
    <s v="Product E"/>
    <n v="31"/>
    <n v="386"/>
    <n v="289500"/>
    <n v="52110"/>
    <n v="34"/>
    <d v="2020-07-01T00:00:00"/>
    <n v="1.45828511211795E-3"/>
  </r>
  <r>
    <n v="10601"/>
    <n v="2020"/>
    <s v="agosto"/>
    <d v="2020-08-23T00:00:00"/>
    <x v="1"/>
    <x v="1"/>
    <s v="Product B"/>
    <n v="5"/>
    <n v="315"/>
    <n v="78750"/>
    <n v="23625"/>
    <n v="35"/>
    <d v="2020-07-01T00:00:00"/>
    <n v="3.9668377402172101E-4"/>
  </r>
  <r>
    <n v="10602"/>
    <n v="2020"/>
    <s v="agosto"/>
    <d v="2020-08-24T00:00:00"/>
    <x v="2"/>
    <x v="2"/>
    <s v="Product E"/>
    <n v="2"/>
    <n v="83"/>
    <n v="62250"/>
    <n v="28012.5"/>
    <n v="35"/>
    <d v="2020-07-01T00:00:00"/>
    <n v="3.1356907851240798E-4"/>
  </r>
  <r>
    <n v="10603"/>
    <n v="2020"/>
    <s v="agosto"/>
    <d v="2020-08-25T00:00:00"/>
    <x v="4"/>
    <x v="2"/>
    <s v="Product E"/>
    <n v="22"/>
    <n v="357"/>
    <n v="267750"/>
    <n v="112455"/>
    <n v="35"/>
    <d v="2020-07-01T00:00:00"/>
    <n v="1.3487248316738499E-3"/>
  </r>
  <r>
    <n v="10604"/>
    <n v="2020"/>
    <s v="agosto"/>
    <d v="2020-08-26T00:00:00"/>
    <x v="0"/>
    <x v="2"/>
    <s v="Product C"/>
    <n v="26"/>
    <n v="465"/>
    <n v="162750"/>
    <n v="34177.5"/>
    <n v="35"/>
    <d v="2020-07-01T00:00:00"/>
    <n v="8.1981313297822399E-4"/>
  </r>
  <r>
    <n v="10605"/>
    <n v="2020"/>
    <s v="agosto"/>
    <d v="2020-08-27T00:00:00"/>
    <x v="2"/>
    <x v="2"/>
    <s v="Product D"/>
    <n v="18"/>
    <n v="355"/>
    <n v="301750"/>
    <n v="45262.5"/>
    <n v="35"/>
    <d v="2020-07-01T00:00:00"/>
    <n v="1.5199914769657701E-3"/>
  </r>
  <r>
    <n v="10606"/>
    <n v="2020"/>
    <s v="agosto"/>
    <d v="2020-08-28T00:00:00"/>
    <x v="1"/>
    <x v="2"/>
    <s v="Product D"/>
    <n v="4"/>
    <n v="45"/>
    <n v="38250"/>
    <n v="9945"/>
    <n v="35"/>
    <d v="2020-07-01T00:00:00"/>
    <n v="1.92674975953407E-4"/>
  </r>
  <r>
    <n v="10607"/>
    <n v="2020"/>
    <s v="agosto"/>
    <d v="2020-08-29T00:00:00"/>
    <x v="2"/>
    <x v="3"/>
    <s v="Product C"/>
    <n v="9"/>
    <n v="102"/>
    <n v="35700"/>
    <n v="8568"/>
    <n v="35"/>
    <d v="2020-07-01T00:00:00"/>
    <n v="1.7982997755651401E-4"/>
  </r>
  <r>
    <n v="10608"/>
    <n v="2020"/>
    <s v="agosto"/>
    <d v="2020-08-30T00:00:00"/>
    <x v="3"/>
    <x v="0"/>
    <s v="Product A"/>
    <n v="35"/>
    <n v="440"/>
    <n v="220000"/>
    <n v="44000"/>
    <n v="36"/>
    <d v="2020-07-01T00:00:00"/>
    <n v="1.1081959401241701E-3"/>
  </r>
  <r>
    <n v="10609"/>
    <n v="2020"/>
    <s v="agosto"/>
    <d v="2020-08-31T00:00:00"/>
    <x v="3"/>
    <x v="1"/>
    <s v="Product C"/>
    <n v="6"/>
    <n v="96"/>
    <n v="33600"/>
    <n v="12096"/>
    <n v="36"/>
    <d v="2020-07-01T00:00:00"/>
    <n v="1.6925174358260099E-4"/>
  </r>
  <r>
    <n v="10610"/>
    <n v="2020"/>
    <s v="setembro"/>
    <d v="2020-09-01T00:00:00"/>
    <x v="2"/>
    <x v="1"/>
    <s v="Product C"/>
    <n v="5"/>
    <n v="207"/>
    <n v="72450"/>
    <n v="25357.5"/>
    <n v="36"/>
    <d v="2020-07-01T00:00:00"/>
    <n v="3.6494907209998402E-4"/>
  </r>
  <r>
    <n v="10611"/>
    <n v="2020"/>
    <s v="setembro"/>
    <d v="2020-09-02T00:00:00"/>
    <x v="2"/>
    <x v="3"/>
    <s v="Product B"/>
    <n v="16"/>
    <n v="173"/>
    <n v="43250"/>
    <n v="4325"/>
    <n v="36"/>
    <d v="2020-07-01T00:00:00"/>
    <n v="2.17861247319866E-4"/>
  </r>
  <r>
    <n v="10612"/>
    <n v="2020"/>
    <s v="setembro"/>
    <d v="2020-09-03T00:00:00"/>
    <x v="1"/>
    <x v="0"/>
    <s v="Product E"/>
    <n v="5"/>
    <n v="169"/>
    <n v="126750"/>
    <n v="46897.5"/>
    <n v="36"/>
    <d v="2020-07-01T00:00:00"/>
    <n v="6.3847197913972302E-4"/>
  </r>
  <r>
    <n v="10613"/>
    <n v="2020"/>
    <s v="setembro"/>
    <d v="2020-09-04T00:00:00"/>
    <x v="4"/>
    <x v="3"/>
    <s v="Product B"/>
    <n v="20"/>
    <n v="337"/>
    <n v="84250"/>
    <n v="10110"/>
    <n v="36"/>
    <d v="2020-07-01T00:00:00"/>
    <n v="4.2438867252482602E-4"/>
  </r>
  <r>
    <n v="10614"/>
    <n v="2020"/>
    <s v="setembro"/>
    <d v="2020-09-05T00:00:00"/>
    <x v="1"/>
    <x v="2"/>
    <s v="Product D"/>
    <n v="21"/>
    <n v="443"/>
    <n v="376550"/>
    <n v="169447.5"/>
    <n v="36"/>
    <d v="2020-07-01T00:00:00"/>
    <n v="1.8967780966079901E-3"/>
  </r>
  <r>
    <n v="10615"/>
    <n v="2020"/>
    <s v="setembro"/>
    <d v="2020-09-06T00:00:00"/>
    <x v="1"/>
    <x v="2"/>
    <s v="Product A"/>
    <n v="16"/>
    <n v="236"/>
    <n v="118000"/>
    <n v="43660"/>
    <n v="37"/>
    <d v="2020-07-01T00:00:00"/>
    <n v="5.9439600424842005E-4"/>
  </r>
  <r>
    <n v="10616"/>
    <n v="2020"/>
    <s v="setembro"/>
    <d v="2020-09-07T00:00:00"/>
    <x v="3"/>
    <x v="2"/>
    <s v="Product D"/>
    <n v="7"/>
    <n v="190"/>
    <n v="161500"/>
    <n v="61370"/>
    <n v="37"/>
    <d v="2020-07-01T00:00:00"/>
    <n v="8.1351656513660897E-4"/>
  </r>
  <r>
    <n v="10617"/>
    <n v="2020"/>
    <s v="setembro"/>
    <d v="2020-09-08T00:00:00"/>
    <x v="2"/>
    <x v="0"/>
    <s v="Product B"/>
    <n v="9"/>
    <n v="261"/>
    <n v="65250"/>
    <n v="18270"/>
    <n v="37"/>
    <d v="2020-07-01T00:00:00"/>
    <n v="3.2868084133228301E-4"/>
  </r>
  <r>
    <n v="10618"/>
    <n v="2020"/>
    <s v="setembro"/>
    <d v="2020-09-09T00:00:00"/>
    <x v="2"/>
    <x v="4"/>
    <s v="Product D"/>
    <n v="7"/>
    <n v="253"/>
    <n v="215050"/>
    <n v="68816"/>
    <n v="37"/>
    <d v="2020-07-01T00:00:00"/>
    <n v="1.08326153147138E-3"/>
  </r>
  <r>
    <n v="10619"/>
    <n v="2020"/>
    <s v="setembro"/>
    <d v="2020-09-10T00:00:00"/>
    <x v="1"/>
    <x v="4"/>
    <s v="Product A"/>
    <n v="15"/>
    <n v="244"/>
    <n v="122000"/>
    <n v="37820"/>
    <n v="37"/>
    <d v="2020-07-01T00:00:00"/>
    <n v="6.14545021341587E-4"/>
  </r>
  <r>
    <n v="10620"/>
    <n v="2020"/>
    <s v="setembro"/>
    <d v="2020-09-11T00:00:00"/>
    <x v="4"/>
    <x v="2"/>
    <s v="Product D"/>
    <n v="14"/>
    <n v="179"/>
    <n v="152150"/>
    <n v="19779.5"/>
    <n v="37"/>
    <d v="2020-07-01T00:00:00"/>
    <n v="7.6641823768133202E-4"/>
  </r>
  <r>
    <n v="10621"/>
    <n v="2020"/>
    <s v="setembro"/>
    <d v="2020-09-12T00:00:00"/>
    <x v="3"/>
    <x v="2"/>
    <s v="Product D"/>
    <n v="26"/>
    <n v="269"/>
    <n v="228650"/>
    <n v="102892.5"/>
    <n v="37"/>
    <d v="2020-07-01T00:00:00"/>
    <n v="1.1517681895881499E-3"/>
  </r>
  <r>
    <n v="10622"/>
    <n v="2020"/>
    <s v="setembro"/>
    <d v="2020-09-13T00:00:00"/>
    <x v="0"/>
    <x v="4"/>
    <s v="Product B"/>
    <n v="9"/>
    <n v="107"/>
    <n v="26750"/>
    <n v="6152.5"/>
    <n v="38"/>
    <d v="2020-07-01T00:00:00"/>
    <n v="1.3474655181055299E-4"/>
  </r>
  <r>
    <n v="10623"/>
    <n v="2020"/>
    <s v="setembro"/>
    <d v="2020-09-14T00:00:00"/>
    <x v="1"/>
    <x v="1"/>
    <s v="Product E"/>
    <n v="36"/>
    <n v="421"/>
    <n v="315750"/>
    <n v="34732.5"/>
    <n v="38"/>
    <d v="2020-07-01T00:00:00"/>
    <n v="1.5905130367918499E-3"/>
  </r>
  <r>
    <n v="10624"/>
    <n v="2020"/>
    <s v="setembro"/>
    <d v="2020-09-15T00:00:00"/>
    <x v="1"/>
    <x v="3"/>
    <s v="Product C"/>
    <n v="20"/>
    <n v="253"/>
    <n v="88550"/>
    <n v="11511.5"/>
    <n v="38"/>
    <d v="2020-07-01T00:00:00"/>
    <n v="4.4604886589998002E-4"/>
  </r>
  <r>
    <n v="10625"/>
    <n v="2020"/>
    <s v="setembro"/>
    <d v="2020-09-16T00:00:00"/>
    <x v="2"/>
    <x v="2"/>
    <s v="Product A"/>
    <n v="7"/>
    <n v="195"/>
    <n v="97500"/>
    <n v="38025"/>
    <n v="38"/>
    <d v="2020-07-01T00:00:00"/>
    <n v="4.9113229164593996E-4"/>
  </r>
  <r>
    <n v="10626"/>
    <n v="2020"/>
    <s v="setembro"/>
    <d v="2020-09-17T00:00:00"/>
    <x v="1"/>
    <x v="0"/>
    <s v="Product A"/>
    <n v="11"/>
    <n v="297"/>
    <n v="148500"/>
    <n v="29700"/>
    <n v="38"/>
    <d v="2020-07-01T00:00:00"/>
    <n v="7.4803225958381704E-4"/>
  </r>
  <r>
    <n v="10627"/>
    <n v="2020"/>
    <s v="setembro"/>
    <d v="2020-09-18T00:00:00"/>
    <x v="3"/>
    <x v="4"/>
    <s v="Product C"/>
    <n v="22"/>
    <n v="391"/>
    <n v="136850"/>
    <n v="56108.5"/>
    <n v="38"/>
    <d v="2020-07-01T00:00:00"/>
    <n v="6.8934824729996902E-4"/>
  </r>
  <r>
    <n v="10628"/>
    <n v="2020"/>
    <s v="setembro"/>
    <d v="2020-09-19T00:00:00"/>
    <x v="2"/>
    <x v="0"/>
    <s v="Product C"/>
    <n v="1"/>
    <n v="18"/>
    <n v="6300"/>
    <n v="2520"/>
    <n v="38"/>
    <d v="2020-07-01T00:00:00"/>
    <n v="3.1734701921737698E-5"/>
  </r>
  <r>
    <n v="10629"/>
    <n v="2020"/>
    <s v="setembro"/>
    <d v="2020-09-20T00:00:00"/>
    <x v="2"/>
    <x v="1"/>
    <s v="Product B"/>
    <n v="2"/>
    <n v="85"/>
    <n v="21250"/>
    <n v="4462.5"/>
    <n v="39"/>
    <d v="2020-07-01T00:00:00"/>
    <n v="1.07041653307449E-4"/>
  </r>
  <r>
    <n v="10630"/>
    <n v="2020"/>
    <s v="setembro"/>
    <d v="2020-09-21T00:00:00"/>
    <x v="1"/>
    <x v="2"/>
    <s v="Product C"/>
    <n v="6"/>
    <n v="306"/>
    <n v="107100"/>
    <n v="10710"/>
    <n v="39"/>
    <d v="2020-07-01T00:00:00"/>
    <n v="5.3948993266954097E-4"/>
  </r>
  <r>
    <n v="10631"/>
    <n v="2020"/>
    <s v="setembro"/>
    <d v="2020-09-22T00:00:00"/>
    <x v="1"/>
    <x v="3"/>
    <s v="Product A"/>
    <n v="10"/>
    <n v="122"/>
    <n v="61000"/>
    <n v="11590"/>
    <n v="39"/>
    <d v="2020-07-01T00:00:00"/>
    <n v="3.0727251067079399E-4"/>
  </r>
  <r>
    <n v="10632"/>
    <n v="2020"/>
    <s v="setembro"/>
    <d v="2020-09-23T00:00:00"/>
    <x v="0"/>
    <x v="0"/>
    <s v="Product D"/>
    <n v="11"/>
    <n v="203"/>
    <n v="172550"/>
    <n v="77647.5"/>
    <n v="39"/>
    <d v="2020-07-01T00:00:00"/>
    <n v="8.6917822485648203E-4"/>
  </r>
  <r>
    <n v="10633"/>
    <n v="2020"/>
    <s v="setembro"/>
    <d v="2020-09-24T00:00:00"/>
    <x v="2"/>
    <x v="1"/>
    <s v="Product E"/>
    <n v="29"/>
    <n v="292"/>
    <n v="219000"/>
    <n v="30660.000000000004"/>
    <n v="39"/>
    <d v="2020-07-01T00:00:00"/>
    <n v="1.1031586858508799E-3"/>
  </r>
  <r>
    <n v="10634"/>
    <n v="2020"/>
    <s v="setembro"/>
    <d v="2020-09-25T00:00:00"/>
    <x v="2"/>
    <x v="4"/>
    <s v="Product A"/>
    <n v="8"/>
    <n v="83"/>
    <n v="41500"/>
    <n v="16185"/>
    <n v="39"/>
    <d v="2020-07-01T00:00:00"/>
    <n v="2.0904605234160501E-4"/>
  </r>
  <r>
    <n v="10635"/>
    <n v="2020"/>
    <s v="setembro"/>
    <d v="2020-09-26T00:00:00"/>
    <x v="4"/>
    <x v="2"/>
    <s v="Product C"/>
    <n v="19"/>
    <n v="311"/>
    <n v="108850"/>
    <n v="34832"/>
    <n v="39"/>
    <d v="2020-07-01T00:00:00"/>
    <n v="5.4830512764780098E-4"/>
  </r>
  <r>
    <n v="10636"/>
    <n v="2020"/>
    <s v="setembro"/>
    <d v="2020-09-27T00:00:00"/>
    <x v="4"/>
    <x v="0"/>
    <s v="Product E"/>
    <n v="9"/>
    <n v="478"/>
    <n v="358500"/>
    <n v="150570"/>
    <n v="40"/>
    <d v="2020-07-01T00:00:00"/>
    <n v="1.8058556569750699E-3"/>
  </r>
  <r>
    <n v="10637"/>
    <n v="2020"/>
    <s v="setembro"/>
    <d v="2020-09-28T00:00:00"/>
    <x v="0"/>
    <x v="4"/>
    <s v="Product C"/>
    <n v="22"/>
    <n v="242"/>
    <n v="84700"/>
    <n v="29644.999999999996"/>
    <n v="40"/>
    <d v="2020-07-01T00:00:00"/>
    <n v="4.26655436947807E-4"/>
  </r>
  <r>
    <n v="10638"/>
    <n v="2020"/>
    <s v="setembro"/>
    <d v="2020-09-29T00:00:00"/>
    <x v="0"/>
    <x v="1"/>
    <s v="Product A"/>
    <n v="26"/>
    <n v="421"/>
    <n v="210500"/>
    <n v="82095"/>
    <n v="40"/>
    <d v="2020-07-01T00:00:00"/>
    <n v="1.0603420245279E-3"/>
  </r>
  <r>
    <n v="10639"/>
    <n v="2020"/>
    <s v="setembro"/>
    <d v="2020-09-30T00:00:00"/>
    <x v="1"/>
    <x v="0"/>
    <s v="Product C"/>
    <n v="17"/>
    <n v="276"/>
    <n v="96600"/>
    <n v="32844"/>
    <n v="40"/>
    <d v="2020-07-01T00:00:00"/>
    <n v="4.86598762799978E-4"/>
  </r>
  <r>
    <n v="10640"/>
    <n v="2020"/>
    <s v="outubro"/>
    <d v="2020-10-01T00:00:00"/>
    <x v="1"/>
    <x v="4"/>
    <s v="Product E"/>
    <n v="2"/>
    <n v="90"/>
    <n v="67500"/>
    <n v="12825"/>
    <n v="40"/>
    <d v="2020-10-01T00:00:00"/>
    <n v="3.4001466344719001E-4"/>
  </r>
  <r>
    <n v="10641"/>
    <n v="2020"/>
    <s v="outubro"/>
    <d v="2020-10-02T00:00:00"/>
    <x v="4"/>
    <x v="0"/>
    <s v="Product E"/>
    <n v="5"/>
    <n v="69"/>
    <n v="51750"/>
    <n v="13455"/>
    <n v="40"/>
    <d v="2020-10-01T00:00:00"/>
    <n v="2.60677908642845E-4"/>
  </r>
  <r>
    <n v="10642"/>
    <n v="2020"/>
    <s v="outubro"/>
    <d v="2020-10-03T00:00:00"/>
    <x v="3"/>
    <x v="1"/>
    <s v="Product B"/>
    <n v="7"/>
    <n v="364"/>
    <n v="91000"/>
    <n v="27300"/>
    <n v="40"/>
    <d v="2020-10-01T00:00:00"/>
    <n v="4.5839013886954399E-4"/>
  </r>
  <r>
    <n v="10643"/>
    <n v="2020"/>
    <s v="outubro"/>
    <d v="2020-10-04T00:00:00"/>
    <x v="4"/>
    <x v="0"/>
    <s v="Product C"/>
    <n v="9"/>
    <n v="169"/>
    <n v="59150"/>
    <n v="24251.5"/>
    <n v="41"/>
    <d v="2020-10-01T00:00:00"/>
    <n v="2.9795359026520401E-4"/>
  </r>
  <r>
    <n v="10644"/>
    <n v="2020"/>
    <s v="outubro"/>
    <d v="2020-10-05T00:00:00"/>
    <x v="3"/>
    <x v="0"/>
    <s v="Product C"/>
    <n v="1"/>
    <n v="21"/>
    <n v="7350"/>
    <n v="2866.5"/>
    <n v="41"/>
    <d v="2020-10-01T00:00:00"/>
    <n v="3.7023818908693997E-5"/>
  </r>
  <r>
    <n v="10645"/>
    <n v="2020"/>
    <s v="outubro"/>
    <d v="2020-10-06T00:00:00"/>
    <x v="4"/>
    <x v="1"/>
    <s v="Product D"/>
    <n v="5"/>
    <n v="97"/>
    <n v="82450"/>
    <n v="20612.5"/>
    <n v="41"/>
    <d v="2020-10-01T00:00:00"/>
    <n v="4.153216148329E-4"/>
  </r>
  <r>
    <n v="10646"/>
    <n v="2020"/>
    <s v="outubro"/>
    <d v="2020-10-07T00:00:00"/>
    <x v="4"/>
    <x v="1"/>
    <s v="Product C"/>
    <n v="23"/>
    <n v="384"/>
    <n v="134400"/>
    <n v="14784"/>
    <n v="41"/>
    <d v="2020-10-01T00:00:00"/>
    <n v="6.7700697433040397E-4"/>
  </r>
  <r>
    <n v="10647"/>
    <n v="2020"/>
    <s v="outubro"/>
    <d v="2020-10-08T00:00:00"/>
    <x v="2"/>
    <x v="0"/>
    <s v="Product D"/>
    <n v="18"/>
    <n v="395"/>
    <n v="335750"/>
    <n v="110797.5"/>
    <n v="41"/>
    <d v="2020-10-01T00:00:00"/>
    <n v="1.69125812225769E-3"/>
  </r>
  <r>
    <n v="10648"/>
    <n v="2020"/>
    <s v="outubro"/>
    <d v="2020-10-09T00:00:00"/>
    <x v="4"/>
    <x v="0"/>
    <s v="Product E"/>
    <n v="21"/>
    <n v="433"/>
    <n v="324750"/>
    <n v="38970"/>
    <n v="41"/>
    <d v="2020-10-01T00:00:00"/>
    <n v="1.6358483252514799E-3"/>
  </r>
  <r>
    <n v="10649"/>
    <n v="2020"/>
    <s v="outubro"/>
    <d v="2020-10-10T00:00:00"/>
    <x v="3"/>
    <x v="0"/>
    <s v="Product C"/>
    <n v="7"/>
    <n v="370"/>
    <n v="129500"/>
    <n v="12950"/>
    <n v="41"/>
    <d v="2020-10-01T00:00:00"/>
    <n v="6.5232442839127495E-4"/>
  </r>
  <r>
    <n v="10650"/>
    <n v="2020"/>
    <s v="outubro"/>
    <d v="2020-10-11T00:00:00"/>
    <x v="3"/>
    <x v="0"/>
    <s v="Product B"/>
    <n v="40"/>
    <n v="425"/>
    <n v="106250"/>
    <n v="38250"/>
    <n v="42"/>
    <d v="2020-10-01T00:00:00"/>
    <n v="5.3520826653724303E-4"/>
  </r>
  <r>
    <n v="10651"/>
    <n v="2020"/>
    <s v="outubro"/>
    <d v="2020-10-12T00:00:00"/>
    <x v="2"/>
    <x v="0"/>
    <s v="Product A"/>
    <n v="32"/>
    <n v="323"/>
    <n v="161500"/>
    <n v="35530"/>
    <n v="42"/>
    <d v="2020-10-01T00:00:00"/>
    <n v="8.1351656513660897E-4"/>
  </r>
  <r>
    <n v="10652"/>
    <n v="2020"/>
    <s v="outubro"/>
    <d v="2020-10-13T00:00:00"/>
    <x v="3"/>
    <x v="2"/>
    <s v="Product C"/>
    <n v="14"/>
    <n v="438"/>
    <n v="153300"/>
    <n v="64386"/>
    <n v="42"/>
    <d v="2020-10-01T00:00:00"/>
    <n v="7.7221108009561696E-4"/>
  </r>
  <r>
    <n v="10653"/>
    <n v="2020"/>
    <s v="outubro"/>
    <d v="2020-10-14T00:00:00"/>
    <x v="0"/>
    <x v="4"/>
    <s v="Product D"/>
    <n v="5"/>
    <n v="97"/>
    <n v="82450"/>
    <n v="31331"/>
    <n v="42"/>
    <d v="2020-10-01T00:00:00"/>
    <n v="4.153216148329E-4"/>
  </r>
  <r>
    <n v="10654"/>
    <n v="2020"/>
    <s v="outubro"/>
    <d v="2020-10-15T00:00:00"/>
    <x v="2"/>
    <x v="0"/>
    <s v="Product B"/>
    <n v="7"/>
    <n v="110"/>
    <n v="27500"/>
    <n v="8525"/>
    <n v="42"/>
    <d v="2020-10-01T00:00:00"/>
    <n v="1.38524492515522E-4"/>
  </r>
  <r>
    <n v="10655"/>
    <n v="2020"/>
    <s v="outubro"/>
    <d v="2020-10-16T00:00:00"/>
    <x v="4"/>
    <x v="1"/>
    <s v="Product C"/>
    <n v="1"/>
    <n v="44"/>
    <n v="15400"/>
    <n v="4928"/>
    <n v="42"/>
    <d v="2020-10-01T00:00:00"/>
    <n v="7.7573715808692103E-5"/>
  </r>
  <r>
    <n v="10656"/>
    <n v="2020"/>
    <s v="outubro"/>
    <d v="2020-10-17T00:00:00"/>
    <x v="1"/>
    <x v="2"/>
    <s v="Product C"/>
    <n v="5"/>
    <n v="61"/>
    <n v="21350"/>
    <n v="4270"/>
    <n v="42"/>
    <d v="2020-10-01T00:00:00"/>
    <n v="1.07545378734778E-4"/>
  </r>
  <r>
    <n v="10657"/>
    <n v="2020"/>
    <s v="outubro"/>
    <d v="2020-10-18T00:00:00"/>
    <x v="0"/>
    <x v="0"/>
    <s v="Product C"/>
    <n v="26"/>
    <n v="343"/>
    <n v="120050"/>
    <n v="16807"/>
    <n v="43"/>
    <d v="2020-10-01T00:00:00"/>
    <n v="6.0472237550866803E-4"/>
  </r>
  <r>
    <n v="10658"/>
    <n v="2020"/>
    <s v="outubro"/>
    <d v="2020-10-19T00:00:00"/>
    <x v="2"/>
    <x v="4"/>
    <s v="Product C"/>
    <n v="11"/>
    <n v="247"/>
    <n v="86450"/>
    <n v="11238.5"/>
    <n v="43"/>
    <d v="2020-10-01T00:00:00"/>
    <n v="4.3547063192606701E-4"/>
  </r>
  <r>
    <n v="10659"/>
    <n v="2020"/>
    <s v="outubro"/>
    <d v="2020-10-20T00:00:00"/>
    <x v="3"/>
    <x v="1"/>
    <s v="Product B"/>
    <n v="14"/>
    <n v="449"/>
    <n v="112250"/>
    <n v="32552.499999999996"/>
    <n v="43"/>
    <d v="2020-10-01T00:00:00"/>
    <n v="5.6543179217699298E-4"/>
  </r>
  <r>
    <n v="10660"/>
    <n v="2020"/>
    <s v="outubro"/>
    <d v="2020-10-21T00:00:00"/>
    <x v="0"/>
    <x v="4"/>
    <s v="Product E"/>
    <n v="4"/>
    <n v="58"/>
    <n v="43500"/>
    <n v="13050"/>
    <n v="43"/>
    <d v="2020-10-01T00:00:00"/>
    <n v="2.1912056088818901E-4"/>
  </r>
  <r>
    <n v="10661"/>
    <n v="2020"/>
    <s v="outubro"/>
    <d v="2020-10-22T00:00:00"/>
    <x v="2"/>
    <x v="3"/>
    <s v="Product C"/>
    <n v="11"/>
    <n v="190"/>
    <n v="66500"/>
    <n v="11970"/>
    <n v="43"/>
    <d v="2020-10-01T00:00:00"/>
    <n v="3.3497740917389803E-4"/>
  </r>
  <r>
    <n v="10662"/>
    <n v="2020"/>
    <s v="outubro"/>
    <d v="2020-10-23T00:00:00"/>
    <x v="1"/>
    <x v="3"/>
    <s v="Product E"/>
    <n v="12"/>
    <n v="255"/>
    <n v="191250"/>
    <n v="61200"/>
    <n v="43"/>
    <d v="2020-10-01T00:00:00"/>
    <n v="9.6337487976703702E-4"/>
  </r>
  <r>
    <n v="10663"/>
    <n v="2020"/>
    <s v="outubro"/>
    <d v="2020-10-24T00:00:00"/>
    <x v="0"/>
    <x v="4"/>
    <s v="Product C"/>
    <n v="14"/>
    <n v="428"/>
    <n v="149800"/>
    <n v="20972.000000000004"/>
    <n v="43"/>
    <d v="2020-10-01T00:00:00"/>
    <n v="7.5458069013909597E-4"/>
  </r>
  <r>
    <n v="10664"/>
    <n v="2020"/>
    <s v="outubro"/>
    <d v="2020-10-25T00:00:00"/>
    <x v="3"/>
    <x v="3"/>
    <s v="Product D"/>
    <n v="8"/>
    <n v="124"/>
    <n v="105400"/>
    <n v="45322"/>
    <n v="44"/>
    <d v="2020-10-01T00:00:00"/>
    <n v="5.3092660040494498E-4"/>
  </r>
  <r>
    <n v="10665"/>
    <n v="2020"/>
    <s v="outubro"/>
    <d v="2020-10-26T00:00:00"/>
    <x v="0"/>
    <x v="4"/>
    <s v="Product A"/>
    <n v="13"/>
    <n v="336"/>
    <n v="168000"/>
    <n v="25200"/>
    <n v="44"/>
    <d v="2020-10-01T00:00:00"/>
    <n v="8.4625871791300499E-4"/>
  </r>
  <r>
    <n v="10666"/>
    <n v="2020"/>
    <s v="outubro"/>
    <d v="2020-10-27T00:00:00"/>
    <x v="1"/>
    <x v="1"/>
    <s v="Product A"/>
    <n v="8"/>
    <n v="429"/>
    <n v="214500"/>
    <n v="32175"/>
    <n v="44"/>
    <d v="2020-10-01T00:00:00"/>
    <n v="1.0804910416210699E-3"/>
  </r>
  <r>
    <n v="10667"/>
    <n v="2020"/>
    <s v="outubro"/>
    <d v="2020-10-28T00:00:00"/>
    <x v="1"/>
    <x v="2"/>
    <s v="Product E"/>
    <n v="32"/>
    <n v="341"/>
    <n v="255750"/>
    <n v="53707.5"/>
    <n v="44"/>
    <d v="2020-10-01T00:00:00"/>
    <n v="1.2882777803943501E-3"/>
  </r>
  <r>
    <n v="10668"/>
    <n v="2020"/>
    <s v="outubro"/>
    <d v="2020-10-29T00:00:00"/>
    <x v="2"/>
    <x v="4"/>
    <s v="Product C"/>
    <n v="3"/>
    <n v="48"/>
    <n v="16800"/>
    <n v="2352"/>
    <n v="44"/>
    <d v="2020-10-01T00:00:00"/>
    <n v="8.4625871791300496E-5"/>
  </r>
  <r>
    <n v="10669"/>
    <n v="2020"/>
    <s v="outubro"/>
    <d v="2020-10-30T00:00:00"/>
    <x v="3"/>
    <x v="4"/>
    <s v="Product E"/>
    <n v="1"/>
    <n v="29"/>
    <n v="21750"/>
    <n v="9570"/>
    <n v="44"/>
    <d v="2020-10-01T00:00:00"/>
    <n v="1.09560280444094E-4"/>
  </r>
  <r>
    <n v="10670"/>
    <n v="2020"/>
    <s v="outubro"/>
    <d v="2020-10-31T00:00:00"/>
    <x v="4"/>
    <x v="2"/>
    <s v="Product B"/>
    <n v="7"/>
    <n v="105"/>
    <n v="26250"/>
    <n v="4462.5"/>
    <n v="44"/>
    <d v="2020-10-01T00:00:00"/>
    <n v="1.32227924673907E-4"/>
  </r>
  <r>
    <n v="10671"/>
    <n v="2020"/>
    <s v="novembro"/>
    <d v="2020-11-01T00:00:00"/>
    <x v="3"/>
    <x v="4"/>
    <s v="Product E"/>
    <n v="4"/>
    <n v="310"/>
    <n v="232500"/>
    <n v="41850"/>
    <n v="45"/>
    <d v="2020-10-01T00:00:00"/>
    <n v="1.1711616185403201E-3"/>
  </r>
  <r>
    <n v="10672"/>
    <n v="2020"/>
    <s v="novembro"/>
    <d v="2020-11-02T00:00:00"/>
    <x v="1"/>
    <x v="3"/>
    <s v="Product D"/>
    <n v="1"/>
    <n v="21"/>
    <n v="17850"/>
    <n v="4462.5"/>
    <n v="45"/>
    <d v="2020-10-01T00:00:00"/>
    <n v="8.9914988778256802E-5"/>
  </r>
  <r>
    <n v="10673"/>
    <n v="2020"/>
    <s v="novembro"/>
    <d v="2020-11-03T00:00:00"/>
    <x v="2"/>
    <x v="2"/>
    <s v="Product B"/>
    <n v="4"/>
    <n v="254"/>
    <n v="63500"/>
    <n v="12700"/>
    <n v="45"/>
    <d v="2020-10-01T00:00:00"/>
    <n v="3.19865646354023E-4"/>
  </r>
  <r>
    <n v="10674"/>
    <n v="2020"/>
    <s v="novembro"/>
    <d v="2020-11-04T00:00:00"/>
    <x v="0"/>
    <x v="4"/>
    <s v="Product D"/>
    <n v="12"/>
    <n v="335"/>
    <n v="284750"/>
    <n v="42712.5"/>
    <n v="45"/>
    <d v="2020-10-01T00:00:00"/>
    <n v="1.4343581543198099E-3"/>
  </r>
  <r>
    <n v="10675"/>
    <n v="2020"/>
    <s v="novembro"/>
    <d v="2020-11-05T00:00:00"/>
    <x v="2"/>
    <x v="3"/>
    <s v="Product D"/>
    <n v="26"/>
    <n v="287"/>
    <n v="243950"/>
    <n v="73185"/>
    <n v="45"/>
    <d v="2020-10-01T00:00:00"/>
    <n v="1.2288381799695101E-3"/>
  </r>
  <r>
    <n v="10676"/>
    <n v="2020"/>
    <s v="novembro"/>
    <d v="2020-11-06T00:00:00"/>
    <x v="4"/>
    <x v="2"/>
    <s v="Product C"/>
    <n v="2"/>
    <n v="20"/>
    <n v="7000"/>
    <n v="1470"/>
    <n v="45"/>
    <d v="2020-10-01T00:00:00"/>
    <n v="3.5260779913041902E-5"/>
  </r>
  <r>
    <n v="10677"/>
    <n v="2020"/>
    <s v="novembro"/>
    <d v="2020-11-07T00:00:00"/>
    <x v="0"/>
    <x v="3"/>
    <s v="Product A"/>
    <n v="24"/>
    <n v="267"/>
    <n v="133500"/>
    <n v="40050"/>
    <n v="45"/>
    <d v="2020-10-01T00:00:00"/>
    <n v="6.7247344548444202E-4"/>
  </r>
  <r>
    <n v="10678"/>
    <n v="2020"/>
    <s v="novembro"/>
    <d v="2020-11-08T00:00:00"/>
    <x v="4"/>
    <x v="0"/>
    <s v="Product B"/>
    <n v="29"/>
    <n v="470"/>
    <n v="117500"/>
    <n v="52875"/>
    <n v="46"/>
    <d v="2020-10-01T00:00:00"/>
    <n v="5.9187737711177398E-4"/>
  </r>
  <r>
    <n v="10679"/>
    <n v="2020"/>
    <s v="novembro"/>
    <d v="2020-11-09T00:00:00"/>
    <x v="3"/>
    <x v="3"/>
    <s v="Product E"/>
    <n v="27"/>
    <n v="299"/>
    <n v="224250"/>
    <n v="94185"/>
    <n v="46"/>
    <d v="2020-10-01T00:00:00"/>
    <n v="1.1296042707856599E-3"/>
  </r>
  <r>
    <n v="10680"/>
    <n v="2020"/>
    <s v="novembro"/>
    <d v="2020-11-10T00:00:00"/>
    <x v="4"/>
    <x v="2"/>
    <s v="Product B"/>
    <n v="4"/>
    <n v="225"/>
    <n v="56250"/>
    <n v="25312.5"/>
    <n v="46"/>
    <d v="2020-10-01T00:00:00"/>
    <n v="2.8334555287265798E-4"/>
  </r>
  <r>
    <n v="10681"/>
    <n v="2020"/>
    <s v="novembro"/>
    <d v="2020-11-11T00:00:00"/>
    <x v="4"/>
    <x v="3"/>
    <s v="Product B"/>
    <n v="22"/>
    <n v="297"/>
    <n v="74250"/>
    <n v="23017.5"/>
    <n v="46"/>
    <d v="2020-10-01T00:00:00"/>
    <n v="3.7401612979190798E-4"/>
  </r>
  <r>
    <n v="10682"/>
    <n v="2020"/>
    <s v="novembro"/>
    <d v="2020-11-12T00:00:00"/>
    <x v="1"/>
    <x v="0"/>
    <s v="Product C"/>
    <n v="30"/>
    <n v="380"/>
    <n v="133000"/>
    <n v="27930"/>
    <n v="46"/>
    <d v="2020-10-01T00:00:00"/>
    <n v="6.6995481834779605E-4"/>
  </r>
  <r>
    <n v="10683"/>
    <n v="2020"/>
    <s v="novembro"/>
    <d v="2020-11-13T00:00:00"/>
    <x v="1"/>
    <x v="4"/>
    <s v="Product B"/>
    <n v="27"/>
    <n v="304"/>
    <n v="76000"/>
    <n v="23560"/>
    <n v="46"/>
    <d v="2020-10-01T00:00:00"/>
    <n v="3.8283132477016902E-4"/>
  </r>
  <r>
    <n v="10684"/>
    <n v="2020"/>
    <s v="novembro"/>
    <d v="2020-11-14T00:00:00"/>
    <x v="4"/>
    <x v="3"/>
    <s v="Product B"/>
    <n v="27"/>
    <n v="356"/>
    <n v="89000"/>
    <n v="24920.000000000004"/>
    <n v="46"/>
    <d v="2020-10-01T00:00:00"/>
    <n v="4.48315630322961E-4"/>
  </r>
  <r>
    <n v="10685"/>
    <n v="2020"/>
    <s v="novembro"/>
    <d v="2020-11-15T00:00:00"/>
    <x v="3"/>
    <x v="4"/>
    <s v="Product B"/>
    <n v="13"/>
    <n v="307"/>
    <n v="76750"/>
    <n v="29165"/>
    <n v="47"/>
    <d v="2020-10-01T00:00:00"/>
    <n v="3.8660926547513802E-4"/>
  </r>
  <r>
    <n v="10686"/>
    <n v="2020"/>
    <s v="novembro"/>
    <d v="2020-11-16T00:00:00"/>
    <x v="1"/>
    <x v="2"/>
    <s v="Product C"/>
    <n v="6"/>
    <n v="172"/>
    <n v="60200"/>
    <n v="20468"/>
    <n v="47"/>
    <d v="2020-10-01T00:00:00"/>
    <n v="3.0324270725216E-4"/>
  </r>
  <r>
    <n v="10687"/>
    <n v="2020"/>
    <s v="novembro"/>
    <d v="2020-11-17T00:00:00"/>
    <x v="4"/>
    <x v="4"/>
    <s v="Product B"/>
    <n v="4"/>
    <n v="301"/>
    <n v="75250"/>
    <n v="32357.5"/>
    <n v="47"/>
    <d v="2020-10-01T00:00:00"/>
    <n v="3.7905338406520002E-4"/>
  </r>
  <r>
    <n v="10688"/>
    <n v="2020"/>
    <s v="novembro"/>
    <d v="2020-11-18T00:00:00"/>
    <x v="0"/>
    <x v="3"/>
    <s v="Product D"/>
    <n v="29"/>
    <n v="403"/>
    <n v="342550"/>
    <n v="68510"/>
    <n v="47"/>
    <d v="2020-10-01T00:00:00"/>
    <n v="1.7255114513160699E-3"/>
  </r>
  <r>
    <n v="10689"/>
    <n v="2020"/>
    <s v="novembro"/>
    <d v="2020-11-19T00:00:00"/>
    <x v="3"/>
    <x v="1"/>
    <s v="Product E"/>
    <n v="9"/>
    <n v="301"/>
    <n v="225750"/>
    <n v="90300"/>
    <n v="47"/>
    <d v="2020-10-01T00:00:00"/>
    <n v="1.1371601521956E-3"/>
  </r>
  <r>
    <n v="10690"/>
    <n v="2020"/>
    <s v="novembro"/>
    <d v="2020-11-20T00:00:00"/>
    <x v="4"/>
    <x v="2"/>
    <s v="Product A"/>
    <n v="6"/>
    <n v="187"/>
    <n v="93500"/>
    <n v="29920"/>
    <n v="47"/>
    <d v="2020-10-01T00:00:00"/>
    <n v="4.7098327455277398E-4"/>
  </r>
  <r>
    <n v="10691"/>
    <n v="2020"/>
    <s v="novembro"/>
    <d v="2020-11-21T00:00:00"/>
    <x v="4"/>
    <x v="3"/>
    <s v="Product A"/>
    <n v="48"/>
    <n v="494"/>
    <n v="247000"/>
    <n v="32110"/>
    <n v="47"/>
    <d v="2020-10-01T00:00:00"/>
    <n v="1.24420180550305E-3"/>
  </r>
  <r>
    <n v="10692"/>
    <n v="2020"/>
    <s v="novembro"/>
    <d v="2020-11-22T00:00:00"/>
    <x v="3"/>
    <x v="4"/>
    <s v="Product E"/>
    <n v="4"/>
    <n v="272"/>
    <n v="204000"/>
    <n v="53040"/>
    <n v="48"/>
    <d v="2020-10-01T00:00:00"/>
    <n v="1.0275998717515101E-3"/>
  </r>
  <r>
    <n v="10693"/>
    <n v="2020"/>
    <s v="novembro"/>
    <d v="2020-11-23T00:00:00"/>
    <x v="0"/>
    <x v="2"/>
    <s v="Product D"/>
    <n v="4"/>
    <n v="41"/>
    <n v="34850"/>
    <n v="13940"/>
    <n v="48"/>
    <d v="2020-10-01T00:00:00"/>
    <n v="1.7554831142421601E-4"/>
  </r>
  <r>
    <n v="10694"/>
    <n v="2020"/>
    <s v="novembro"/>
    <d v="2020-11-24T00:00:00"/>
    <x v="4"/>
    <x v="4"/>
    <s v="Product D"/>
    <n v="2"/>
    <n v="48"/>
    <n v="40800"/>
    <n v="15912"/>
    <n v="48"/>
    <d v="2020-10-01T00:00:00"/>
    <n v="2.05519974350301E-4"/>
  </r>
  <r>
    <n v="10695"/>
    <n v="2020"/>
    <s v="novembro"/>
    <d v="2020-11-25T00:00:00"/>
    <x v="2"/>
    <x v="3"/>
    <s v="Product B"/>
    <n v="11"/>
    <n v="243"/>
    <n v="60750"/>
    <n v="22477.5"/>
    <n v="48"/>
    <d v="2020-10-01T00:00:00"/>
    <n v="3.0601319710247101E-4"/>
  </r>
  <r>
    <n v="10696"/>
    <n v="2020"/>
    <s v="novembro"/>
    <d v="2020-11-26T00:00:00"/>
    <x v="3"/>
    <x v="4"/>
    <s v="Product B"/>
    <n v="15"/>
    <n v="206"/>
    <n v="51500"/>
    <n v="15450"/>
    <n v="48"/>
    <d v="2020-10-01T00:00:00"/>
    <n v="2.5941859507452202E-4"/>
  </r>
  <r>
    <n v="10697"/>
    <n v="2020"/>
    <s v="novembro"/>
    <d v="2020-11-27T00:00:00"/>
    <x v="2"/>
    <x v="2"/>
    <s v="Product E"/>
    <n v="22"/>
    <n v="220"/>
    <n v="165000"/>
    <n v="28050.000000000004"/>
    <n v="48"/>
    <d v="2020-10-01T00:00:00"/>
    <n v="8.3114695509312996E-4"/>
  </r>
  <r>
    <n v="10698"/>
    <n v="2020"/>
    <s v="novembro"/>
    <d v="2020-11-28T00:00:00"/>
    <x v="2"/>
    <x v="1"/>
    <s v="Product B"/>
    <n v="2"/>
    <n v="32"/>
    <n v="8000"/>
    <n v="2400"/>
    <n v="48"/>
    <d v="2020-10-01T00:00:00"/>
    <n v="4.02980341863336E-5"/>
  </r>
  <r>
    <n v="10699"/>
    <n v="2020"/>
    <s v="novembro"/>
    <d v="2020-11-29T00:00:00"/>
    <x v="3"/>
    <x v="0"/>
    <s v="Product D"/>
    <n v="27"/>
    <n v="417"/>
    <n v="354450"/>
    <n v="148869"/>
    <n v="49"/>
    <d v="2020-10-01T00:00:00"/>
    <n v="1.78545477716824E-3"/>
  </r>
  <r>
    <n v="10700"/>
    <n v="2020"/>
    <s v="novembro"/>
    <d v="2020-11-30T00:00:00"/>
    <x v="0"/>
    <x v="1"/>
    <s v="Product C"/>
    <n v="20"/>
    <n v="322"/>
    <n v="112700"/>
    <n v="14651"/>
    <n v="49"/>
    <d v="2020-10-01T00:00:00"/>
    <n v="5.6769855659997395E-4"/>
  </r>
  <r>
    <n v="10701"/>
    <n v="2020"/>
    <s v="dezembro"/>
    <d v="2020-12-01T00:00:00"/>
    <x v="3"/>
    <x v="2"/>
    <s v="Product D"/>
    <n v="17"/>
    <n v="300"/>
    <n v="255000"/>
    <n v="102000"/>
    <n v="49"/>
    <d v="2020-10-01T00:00:00"/>
    <n v="1.28449983968938E-3"/>
  </r>
  <r>
    <n v="10702"/>
    <n v="2020"/>
    <s v="dezembro"/>
    <d v="2020-12-02T00:00:00"/>
    <x v="4"/>
    <x v="0"/>
    <s v="Product A"/>
    <n v="26"/>
    <n v="469"/>
    <n v="234500"/>
    <n v="65660"/>
    <n v="49"/>
    <d v="2020-10-01T00:00:00"/>
    <n v="1.1812361270869E-3"/>
  </r>
  <r>
    <n v="10703"/>
    <n v="2020"/>
    <s v="dezembro"/>
    <d v="2020-12-03T00:00:00"/>
    <x v="1"/>
    <x v="1"/>
    <s v="Product C"/>
    <n v="6"/>
    <n v="163"/>
    <n v="57050"/>
    <n v="22249.5"/>
    <n v="49"/>
    <d v="2020-10-01T00:00:00"/>
    <n v="2.8737535629129099E-4"/>
  </r>
  <r>
    <n v="10704"/>
    <n v="2020"/>
    <s v="dezembro"/>
    <d v="2020-12-04T00:00:00"/>
    <x v="4"/>
    <x v="4"/>
    <s v="Product A"/>
    <n v="4"/>
    <n v="138"/>
    <n v="69000"/>
    <n v="17940"/>
    <n v="49"/>
    <d v="2020-10-01T00:00:00"/>
    <n v="3.4757054485712698E-4"/>
  </r>
  <r>
    <n v="10705"/>
    <n v="2020"/>
    <s v="dezembro"/>
    <d v="2020-12-05T00:00:00"/>
    <x v="0"/>
    <x v="0"/>
    <s v="Product C"/>
    <n v="14"/>
    <n v="199"/>
    <n v="69650"/>
    <n v="29253"/>
    <n v="49"/>
    <d v="2020-10-01T00:00:00"/>
    <n v="3.5084476013476698E-4"/>
  </r>
  <r>
    <n v="10706"/>
    <n v="2020"/>
    <s v="dezembro"/>
    <d v="2020-12-06T00:00:00"/>
    <x v="4"/>
    <x v="2"/>
    <s v="Product A"/>
    <n v="7"/>
    <n v="290"/>
    <n v="145000"/>
    <n v="44950"/>
    <n v="50"/>
    <d v="2020-10-01T00:00:00"/>
    <n v="7.3040186962729605E-4"/>
  </r>
  <r>
    <n v="10707"/>
    <n v="2020"/>
    <s v="dezembro"/>
    <d v="2020-12-07T00:00:00"/>
    <x v="1"/>
    <x v="2"/>
    <s v="Product E"/>
    <n v="2"/>
    <n v="72"/>
    <n v="54000"/>
    <n v="7020"/>
    <n v="50"/>
    <d v="2020-10-01T00:00:00"/>
    <n v="2.7201173075775201E-4"/>
  </r>
  <r>
    <n v="10708"/>
    <n v="2020"/>
    <s v="dezembro"/>
    <d v="2020-12-08T00:00:00"/>
    <x v="3"/>
    <x v="4"/>
    <s v="Product E"/>
    <n v="36"/>
    <n v="448"/>
    <n v="336000"/>
    <n v="151200"/>
    <n v="50"/>
    <d v="2020-10-01T00:00:00"/>
    <n v="1.69251743582601E-3"/>
  </r>
  <r>
    <n v="10709"/>
    <n v="2020"/>
    <s v="dezembro"/>
    <d v="2020-12-09T00:00:00"/>
    <x v="2"/>
    <x v="1"/>
    <s v="Product E"/>
    <n v="1"/>
    <n v="65"/>
    <n v="48750"/>
    <n v="6337.5"/>
    <n v="50"/>
    <d v="2020-10-01T00:00:00"/>
    <n v="2.4556614582296998E-4"/>
  </r>
  <r>
    <n v="10710"/>
    <n v="2020"/>
    <s v="dezembro"/>
    <d v="2020-12-10T00:00:00"/>
    <x v="3"/>
    <x v="4"/>
    <s v="Product B"/>
    <n v="3"/>
    <n v="165"/>
    <n v="41250"/>
    <n v="17325"/>
    <n v="50"/>
    <d v="2020-10-01T00:00:00"/>
    <n v="2.07786738773282E-4"/>
  </r>
  <r>
    <n v="10711"/>
    <n v="2020"/>
    <s v="dezembro"/>
    <d v="2020-12-11T00:00:00"/>
    <x v="0"/>
    <x v="0"/>
    <s v="Product A"/>
    <n v="18"/>
    <n v="192"/>
    <n v="96000"/>
    <n v="29760"/>
    <n v="50"/>
    <d v="2020-10-01T00:00:00"/>
    <n v="4.8357641023600298E-4"/>
  </r>
  <r>
    <n v="10712"/>
    <n v="2020"/>
    <s v="dezembro"/>
    <d v="2020-12-12T00:00:00"/>
    <x v="2"/>
    <x v="3"/>
    <s v="Product D"/>
    <n v="16"/>
    <n v="200"/>
    <n v="170000"/>
    <n v="71400"/>
    <n v="50"/>
    <d v="2020-10-01T00:00:00"/>
    <n v="8.5633322645958798E-4"/>
  </r>
  <r>
    <n v="10713"/>
    <n v="2020"/>
    <s v="dezembro"/>
    <d v="2020-12-13T00:00:00"/>
    <x v="2"/>
    <x v="3"/>
    <s v="Product C"/>
    <n v="6"/>
    <n v="321"/>
    <n v="112350"/>
    <n v="43816.5"/>
    <n v="51"/>
    <d v="2020-10-01T00:00:00"/>
    <n v="5.6593551760432197E-4"/>
  </r>
  <r>
    <n v="10714"/>
    <n v="2020"/>
    <s v="dezembro"/>
    <d v="2020-12-14T00:00:00"/>
    <x v="0"/>
    <x v="3"/>
    <s v="Product B"/>
    <n v="15"/>
    <n v="391"/>
    <n v="97750"/>
    <n v="26392.5"/>
    <n v="51"/>
    <d v="2020-10-01T00:00:00"/>
    <n v="4.9239160521426305E-4"/>
  </r>
  <r>
    <n v="10715"/>
    <n v="2020"/>
    <s v="dezembro"/>
    <d v="2020-12-15T00:00:00"/>
    <x v="3"/>
    <x v="3"/>
    <s v="Product C"/>
    <n v="9"/>
    <n v="115"/>
    <n v="40250"/>
    <n v="14490"/>
    <n v="51"/>
    <d v="2020-10-01T00:00:00"/>
    <n v="2.02749484499991E-4"/>
  </r>
  <r>
    <n v="10716"/>
    <n v="2020"/>
    <s v="dezembro"/>
    <d v="2020-12-16T00:00:00"/>
    <x v="0"/>
    <x v="3"/>
    <s v="Product C"/>
    <n v="4"/>
    <n v="128"/>
    <n v="44800"/>
    <n v="20160"/>
    <n v="51"/>
    <d v="2020-10-01T00:00:00"/>
    <n v="2.2566899144346801E-4"/>
  </r>
  <r>
    <n v="10717"/>
    <n v="2020"/>
    <s v="dezembro"/>
    <d v="2020-12-17T00:00:00"/>
    <x v="3"/>
    <x v="0"/>
    <s v="Product D"/>
    <n v="2"/>
    <n v="78"/>
    <n v="66300"/>
    <n v="11271"/>
    <n v="51"/>
    <d v="2020-10-01T00:00:00"/>
    <n v="3.3396995831923998E-4"/>
  </r>
  <r>
    <n v="10718"/>
    <n v="2020"/>
    <s v="dezembro"/>
    <d v="2020-12-18T00:00:00"/>
    <x v="4"/>
    <x v="3"/>
    <s v="Product D"/>
    <n v="20"/>
    <n v="368"/>
    <n v="312800"/>
    <n v="78200"/>
    <n v="51"/>
    <d v="2020-10-01T00:00:00"/>
    <n v="1.57565313668564E-3"/>
  </r>
  <r>
    <n v="10719"/>
    <n v="2020"/>
    <s v="dezembro"/>
    <d v="2020-12-19T00:00:00"/>
    <x v="1"/>
    <x v="3"/>
    <s v="Product D"/>
    <n v="28"/>
    <n v="340"/>
    <n v="289000"/>
    <n v="95370"/>
    <n v="51"/>
    <d v="2020-10-01T00:00:00"/>
    <n v="1.4557664849813E-3"/>
  </r>
  <r>
    <n v="10720"/>
    <n v="2020"/>
    <s v="dezembro"/>
    <d v="2020-12-20T00:00:00"/>
    <x v="1"/>
    <x v="1"/>
    <s v="Product D"/>
    <n v="10"/>
    <n v="122"/>
    <n v="103700"/>
    <n v="41480"/>
    <n v="52"/>
    <d v="2020-10-01T00:00:00"/>
    <n v="5.2236326814034898E-4"/>
  </r>
  <r>
    <n v="10721"/>
    <n v="2020"/>
    <s v="dezembro"/>
    <d v="2020-12-21T00:00:00"/>
    <x v="0"/>
    <x v="0"/>
    <s v="Product E"/>
    <n v="15"/>
    <n v="235"/>
    <n v="176250"/>
    <n v="31725"/>
    <n v="52"/>
    <d v="2020-10-01T00:00:00"/>
    <n v="8.8781606566766199E-4"/>
  </r>
  <r>
    <n v="10722"/>
    <n v="2020"/>
    <s v="dezembro"/>
    <d v="2020-12-22T00:00:00"/>
    <x v="1"/>
    <x v="3"/>
    <s v="Product E"/>
    <n v="9"/>
    <n v="273"/>
    <n v="204750"/>
    <n v="85995"/>
    <n v="52"/>
    <d v="2020-10-01T00:00:00"/>
    <n v="1.0313778124564699E-3"/>
  </r>
  <r>
    <n v="10723"/>
    <n v="2020"/>
    <s v="dezembro"/>
    <d v="2020-12-23T00:00:00"/>
    <x v="1"/>
    <x v="2"/>
    <s v="Product D"/>
    <n v="5"/>
    <n v="92"/>
    <n v="78200"/>
    <n v="15640"/>
    <n v="52"/>
    <d v="2020-10-01T00:00:00"/>
    <n v="3.9391328417141098E-4"/>
  </r>
  <r>
    <n v="10724"/>
    <n v="2020"/>
    <s v="dezembro"/>
    <d v="2020-12-24T00:00:00"/>
    <x v="3"/>
    <x v="3"/>
    <s v="Product C"/>
    <n v="6"/>
    <n v="79"/>
    <n v="27650"/>
    <n v="9124.5"/>
    <n v="52"/>
    <d v="2020-10-01T00:00:00"/>
    <n v="1.39280080656515E-4"/>
  </r>
  <r>
    <n v="10725"/>
    <n v="2020"/>
    <s v="dezembro"/>
    <d v="2020-12-25T00:00:00"/>
    <x v="2"/>
    <x v="2"/>
    <s v="Product D"/>
    <n v="22"/>
    <n v="452"/>
    <n v="384200"/>
    <n v="149838"/>
    <n v="52"/>
    <d v="2020-10-01T00:00:00"/>
    <n v="1.9353130917986699E-3"/>
  </r>
  <r>
    <n v="10726"/>
    <n v="2020"/>
    <s v="dezembro"/>
    <d v="2020-12-26T00:00:00"/>
    <x v="1"/>
    <x v="0"/>
    <s v="Product E"/>
    <n v="19"/>
    <n v="392"/>
    <n v="294000"/>
    <n v="94080"/>
    <n v="52"/>
    <d v="2020-10-01T00:00:00"/>
    <n v="1.48095275634776E-3"/>
  </r>
  <r>
    <n v="10727"/>
    <n v="2020"/>
    <s v="dezembro"/>
    <d v="2020-12-27T00:00:00"/>
    <x v="4"/>
    <x v="0"/>
    <s v="Product E"/>
    <n v="5"/>
    <n v="91"/>
    <n v="68250"/>
    <n v="9555"/>
    <n v="53"/>
    <d v="2020-10-01T00:00:00"/>
    <n v="3.4379260415215798E-4"/>
  </r>
  <r>
    <n v="10728"/>
    <n v="2020"/>
    <s v="dezembro"/>
    <d v="2020-12-28T00:00:00"/>
    <x v="0"/>
    <x v="3"/>
    <s v="Product C"/>
    <n v="10"/>
    <n v="110"/>
    <n v="38500"/>
    <n v="3850"/>
    <n v="53"/>
    <d v="2020-10-01T00:00:00"/>
    <n v="1.9393428952173001E-4"/>
  </r>
  <r>
    <n v="10729"/>
    <n v="2020"/>
    <s v="dezembro"/>
    <d v="2020-12-29T00:00:00"/>
    <x v="1"/>
    <x v="2"/>
    <s v="Product B"/>
    <n v="3"/>
    <n v="186"/>
    <n v="46500"/>
    <n v="9300"/>
    <n v="53"/>
    <d v="2020-10-01T00:00:00"/>
    <n v="2.3423232370806401E-4"/>
  </r>
  <r>
    <n v="10730"/>
    <n v="2020"/>
    <s v="dezembro"/>
    <d v="2020-12-30T00:00:00"/>
    <x v="0"/>
    <x v="3"/>
    <s v="Product D"/>
    <n v="26"/>
    <n v="296"/>
    <n v="251600"/>
    <n v="60384"/>
    <n v="53"/>
    <d v="2020-10-01T00:00:00"/>
    <n v="1.26737317516019E-3"/>
  </r>
  <r>
    <n v="10731"/>
    <n v="2020"/>
    <s v="dezembro"/>
    <d v="2020-12-31T00:00:00"/>
    <x v="3"/>
    <x v="2"/>
    <s v="Product E"/>
    <n v="27"/>
    <n v="491"/>
    <n v="368250"/>
    <n v="81015"/>
    <n v="53"/>
    <d v="2020-10-01T00:00:00"/>
    <n v="1.8549688861396699E-3"/>
  </r>
  <r>
    <n v="10732"/>
    <n v="2021"/>
    <s v="janeiro"/>
    <d v="2021-01-01T00:00:00"/>
    <x v="2"/>
    <x v="3"/>
    <s v="Product E"/>
    <n v="2"/>
    <n v="25"/>
    <n v="18750"/>
    <n v="3937.5"/>
    <n v="1"/>
    <d v="2021-01-01T00:00:00"/>
    <n v="9.4448517624219299E-5"/>
  </r>
  <r>
    <n v="10733"/>
    <n v="2021"/>
    <s v="janeiro"/>
    <d v="2021-01-02T00:00:00"/>
    <x v="0"/>
    <x v="1"/>
    <s v="Product E"/>
    <n v="10"/>
    <n v="190"/>
    <n v="142500"/>
    <n v="48450"/>
    <n v="1"/>
    <d v="2021-01-01T00:00:00"/>
    <n v="7.1780873394406699E-4"/>
  </r>
  <r>
    <n v="10734"/>
    <n v="2021"/>
    <s v="janeiro"/>
    <d v="2021-01-03T00:00:00"/>
    <x v="1"/>
    <x v="2"/>
    <s v="Product D"/>
    <n v="24"/>
    <n v="267"/>
    <n v="226950"/>
    <n v="38581.5"/>
    <n v="2"/>
    <d v="2021-01-01T00:00:00"/>
    <n v="1.1432048573235499E-3"/>
  </r>
  <r>
    <n v="10735"/>
    <n v="2021"/>
    <s v="janeiro"/>
    <d v="2021-01-04T00:00:00"/>
    <x v="1"/>
    <x v="2"/>
    <s v="Product B"/>
    <n v="21"/>
    <n v="468"/>
    <n v="117000"/>
    <n v="46800"/>
    <n v="2"/>
    <d v="2021-01-01T00:00:00"/>
    <n v="5.8935874997512801E-4"/>
  </r>
  <r>
    <n v="10736"/>
    <n v="2021"/>
    <s v="janeiro"/>
    <d v="2021-01-05T00:00:00"/>
    <x v="0"/>
    <x v="3"/>
    <s v="Product A"/>
    <n v="9"/>
    <n v="178"/>
    <n v="89000"/>
    <n v="14240"/>
    <n v="2"/>
    <d v="2021-01-01T00:00:00"/>
    <n v="4.48315630322961E-4"/>
  </r>
  <r>
    <n v="10737"/>
    <n v="2021"/>
    <s v="janeiro"/>
    <d v="2021-01-06T00:00:00"/>
    <x v="1"/>
    <x v="3"/>
    <s v="Product E"/>
    <n v="4"/>
    <n v="66"/>
    <n v="49500"/>
    <n v="9405"/>
    <n v="2"/>
    <d v="2021-01-01T00:00:00"/>
    <n v="2.4934408652793898E-4"/>
  </r>
  <r>
    <n v="10738"/>
    <n v="2021"/>
    <s v="janeiro"/>
    <d v="2021-01-07T00:00:00"/>
    <x v="2"/>
    <x v="4"/>
    <s v="Product D"/>
    <n v="7"/>
    <n v="160"/>
    <n v="136000"/>
    <n v="20400"/>
    <n v="2"/>
    <d v="2021-01-01T00:00:00"/>
    <n v="6.8506658116767097E-4"/>
  </r>
  <r>
    <n v="10739"/>
    <n v="2021"/>
    <s v="janeiro"/>
    <d v="2021-01-08T00:00:00"/>
    <x v="2"/>
    <x v="2"/>
    <s v="Product A"/>
    <n v="11"/>
    <n v="144"/>
    <n v="72000"/>
    <n v="20880"/>
    <n v="2"/>
    <d v="2021-01-01T00:00:00"/>
    <n v="3.6268230767700201E-4"/>
  </r>
  <r>
    <n v="10740"/>
    <n v="2021"/>
    <s v="janeiro"/>
    <d v="2021-01-09T00:00:00"/>
    <x v="0"/>
    <x v="2"/>
    <s v="Product C"/>
    <n v="6"/>
    <n v="383"/>
    <n v="134050"/>
    <n v="53620"/>
    <n v="2"/>
    <d v="2021-01-01T00:00:00"/>
    <n v="6.7524393533475199E-4"/>
  </r>
  <r>
    <n v="10741"/>
    <n v="2021"/>
    <s v="janeiro"/>
    <d v="2021-01-10T00:00:00"/>
    <x v="1"/>
    <x v="1"/>
    <s v="Product C"/>
    <n v="14"/>
    <n v="338"/>
    <n v="118300"/>
    <n v="22477"/>
    <n v="3"/>
    <d v="2021-01-01T00:00:00"/>
    <n v="5.9590718053040802E-4"/>
  </r>
  <r>
    <n v="10742"/>
    <n v="2021"/>
    <s v="janeiro"/>
    <d v="2021-01-11T00:00:00"/>
    <x v="1"/>
    <x v="2"/>
    <s v="Product A"/>
    <n v="17"/>
    <n v="186"/>
    <n v="93000"/>
    <n v="21390"/>
    <n v="3"/>
    <d v="2021-01-01T00:00:00"/>
    <n v="4.6846464741612801E-4"/>
  </r>
  <r>
    <n v="10743"/>
    <n v="2021"/>
    <s v="janeiro"/>
    <d v="2021-01-12T00:00:00"/>
    <x v="0"/>
    <x v="3"/>
    <s v="Product E"/>
    <n v="48"/>
    <n v="493"/>
    <n v="369750"/>
    <n v="59160"/>
    <n v="3"/>
    <d v="2021-01-01T00:00:00"/>
    <n v="1.8625247675496E-3"/>
  </r>
  <r>
    <n v="10744"/>
    <n v="2021"/>
    <s v="janeiro"/>
    <d v="2021-01-13T00:00:00"/>
    <x v="2"/>
    <x v="4"/>
    <s v="Product E"/>
    <n v="8"/>
    <n v="157"/>
    <n v="117750"/>
    <n v="47100"/>
    <n v="3"/>
    <d v="2021-01-01T00:00:00"/>
    <n v="5.9313669068009696E-4"/>
  </r>
  <r>
    <n v="10745"/>
    <n v="2021"/>
    <s v="janeiro"/>
    <d v="2021-01-14T00:00:00"/>
    <x v="2"/>
    <x v="2"/>
    <s v="Product D"/>
    <n v="1"/>
    <n v="51"/>
    <n v="43350"/>
    <n v="12138.000000000002"/>
    <n v="3"/>
    <d v="2021-01-01T00:00:00"/>
    <n v="2.1836497274719499E-4"/>
  </r>
  <r>
    <n v="10746"/>
    <n v="2021"/>
    <s v="janeiro"/>
    <d v="2021-01-15T00:00:00"/>
    <x v="0"/>
    <x v="4"/>
    <s v="Product D"/>
    <n v="8"/>
    <n v="139"/>
    <n v="118150"/>
    <n v="12996.5"/>
    <n v="3"/>
    <d v="2021-01-01T00:00:00"/>
    <n v="5.9515159238941403E-4"/>
  </r>
  <r>
    <n v="10747"/>
    <n v="2021"/>
    <s v="janeiro"/>
    <d v="2021-01-16T00:00:00"/>
    <x v="2"/>
    <x v="0"/>
    <s v="Product D"/>
    <n v="6"/>
    <n v="222"/>
    <n v="188700"/>
    <n v="35853"/>
    <n v="3"/>
    <d v="2021-01-01T00:00:00"/>
    <n v="9.5052988137014297E-4"/>
  </r>
  <r>
    <n v="10748"/>
    <n v="2021"/>
    <s v="janeiro"/>
    <d v="2021-01-17T00:00:00"/>
    <x v="0"/>
    <x v="3"/>
    <s v="Product A"/>
    <n v="15"/>
    <n v="226"/>
    <n v="113000"/>
    <n v="15820.000000000002"/>
    <n v="4"/>
    <d v="2021-01-01T00:00:00"/>
    <n v="5.6920973288196203E-4"/>
  </r>
  <r>
    <n v="10749"/>
    <n v="2021"/>
    <s v="janeiro"/>
    <d v="2021-01-18T00:00:00"/>
    <x v="0"/>
    <x v="4"/>
    <s v="Product E"/>
    <n v="12"/>
    <n v="221"/>
    <n v="165750"/>
    <n v="71272.5"/>
    <n v="4"/>
    <d v="2021-01-01T00:00:00"/>
    <n v="8.3492489579809902E-4"/>
  </r>
  <r>
    <n v="10750"/>
    <n v="2021"/>
    <s v="janeiro"/>
    <d v="2021-01-19T00:00:00"/>
    <x v="2"/>
    <x v="4"/>
    <s v="Product B"/>
    <n v="5"/>
    <n v="380"/>
    <n v="95000"/>
    <n v="37050"/>
    <n v="4"/>
    <d v="2021-01-01T00:00:00"/>
    <n v="4.78539155962711E-4"/>
  </r>
  <r>
    <n v="10751"/>
    <n v="2021"/>
    <s v="janeiro"/>
    <d v="2021-01-20T00:00:00"/>
    <x v="4"/>
    <x v="3"/>
    <s v="Product B"/>
    <n v="17"/>
    <n v="415"/>
    <n v="103750"/>
    <n v="33200"/>
    <n v="4"/>
    <d v="2021-01-01T00:00:00"/>
    <n v="5.2261513085401397E-4"/>
  </r>
  <r>
    <n v="10752"/>
    <n v="2021"/>
    <s v="janeiro"/>
    <d v="2021-01-21T00:00:00"/>
    <x v="3"/>
    <x v="0"/>
    <s v="Product B"/>
    <n v="7"/>
    <n v="151"/>
    <n v="37750"/>
    <n v="3775"/>
    <n v="4"/>
    <d v="2021-01-01T00:00:00"/>
    <n v="1.9015634881676199E-4"/>
  </r>
  <r>
    <n v="10753"/>
    <n v="2021"/>
    <s v="janeiro"/>
    <d v="2021-01-22T00:00:00"/>
    <x v="3"/>
    <x v="0"/>
    <s v="Product E"/>
    <n v="5"/>
    <n v="127"/>
    <n v="95250"/>
    <n v="32385.000000000004"/>
    <n v="4"/>
    <d v="2021-01-01T00:00:00"/>
    <n v="4.7979846953103398E-4"/>
  </r>
  <r>
    <n v="10754"/>
    <n v="2021"/>
    <s v="janeiro"/>
    <d v="2021-01-23T00:00:00"/>
    <x v="1"/>
    <x v="3"/>
    <s v="Product C"/>
    <n v="21"/>
    <n v="314"/>
    <n v="109900"/>
    <n v="12089"/>
    <n v="4"/>
    <d v="2021-01-01T00:00:00"/>
    <n v="5.5359424463475703E-4"/>
  </r>
  <r>
    <n v="10755"/>
    <n v="2021"/>
    <s v="janeiro"/>
    <d v="2021-01-24T00:00:00"/>
    <x v="3"/>
    <x v="4"/>
    <s v="Product D"/>
    <n v="36"/>
    <n v="401"/>
    <n v="340850"/>
    <n v="78395.5"/>
    <n v="5"/>
    <d v="2021-01-01T00:00:00"/>
    <n v="1.7169481190514801E-3"/>
  </r>
  <r>
    <n v="10756"/>
    <n v="2021"/>
    <s v="janeiro"/>
    <d v="2021-01-25T00:00:00"/>
    <x v="1"/>
    <x v="2"/>
    <s v="Product C"/>
    <n v="16"/>
    <n v="202"/>
    <n v="70700"/>
    <n v="22624"/>
    <n v="5"/>
    <d v="2021-01-01T00:00:00"/>
    <n v="3.5613387712172298E-4"/>
  </r>
  <r>
    <n v="10757"/>
    <n v="2021"/>
    <s v="janeiro"/>
    <d v="2021-01-26T00:00:00"/>
    <x v="0"/>
    <x v="1"/>
    <s v="Product A"/>
    <n v="34"/>
    <n v="382"/>
    <n v="191000"/>
    <n v="38200"/>
    <n v="5"/>
    <d v="2021-01-01T00:00:00"/>
    <n v="9.6211556619871404E-4"/>
  </r>
  <r>
    <n v="10758"/>
    <n v="2021"/>
    <s v="janeiro"/>
    <d v="2021-01-27T00:00:00"/>
    <x v="3"/>
    <x v="2"/>
    <s v="Product D"/>
    <n v="13"/>
    <n v="456"/>
    <n v="387600"/>
    <n v="73644"/>
    <n v="5"/>
    <d v="2021-01-01T00:00:00"/>
    <n v="1.95243975632786E-3"/>
  </r>
  <r>
    <n v="10759"/>
    <n v="2021"/>
    <s v="janeiro"/>
    <d v="2021-01-28T00:00:00"/>
    <x v="1"/>
    <x v="3"/>
    <s v="Product A"/>
    <n v="3"/>
    <n v="215"/>
    <n v="107500"/>
    <n v="39775"/>
    <n v="5"/>
    <d v="2021-01-01T00:00:00"/>
    <n v="5.4150483437885697E-4"/>
  </r>
  <r>
    <n v="10760"/>
    <n v="2021"/>
    <s v="janeiro"/>
    <d v="2021-01-29T00:00:00"/>
    <x v="1"/>
    <x v="1"/>
    <s v="Product A"/>
    <n v="36"/>
    <n v="378"/>
    <n v="189000"/>
    <n v="83160"/>
    <n v="5"/>
    <d v="2021-01-01T00:00:00"/>
    <n v="9.5204105765213105E-4"/>
  </r>
  <r>
    <n v="10761"/>
    <n v="2021"/>
    <s v="janeiro"/>
    <d v="2021-01-30T00:00:00"/>
    <x v="0"/>
    <x v="0"/>
    <s v="Product C"/>
    <n v="16"/>
    <n v="495"/>
    <n v="173250"/>
    <n v="32917.5"/>
    <n v="5"/>
    <d v="2021-01-01T00:00:00"/>
    <n v="8.7270430284778599E-4"/>
  </r>
  <r>
    <n v="10762"/>
    <n v="2021"/>
    <s v="janeiro"/>
    <d v="2021-01-31T00:00:00"/>
    <x v="1"/>
    <x v="3"/>
    <s v="Product C"/>
    <n v="4"/>
    <n v="128"/>
    <n v="44800"/>
    <n v="17024"/>
    <n v="6"/>
    <d v="2021-01-01T00:00:00"/>
    <n v="2.2566899144346801E-4"/>
  </r>
  <r>
    <n v="10763"/>
    <n v="2021"/>
    <s v="fevereiro"/>
    <d v="2021-02-01T00:00:00"/>
    <x v="4"/>
    <x v="4"/>
    <s v="Product B"/>
    <n v="19"/>
    <n v="458"/>
    <n v="114500"/>
    <n v="42365"/>
    <n v="6"/>
    <d v="2021-01-01T00:00:00"/>
    <n v="5.7676561429189895E-4"/>
  </r>
  <r>
    <n v="10764"/>
    <n v="2021"/>
    <s v="fevereiro"/>
    <d v="2021-02-02T00:00:00"/>
    <x v="1"/>
    <x v="0"/>
    <s v="Product E"/>
    <n v="7"/>
    <n v="457"/>
    <n v="342750"/>
    <n v="78832.5"/>
    <n v="6"/>
    <d v="2021-01-01T00:00:00"/>
    <n v="1.7265189021707301E-3"/>
  </r>
  <r>
    <n v="10765"/>
    <n v="2021"/>
    <s v="fevereiro"/>
    <d v="2021-02-03T00:00:00"/>
    <x v="4"/>
    <x v="1"/>
    <s v="Product C"/>
    <n v="3"/>
    <n v="200"/>
    <n v="70000"/>
    <n v="7000"/>
    <n v="6"/>
    <d v="2021-01-01T00:00:00"/>
    <n v="3.5260779913041902E-4"/>
  </r>
  <r>
    <n v="10766"/>
    <n v="2021"/>
    <s v="fevereiro"/>
    <d v="2021-02-04T00:00:00"/>
    <x v="0"/>
    <x v="4"/>
    <s v="Product D"/>
    <n v="1"/>
    <n v="75"/>
    <n v="63750"/>
    <n v="6375"/>
    <n v="6"/>
    <d v="2021-01-01T00:00:00"/>
    <n v="3.2112495992234598E-4"/>
  </r>
  <r>
    <n v="10767"/>
    <n v="2021"/>
    <s v="fevereiro"/>
    <d v="2021-02-05T00:00:00"/>
    <x v="2"/>
    <x v="3"/>
    <s v="Product D"/>
    <n v="4"/>
    <n v="57"/>
    <n v="48450"/>
    <n v="14050.499999999998"/>
    <n v="6"/>
    <d v="2021-01-01T00:00:00"/>
    <n v="2.4405496954098301E-4"/>
  </r>
  <r>
    <n v="10768"/>
    <n v="2021"/>
    <s v="fevereiro"/>
    <d v="2021-02-06T00:00:00"/>
    <x v="2"/>
    <x v="4"/>
    <s v="Product E"/>
    <n v="35"/>
    <n v="383"/>
    <n v="287250"/>
    <n v="37342.5"/>
    <n v="6"/>
    <d v="2021-01-01T00:00:00"/>
    <n v="1.44695129000304E-3"/>
  </r>
  <r>
    <n v="10769"/>
    <n v="2021"/>
    <s v="fevereiro"/>
    <d v="2021-02-07T00:00:00"/>
    <x v="0"/>
    <x v="3"/>
    <s v="Product E"/>
    <n v="25"/>
    <n v="286"/>
    <n v="214500"/>
    <n v="96525"/>
    <n v="7"/>
    <d v="2021-01-01T00:00:00"/>
    <n v="1.0804910416210699E-3"/>
  </r>
  <r>
    <n v="10770"/>
    <n v="2021"/>
    <s v="fevereiro"/>
    <d v="2021-02-08T00:00:00"/>
    <x v="3"/>
    <x v="3"/>
    <s v="Product D"/>
    <n v="24"/>
    <n v="322"/>
    <n v="273700"/>
    <n v="30107"/>
    <n v="7"/>
    <d v="2021-01-01T00:00:00"/>
    <n v="1.37869649459994E-3"/>
  </r>
  <r>
    <n v="10771"/>
    <n v="2021"/>
    <s v="fevereiro"/>
    <d v="2021-02-09T00:00:00"/>
    <x v="0"/>
    <x v="0"/>
    <s v="Product D"/>
    <n v="12"/>
    <n v="340"/>
    <n v="289000"/>
    <n v="112710"/>
    <n v="7"/>
    <d v="2021-01-01T00:00:00"/>
    <n v="1.4557664849813E-3"/>
  </r>
  <r>
    <n v="10772"/>
    <n v="2021"/>
    <s v="fevereiro"/>
    <d v="2021-02-10T00:00:00"/>
    <x v="1"/>
    <x v="4"/>
    <s v="Product A"/>
    <n v="6"/>
    <n v="490"/>
    <n v="245000"/>
    <n v="53900"/>
    <n v="7"/>
    <d v="2021-01-01T00:00:00"/>
    <n v="1.2341272969564701E-3"/>
  </r>
  <r>
    <n v="10773"/>
    <n v="2021"/>
    <s v="fevereiro"/>
    <d v="2021-02-11T00:00:00"/>
    <x v="0"/>
    <x v="2"/>
    <s v="Product D"/>
    <n v="10"/>
    <n v="146"/>
    <n v="124100"/>
    <n v="31025"/>
    <n v="7"/>
    <d v="2021-01-01T00:00:00"/>
    <n v="6.2512325531549997E-4"/>
  </r>
  <r>
    <n v="10774"/>
    <n v="2021"/>
    <s v="fevereiro"/>
    <d v="2021-02-12T00:00:00"/>
    <x v="3"/>
    <x v="2"/>
    <s v="Product C"/>
    <n v="3"/>
    <n v="213"/>
    <n v="74550"/>
    <n v="28329"/>
    <n v="7"/>
    <d v="2021-01-01T00:00:00"/>
    <n v="3.75527306073896E-4"/>
  </r>
  <r>
    <n v="10775"/>
    <n v="2021"/>
    <s v="fevereiro"/>
    <d v="2021-02-13T00:00:00"/>
    <x v="0"/>
    <x v="2"/>
    <s v="Product D"/>
    <n v="3"/>
    <n v="109"/>
    <n v="92650"/>
    <n v="28721.5"/>
    <n v="7"/>
    <d v="2021-01-01T00:00:00"/>
    <n v="4.6670160842047598E-4"/>
  </r>
  <r>
    <n v="10776"/>
    <n v="2021"/>
    <s v="fevereiro"/>
    <d v="2021-02-14T00:00:00"/>
    <x v="0"/>
    <x v="2"/>
    <s v="Product A"/>
    <n v="40"/>
    <n v="476"/>
    <n v="238000"/>
    <n v="83300"/>
    <n v="8"/>
    <d v="2021-01-01T00:00:00"/>
    <n v="1.1988665170434201E-3"/>
  </r>
  <r>
    <n v="10777"/>
    <n v="2021"/>
    <s v="fevereiro"/>
    <d v="2021-02-15T00:00:00"/>
    <x v="3"/>
    <x v="1"/>
    <s v="Product C"/>
    <n v="9"/>
    <n v="401"/>
    <n v="140350"/>
    <n v="57543.5"/>
    <n v="8"/>
    <d v="2021-01-01T00:00:00"/>
    <n v="7.0697863725649002E-4"/>
  </r>
  <r>
    <n v="10778"/>
    <n v="2021"/>
    <s v="fevereiro"/>
    <d v="2021-02-16T00:00:00"/>
    <x v="2"/>
    <x v="4"/>
    <s v="Product B"/>
    <n v="12"/>
    <n v="263"/>
    <n v="65750"/>
    <n v="11835"/>
    <n v="8"/>
    <d v="2021-01-01T00:00:00"/>
    <n v="3.3119946846892903E-4"/>
  </r>
  <r>
    <n v="10779"/>
    <n v="2021"/>
    <s v="fevereiro"/>
    <d v="2021-02-17T00:00:00"/>
    <x v="2"/>
    <x v="2"/>
    <s v="Product B"/>
    <n v="3"/>
    <n v="39"/>
    <n v="9750"/>
    <n v="2340"/>
    <n v="8"/>
    <d v="2021-01-01T00:00:00"/>
    <n v="4.9113229164594001E-5"/>
  </r>
  <r>
    <n v="10780"/>
    <n v="2021"/>
    <s v="fevereiro"/>
    <d v="2021-02-18T00:00:00"/>
    <x v="4"/>
    <x v="0"/>
    <s v="Product C"/>
    <n v="10"/>
    <n v="380"/>
    <n v="133000"/>
    <n v="26600"/>
    <n v="8"/>
    <d v="2021-01-01T00:00:00"/>
    <n v="6.6995481834779605E-4"/>
  </r>
  <r>
    <n v="10781"/>
    <n v="2021"/>
    <s v="fevereiro"/>
    <d v="2021-02-19T00:00:00"/>
    <x v="4"/>
    <x v="4"/>
    <s v="Product D"/>
    <n v="11"/>
    <n v="153"/>
    <n v="130050"/>
    <n v="16906.5"/>
    <n v="8"/>
    <d v="2021-01-01T00:00:00"/>
    <n v="6.5509491824158504E-4"/>
  </r>
  <r>
    <n v="10782"/>
    <n v="2021"/>
    <s v="fevereiro"/>
    <d v="2021-02-20T00:00:00"/>
    <x v="2"/>
    <x v="1"/>
    <s v="Product C"/>
    <n v="1"/>
    <n v="11"/>
    <n v="3850"/>
    <n v="1193.5"/>
    <n v="8"/>
    <d v="2021-01-01T00:00:00"/>
    <n v="1.9393428952172999E-5"/>
  </r>
  <r>
    <n v="10783"/>
    <n v="2021"/>
    <s v="fevereiro"/>
    <d v="2021-02-21T00:00:00"/>
    <x v="3"/>
    <x v="2"/>
    <s v="Product C"/>
    <n v="4"/>
    <n v="176"/>
    <n v="61600"/>
    <n v="18480"/>
    <n v="9"/>
    <d v="2021-01-01T00:00:00"/>
    <n v="3.1029486323476798E-4"/>
  </r>
  <r>
    <n v="10784"/>
    <n v="2021"/>
    <s v="fevereiro"/>
    <d v="2021-02-22T00:00:00"/>
    <x v="0"/>
    <x v="4"/>
    <s v="Product A"/>
    <n v="10"/>
    <n v="153"/>
    <n v="76500"/>
    <n v="22950"/>
    <n v="9"/>
    <d v="2021-01-01T00:00:00"/>
    <n v="3.8534995190681498E-4"/>
  </r>
  <r>
    <n v="10785"/>
    <n v="2021"/>
    <s v="fevereiro"/>
    <d v="2021-02-23T00:00:00"/>
    <x v="4"/>
    <x v="1"/>
    <s v="Product D"/>
    <n v="5"/>
    <n v="139"/>
    <n v="118150"/>
    <n v="51986"/>
    <n v="9"/>
    <d v="2021-01-01T00:00:00"/>
    <n v="5.9515159238941403E-4"/>
  </r>
  <r>
    <n v="10786"/>
    <n v="2021"/>
    <s v="fevereiro"/>
    <d v="2021-02-24T00:00:00"/>
    <x v="4"/>
    <x v="1"/>
    <s v="Product D"/>
    <n v="42"/>
    <n v="458"/>
    <n v="389300"/>
    <n v="151827"/>
    <n v="9"/>
    <d v="2021-01-01T00:00:00"/>
    <n v="1.96100308859246E-3"/>
  </r>
  <r>
    <n v="10787"/>
    <n v="2021"/>
    <s v="fevereiro"/>
    <d v="2021-02-25T00:00:00"/>
    <x v="3"/>
    <x v="2"/>
    <s v="Product E"/>
    <n v="3"/>
    <n v="47"/>
    <n v="35250"/>
    <n v="7050"/>
    <n v="9"/>
    <d v="2021-01-01T00:00:00"/>
    <n v="1.77563213133532E-4"/>
  </r>
  <r>
    <n v="10788"/>
    <n v="2021"/>
    <s v="fevereiro"/>
    <d v="2021-02-26T00:00:00"/>
    <x v="1"/>
    <x v="2"/>
    <s v="Product A"/>
    <n v="1"/>
    <n v="19"/>
    <n v="9500"/>
    <n v="3610"/>
    <n v="9"/>
    <d v="2021-01-01T00:00:00"/>
    <n v="4.78539155962711E-5"/>
  </r>
  <r>
    <n v="10789"/>
    <n v="2021"/>
    <s v="fevereiro"/>
    <d v="2021-02-27T00:00:00"/>
    <x v="1"/>
    <x v="1"/>
    <s v="Product B"/>
    <n v="8"/>
    <n v="360"/>
    <n v="90000"/>
    <n v="9000"/>
    <n v="9"/>
    <d v="2021-01-01T00:00:00"/>
    <n v="4.5335288459625298E-4"/>
  </r>
  <r>
    <n v="10790"/>
    <n v="2021"/>
    <s v="fevereiro"/>
    <d v="2021-02-28T00:00:00"/>
    <x v="0"/>
    <x v="3"/>
    <s v="Product C"/>
    <n v="18"/>
    <n v="452"/>
    <n v="158200"/>
    <n v="64861.999999999993"/>
    <n v="10"/>
    <d v="2021-01-01T00:00:00"/>
    <n v="7.9689362603474598E-4"/>
  </r>
  <r>
    <n v="10791"/>
    <n v="2021"/>
    <s v="março"/>
    <d v="2021-03-01T00:00:00"/>
    <x v="1"/>
    <x v="2"/>
    <s v="Product A"/>
    <n v="8"/>
    <n v="488"/>
    <n v="244000"/>
    <n v="39040"/>
    <n v="10"/>
    <d v="2021-01-01T00:00:00"/>
    <n v="1.2290900426831701E-3"/>
  </r>
  <r>
    <n v="10792"/>
    <n v="2021"/>
    <s v="março"/>
    <d v="2021-03-02T00:00:00"/>
    <x v="4"/>
    <x v="3"/>
    <s v="Product C"/>
    <n v="18"/>
    <n v="445"/>
    <n v="155750"/>
    <n v="49840"/>
    <n v="10"/>
    <d v="2021-01-01T00:00:00"/>
    <n v="7.8455235306518201E-4"/>
  </r>
  <r>
    <n v="10793"/>
    <n v="2021"/>
    <s v="março"/>
    <d v="2021-03-03T00:00:00"/>
    <x v="2"/>
    <x v="2"/>
    <s v="Product B"/>
    <n v="2"/>
    <n v="45"/>
    <n v="11250"/>
    <n v="2250"/>
    <n v="10"/>
    <d v="2021-01-01T00:00:00"/>
    <n v="5.6669110574531603E-5"/>
  </r>
  <r>
    <n v="10794"/>
    <n v="2021"/>
    <s v="março"/>
    <d v="2021-03-04T00:00:00"/>
    <x v="3"/>
    <x v="0"/>
    <s v="Product B"/>
    <n v="3"/>
    <n v="30"/>
    <n v="7500"/>
    <n v="1875"/>
    <n v="10"/>
    <d v="2021-01-01T00:00:00"/>
    <n v="3.7779407049687697E-5"/>
  </r>
  <r>
    <n v="10795"/>
    <n v="2021"/>
    <s v="março"/>
    <d v="2021-03-05T00:00:00"/>
    <x v="2"/>
    <x v="1"/>
    <s v="Product D"/>
    <n v="7"/>
    <n v="139"/>
    <n v="118150"/>
    <n v="42534"/>
    <n v="10"/>
    <d v="2021-01-01T00:00:00"/>
    <n v="5.9515159238941403E-4"/>
  </r>
  <r>
    <n v="10796"/>
    <n v="2021"/>
    <s v="março"/>
    <d v="2021-03-06T00:00:00"/>
    <x v="4"/>
    <x v="0"/>
    <s v="Product E"/>
    <n v="13"/>
    <n v="147"/>
    <n v="110250"/>
    <n v="35280"/>
    <n v="10"/>
    <d v="2021-01-01T00:00:00"/>
    <n v="5.5535728363040999E-4"/>
  </r>
  <r>
    <n v="10797"/>
    <n v="2021"/>
    <s v="março"/>
    <d v="2021-03-07T00:00:00"/>
    <x v="3"/>
    <x v="4"/>
    <s v="Product A"/>
    <n v="5"/>
    <n v="313"/>
    <n v="156500"/>
    <n v="62600"/>
    <n v="11"/>
    <d v="2021-01-01T00:00:00"/>
    <n v="7.8833029377015096E-4"/>
  </r>
  <r>
    <n v="10798"/>
    <n v="2021"/>
    <s v="março"/>
    <d v="2021-03-08T00:00:00"/>
    <x v="0"/>
    <x v="2"/>
    <s v="Product D"/>
    <n v="12"/>
    <n v="372"/>
    <n v="316200"/>
    <n v="69564"/>
    <n v="11"/>
    <d v="2021-01-01T00:00:00"/>
    <n v="1.5927798012148301E-3"/>
  </r>
  <r>
    <n v="10799"/>
    <n v="2021"/>
    <s v="março"/>
    <d v="2021-03-09T00:00:00"/>
    <x v="4"/>
    <x v="2"/>
    <s v="Product D"/>
    <n v="4"/>
    <n v="207"/>
    <n v="175950"/>
    <n v="33430.5"/>
    <n v="11"/>
    <d v="2021-01-01T00:00:00"/>
    <n v="8.8630488938567403E-4"/>
  </r>
  <r>
    <n v="10800"/>
    <n v="2021"/>
    <s v="março"/>
    <d v="2021-03-10T00:00:00"/>
    <x v="1"/>
    <x v="3"/>
    <s v="Product A"/>
    <n v="19"/>
    <n v="493"/>
    <n v="246500"/>
    <n v="41905"/>
    <n v="11"/>
    <d v="2021-01-01T00:00:00"/>
    <n v="1.2416831783663999E-3"/>
  </r>
  <r>
    <n v="10801"/>
    <n v="2021"/>
    <s v="março"/>
    <d v="2021-03-11T00:00:00"/>
    <x v="0"/>
    <x v="2"/>
    <s v="Product C"/>
    <n v="3"/>
    <n v="116"/>
    <n v="40600"/>
    <n v="14616"/>
    <n v="11"/>
    <d v="2021-01-01T00:00:00"/>
    <n v="2.04512523495643E-4"/>
  </r>
  <r>
    <n v="10802"/>
    <n v="2021"/>
    <s v="março"/>
    <d v="2021-03-12T00:00:00"/>
    <x v="2"/>
    <x v="3"/>
    <s v="Product A"/>
    <n v="5"/>
    <n v="209"/>
    <n v="104500"/>
    <n v="41800"/>
    <n v="11"/>
    <d v="2021-01-01T00:00:00"/>
    <n v="5.2639307155898205E-4"/>
  </r>
  <r>
    <n v="10803"/>
    <n v="2021"/>
    <s v="março"/>
    <d v="2021-03-13T00:00:00"/>
    <x v="1"/>
    <x v="0"/>
    <s v="Product C"/>
    <n v="12"/>
    <n v="290"/>
    <n v="101500"/>
    <n v="25375"/>
    <n v="11"/>
    <d v="2021-01-01T00:00:00"/>
    <n v="5.1128130873910702E-4"/>
  </r>
  <r>
    <n v="10804"/>
    <n v="2021"/>
    <s v="março"/>
    <d v="2021-03-14T00:00:00"/>
    <x v="4"/>
    <x v="1"/>
    <s v="Product B"/>
    <n v="6"/>
    <n v="84"/>
    <n v="21000"/>
    <n v="2940.0000000000005"/>
    <n v="12"/>
    <d v="2021-01-01T00:00:00"/>
    <n v="1.05782339739126E-4"/>
  </r>
  <r>
    <n v="10805"/>
    <n v="2021"/>
    <s v="março"/>
    <d v="2021-03-15T00:00:00"/>
    <x v="3"/>
    <x v="1"/>
    <s v="Product C"/>
    <n v="24"/>
    <n v="441"/>
    <n v="154350"/>
    <n v="38587.5"/>
    <n v="12"/>
    <d v="2021-01-01T00:00:00"/>
    <n v="7.7750019708257398E-4"/>
  </r>
  <r>
    <n v="10806"/>
    <n v="2021"/>
    <s v="março"/>
    <d v="2021-03-16T00:00:00"/>
    <x v="0"/>
    <x v="1"/>
    <s v="Product A"/>
    <n v="7"/>
    <n v="318"/>
    <n v="159000"/>
    <n v="39750"/>
    <n v="12"/>
    <d v="2021-01-01T00:00:00"/>
    <n v="8.0092342945338002E-4"/>
  </r>
  <r>
    <n v="10807"/>
    <n v="2021"/>
    <s v="março"/>
    <d v="2021-03-17T00:00:00"/>
    <x v="1"/>
    <x v="2"/>
    <s v="Product B"/>
    <n v="2"/>
    <n v="158"/>
    <n v="39500"/>
    <n v="11455"/>
    <n v="12"/>
    <d v="2021-01-01T00:00:00"/>
    <n v="1.98971543795022E-4"/>
  </r>
  <r>
    <n v="10808"/>
    <n v="2021"/>
    <s v="março"/>
    <d v="2021-03-18T00:00:00"/>
    <x v="1"/>
    <x v="3"/>
    <s v="Product A"/>
    <n v="8"/>
    <n v="122"/>
    <n v="61000"/>
    <n v="16470"/>
    <n v="12"/>
    <d v="2021-01-01T00:00:00"/>
    <n v="3.0727251067079399E-4"/>
  </r>
  <r>
    <n v="10809"/>
    <n v="2021"/>
    <s v="março"/>
    <d v="2021-03-19T00:00:00"/>
    <x v="4"/>
    <x v="3"/>
    <s v="Product B"/>
    <n v="14"/>
    <n v="275"/>
    <n v="68750"/>
    <n v="24750"/>
    <n v="12"/>
    <d v="2021-01-01T00:00:00"/>
    <n v="3.46311231288804E-4"/>
  </r>
  <r>
    <n v="10810"/>
    <n v="2021"/>
    <s v="março"/>
    <d v="2021-03-20T00:00:00"/>
    <x v="0"/>
    <x v="1"/>
    <s v="Product D"/>
    <n v="11"/>
    <n v="127"/>
    <n v="107950"/>
    <n v="18351.5"/>
    <n v="12"/>
    <d v="2021-01-01T00:00:00"/>
    <n v="5.4377159880183903E-4"/>
  </r>
  <r>
    <n v="10811"/>
    <n v="2021"/>
    <s v="março"/>
    <d v="2021-03-21T00:00:00"/>
    <x v="0"/>
    <x v="1"/>
    <s v="Product C"/>
    <n v="19"/>
    <n v="266"/>
    <n v="93100"/>
    <n v="26068.000000000004"/>
    <n v="13"/>
    <d v="2021-01-01T00:00:00"/>
    <n v="4.6896837284345701E-4"/>
  </r>
  <r>
    <n v="10812"/>
    <n v="2021"/>
    <s v="março"/>
    <d v="2021-03-22T00:00:00"/>
    <x v="2"/>
    <x v="1"/>
    <s v="Product E"/>
    <n v="30"/>
    <n v="376"/>
    <n v="282000"/>
    <n v="93060"/>
    <n v="13"/>
    <d v="2021-01-01T00:00:00"/>
    <n v="1.4205057050682599E-3"/>
  </r>
  <r>
    <n v="10813"/>
    <n v="2021"/>
    <s v="março"/>
    <d v="2021-03-23T00:00:00"/>
    <x v="3"/>
    <x v="1"/>
    <s v="Product B"/>
    <n v="12"/>
    <n v="154"/>
    <n v="38500"/>
    <n v="5005"/>
    <n v="13"/>
    <d v="2021-01-01T00:00:00"/>
    <n v="1.9393428952173001E-4"/>
  </r>
  <r>
    <n v="10814"/>
    <n v="2021"/>
    <s v="março"/>
    <d v="2021-03-24T00:00:00"/>
    <x v="1"/>
    <x v="1"/>
    <s v="Product D"/>
    <n v="26"/>
    <n v="468"/>
    <n v="397800"/>
    <n v="43758"/>
    <n v="13"/>
    <d v="2021-01-01T00:00:00"/>
    <n v="2.0038197499154401E-3"/>
  </r>
  <r>
    <n v="10815"/>
    <n v="2021"/>
    <s v="março"/>
    <d v="2021-03-25T00:00:00"/>
    <x v="4"/>
    <x v="2"/>
    <s v="Product A"/>
    <n v="32"/>
    <n v="348"/>
    <n v="174000"/>
    <n v="36540"/>
    <n v="13"/>
    <d v="2021-01-01T00:00:00"/>
    <n v="8.7648224355275505E-4"/>
  </r>
  <r>
    <n v="10816"/>
    <n v="2021"/>
    <s v="março"/>
    <d v="2021-03-26T00:00:00"/>
    <x v="2"/>
    <x v="4"/>
    <s v="Product B"/>
    <n v="19"/>
    <n v="191"/>
    <n v="47750"/>
    <n v="10505"/>
    <n v="13"/>
    <d v="2021-01-01T00:00:00"/>
    <n v="2.40528891549679E-4"/>
  </r>
  <r>
    <n v="10817"/>
    <n v="2021"/>
    <s v="março"/>
    <d v="2021-03-27T00:00:00"/>
    <x v="4"/>
    <x v="1"/>
    <s v="Product A"/>
    <n v="7"/>
    <n v="119"/>
    <n v="59500"/>
    <n v="12495"/>
    <n v="13"/>
    <d v="2021-01-01T00:00:00"/>
    <n v="2.9971662926085599E-4"/>
  </r>
  <r>
    <n v="10818"/>
    <n v="2021"/>
    <s v="março"/>
    <d v="2021-03-28T00:00:00"/>
    <x v="1"/>
    <x v="2"/>
    <s v="Product A"/>
    <n v="2"/>
    <n v="61"/>
    <n v="30500"/>
    <n v="4880"/>
    <n v="14"/>
    <d v="2021-01-01T00:00:00"/>
    <n v="1.53636255335397E-4"/>
  </r>
  <r>
    <n v="10819"/>
    <n v="2021"/>
    <s v="março"/>
    <d v="2021-03-29T00:00:00"/>
    <x v="4"/>
    <x v="3"/>
    <s v="Product A"/>
    <n v="14"/>
    <n v="270"/>
    <n v="135000"/>
    <n v="45900"/>
    <n v="14"/>
    <d v="2021-01-01T00:00:00"/>
    <n v="6.8002932689437904E-4"/>
  </r>
  <r>
    <n v="10820"/>
    <n v="2021"/>
    <s v="março"/>
    <d v="2021-03-30T00:00:00"/>
    <x v="3"/>
    <x v="3"/>
    <s v="Product D"/>
    <n v="8"/>
    <n v="436"/>
    <n v="370600"/>
    <n v="159358"/>
    <n v="14"/>
    <d v="2021-01-01T00:00:00"/>
    <n v="1.8668064336819E-3"/>
  </r>
  <r>
    <n v="10821"/>
    <n v="2021"/>
    <s v="março"/>
    <d v="2021-03-31T00:00:00"/>
    <x v="4"/>
    <x v="1"/>
    <s v="Product E"/>
    <n v="3"/>
    <n v="103"/>
    <n v="77250"/>
    <n v="27037.5"/>
    <n v="14"/>
    <d v="2021-01-01T00:00:00"/>
    <n v="3.8912789261178398E-4"/>
  </r>
  <r>
    <n v="10822"/>
    <n v="2021"/>
    <s v="abril"/>
    <d v="2021-04-01T00:00:00"/>
    <x v="1"/>
    <x v="3"/>
    <s v="Product B"/>
    <n v="10"/>
    <n v="119"/>
    <n v="29750"/>
    <n v="11007.5"/>
    <n v="14"/>
    <d v="2021-04-01T00:00:00"/>
    <n v="1.4985831463042799E-4"/>
  </r>
  <r>
    <n v="10823"/>
    <n v="2021"/>
    <s v="abril"/>
    <d v="2021-04-02T00:00:00"/>
    <x v="0"/>
    <x v="0"/>
    <s v="Product A"/>
    <n v="37"/>
    <n v="455"/>
    <n v="227500"/>
    <n v="36400"/>
    <n v="14"/>
    <d v="2021-04-01T00:00:00"/>
    <n v="1.14597534717386E-3"/>
  </r>
  <r>
    <n v="10824"/>
    <n v="2021"/>
    <s v="abril"/>
    <d v="2021-04-03T00:00:00"/>
    <x v="3"/>
    <x v="3"/>
    <s v="Product B"/>
    <n v="25"/>
    <n v="255"/>
    <n v="63750"/>
    <n v="7012.5"/>
    <n v="14"/>
    <d v="2021-04-01T00:00:00"/>
    <n v="3.2112495992234598E-4"/>
  </r>
  <r>
    <n v="10825"/>
    <n v="2021"/>
    <s v="abril"/>
    <d v="2021-04-04T00:00:00"/>
    <x v="4"/>
    <x v="3"/>
    <s v="Product C"/>
    <n v="20"/>
    <n v="338"/>
    <n v="118300"/>
    <n v="15379"/>
    <n v="15"/>
    <d v="2021-04-01T00:00:00"/>
    <n v="5.9590718053040802E-4"/>
  </r>
  <r>
    <n v="10826"/>
    <n v="2021"/>
    <s v="abril"/>
    <d v="2021-04-05T00:00:00"/>
    <x v="0"/>
    <x v="1"/>
    <s v="Product B"/>
    <n v="2"/>
    <n v="37"/>
    <n v="9250"/>
    <n v="2220"/>
    <n v="15"/>
    <d v="2021-04-01T00:00:00"/>
    <n v="4.6594602027948199E-5"/>
  </r>
  <r>
    <n v="10827"/>
    <n v="2021"/>
    <s v="abril"/>
    <d v="2021-04-06T00:00:00"/>
    <x v="1"/>
    <x v="1"/>
    <s v="Product C"/>
    <n v="2"/>
    <n v="26"/>
    <n v="9100"/>
    <n v="1729"/>
    <n v="15"/>
    <d v="2021-04-01T00:00:00"/>
    <n v="4.5839013886954398E-5"/>
  </r>
  <r>
    <n v="10828"/>
    <n v="2021"/>
    <s v="abril"/>
    <d v="2021-04-07T00:00:00"/>
    <x v="0"/>
    <x v="3"/>
    <s v="Product C"/>
    <n v="10"/>
    <n v="151"/>
    <n v="52850"/>
    <n v="23782.5"/>
    <n v="15"/>
    <d v="2021-04-01T00:00:00"/>
    <n v="2.6621888834346599E-4"/>
  </r>
  <r>
    <n v="10829"/>
    <n v="2021"/>
    <s v="abril"/>
    <d v="2021-04-08T00:00:00"/>
    <x v="4"/>
    <x v="3"/>
    <s v="Product A"/>
    <n v="6"/>
    <n v="411"/>
    <n v="205500"/>
    <n v="20550"/>
    <n v="15"/>
    <d v="2021-04-01T00:00:00"/>
    <n v="1.03515575316144E-3"/>
  </r>
  <r>
    <n v="10830"/>
    <n v="2021"/>
    <s v="abril"/>
    <d v="2021-04-09T00:00:00"/>
    <x v="2"/>
    <x v="1"/>
    <s v="Product B"/>
    <n v="13"/>
    <n v="381"/>
    <n v="95250"/>
    <n v="19050"/>
    <n v="15"/>
    <d v="2021-04-01T00:00:00"/>
    <n v="4.7979846953103398E-4"/>
  </r>
  <r>
    <n v="10831"/>
    <n v="2021"/>
    <s v="abril"/>
    <d v="2021-04-10T00:00:00"/>
    <x v="1"/>
    <x v="0"/>
    <s v="Product A"/>
    <n v="12"/>
    <n v="172"/>
    <n v="86000"/>
    <n v="11180"/>
    <n v="15"/>
    <d v="2021-04-01T00:00:00"/>
    <n v="4.3320386750308597E-4"/>
  </r>
  <r>
    <n v="10832"/>
    <n v="2021"/>
    <s v="abril"/>
    <d v="2021-04-11T00:00:00"/>
    <x v="4"/>
    <x v="0"/>
    <s v="Product E"/>
    <n v="13"/>
    <n v="492"/>
    <n v="369000"/>
    <n v="99630"/>
    <n v="16"/>
    <d v="2021-04-01T00:00:00"/>
    <n v="1.8587468268446399E-3"/>
  </r>
  <r>
    <n v="10833"/>
    <n v="2021"/>
    <s v="abril"/>
    <d v="2021-04-12T00:00:00"/>
    <x v="1"/>
    <x v="0"/>
    <s v="Product C"/>
    <n v="35"/>
    <n v="460"/>
    <n v="161000"/>
    <n v="72450"/>
    <n v="16"/>
    <d v="2021-04-01T00:00:00"/>
    <n v="8.1099793799996301E-4"/>
  </r>
  <r>
    <n v="10834"/>
    <n v="2021"/>
    <s v="abril"/>
    <d v="2021-04-13T00:00:00"/>
    <x v="3"/>
    <x v="0"/>
    <s v="Product E"/>
    <n v="16"/>
    <n v="481"/>
    <n v="360750"/>
    <n v="64935"/>
    <n v="16"/>
    <d v="2021-04-01T00:00:00"/>
    <n v="1.81718947908998E-3"/>
  </r>
  <r>
    <n v="10835"/>
    <n v="2021"/>
    <s v="abril"/>
    <d v="2021-04-14T00:00:00"/>
    <x v="2"/>
    <x v="4"/>
    <s v="Product A"/>
    <n v="23"/>
    <n v="361"/>
    <n v="180500"/>
    <n v="36100"/>
    <n v="16"/>
    <d v="2021-04-01T00:00:00"/>
    <n v="9.0922439632915096E-4"/>
  </r>
  <r>
    <n v="10836"/>
    <n v="2021"/>
    <s v="abril"/>
    <d v="2021-04-15T00:00:00"/>
    <x v="1"/>
    <x v="0"/>
    <s v="Product B"/>
    <n v="16"/>
    <n v="261"/>
    <n v="65250"/>
    <n v="25447.5"/>
    <n v="16"/>
    <d v="2021-04-01T00:00:00"/>
    <n v="3.2868084133228301E-4"/>
  </r>
  <r>
    <n v="10837"/>
    <n v="2021"/>
    <s v="abril"/>
    <d v="2021-04-16T00:00:00"/>
    <x v="0"/>
    <x v="2"/>
    <s v="Product E"/>
    <n v="7"/>
    <n v="486"/>
    <n v="364500"/>
    <n v="120285"/>
    <n v="16"/>
    <d v="2021-04-01T00:00:00"/>
    <n v="1.83607918261482E-3"/>
  </r>
  <r>
    <n v="10838"/>
    <n v="2021"/>
    <s v="abril"/>
    <d v="2021-04-17T00:00:00"/>
    <x v="1"/>
    <x v="0"/>
    <s v="Product E"/>
    <n v="10"/>
    <n v="105"/>
    <n v="78750"/>
    <n v="33075"/>
    <n v="16"/>
    <d v="2021-04-01T00:00:00"/>
    <n v="3.9668377402172101E-4"/>
  </r>
  <r>
    <n v="10839"/>
    <n v="2021"/>
    <s v="abril"/>
    <d v="2021-04-18T00:00:00"/>
    <x v="0"/>
    <x v="3"/>
    <s v="Product C"/>
    <n v="25"/>
    <n v="258"/>
    <n v="90300"/>
    <n v="9030"/>
    <n v="17"/>
    <d v="2021-04-01T00:00:00"/>
    <n v="4.5486406087823998E-4"/>
  </r>
  <r>
    <n v="10840"/>
    <n v="2021"/>
    <s v="abril"/>
    <d v="2021-04-19T00:00:00"/>
    <x v="0"/>
    <x v="2"/>
    <s v="Product E"/>
    <n v="13"/>
    <n v="201"/>
    <n v="150750"/>
    <n v="60300"/>
    <n v="17"/>
    <d v="2021-04-01T00:00:00"/>
    <n v="7.5936608169872302E-4"/>
  </r>
  <r>
    <n v="10841"/>
    <n v="2021"/>
    <s v="abril"/>
    <d v="2021-04-20T00:00:00"/>
    <x v="0"/>
    <x v="0"/>
    <s v="Product D"/>
    <n v="11"/>
    <n v="299"/>
    <n v="254150"/>
    <n v="40664"/>
    <n v="17"/>
    <d v="2021-04-01T00:00:00"/>
    <n v="1.28021817355708E-3"/>
  </r>
  <r>
    <n v="10842"/>
    <n v="2021"/>
    <s v="abril"/>
    <d v="2021-04-21T00:00:00"/>
    <x v="3"/>
    <x v="0"/>
    <s v="Product A"/>
    <n v="12"/>
    <n v="410"/>
    <n v="205000"/>
    <n v="43050"/>
    <n v="17"/>
    <d v="2021-04-01T00:00:00"/>
    <n v="1.0326371260248001E-3"/>
  </r>
  <r>
    <n v="10843"/>
    <n v="2021"/>
    <s v="abril"/>
    <d v="2021-04-22T00:00:00"/>
    <x v="1"/>
    <x v="4"/>
    <s v="Product E"/>
    <n v="13"/>
    <n v="179"/>
    <n v="134250"/>
    <n v="34905"/>
    <n v="17"/>
    <d v="2021-04-01T00:00:00"/>
    <n v="6.7625138618940999E-4"/>
  </r>
  <r>
    <n v="10844"/>
    <n v="2021"/>
    <s v="abril"/>
    <d v="2021-04-23T00:00:00"/>
    <x v="3"/>
    <x v="3"/>
    <s v="Product D"/>
    <n v="18"/>
    <n v="288"/>
    <n v="244800"/>
    <n v="63648"/>
    <n v="17"/>
    <d v="2021-04-01T00:00:00"/>
    <n v="1.2331198461018099E-3"/>
  </r>
  <r>
    <n v="10845"/>
    <n v="2021"/>
    <s v="abril"/>
    <d v="2021-04-24T00:00:00"/>
    <x v="4"/>
    <x v="3"/>
    <s v="Product D"/>
    <n v="7"/>
    <n v="257"/>
    <n v="218450"/>
    <n v="21845"/>
    <n v="17"/>
    <d v="2021-04-01T00:00:00"/>
    <n v="1.10038819600057E-3"/>
  </r>
  <r>
    <n v="10846"/>
    <n v="2021"/>
    <s v="abril"/>
    <d v="2021-04-25T00:00:00"/>
    <x v="0"/>
    <x v="4"/>
    <s v="Product E"/>
    <n v="7"/>
    <n v="306"/>
    <n v="229500"/>
    <n v="29835"/>
    <n v="18"/>
    <d v="2021-04-01T00:00:00"/>
    <n v="1.15604985572044E-3"/>
  </r>
  <r>
    <n v="10847"/>
    <n v="2021"/>
    <s v="abril"/>
    <d v="2021-04-26T00:00:00"/>
    <x v="2"/>
    <x v="3"/>
    <s v="Product D"/>
    <n v="3"/>
    <n v="163"/>
    <n v="138550"/>
    <n v="20782.5"/>
    <n v="18"/>
    <d v="2021-04-01T00:00:00"/>
    <n v="6.9791157956456502E-4"/>
  </r>
  <r>
    <n v="10848"/>
    <n v="2021"/>
    <s v="abril"/>
    <d v="2021-04-27T00:00:00"/>
    <x v="3"/>
    <x v="1"/>
    <s v="Product C"/>
    <n v="19"/>
    <n v="250"/>
    <n v="87500"/>
    <n v="30624.999999999996"/>
    <n v="18"/>
    <d v="2021-04-01T00:00:00"/>
    <n v="4.4075974891302398E-4"/>
  </r>
  <r>
    <n v="10849"/>
    <n v="2021"/>
    <s v="abril"/>
    <d v="2021-04-28T00:00:00"/>
    <x v="1"/>
    <x v="1"/>
    <s v="Product B"/>
    <n v="17"/>
    <n v="241"/>
    <n v="60250"/>
    <n v="23497.5"/>
    <n v="18"/>
    <d v="2021-04-01T00:00:00"/>
    <n v="3.0349456996582499E-4"/>
  </r>
  <r>
    <n v="10850"/>
    <n v="2021"/>
    <s v="abril"/>
    <d v="2021-04-29T00:00:00"/>
    <x v="3"/>
    <x v="3"/>
    <s v="Product D"/>
    <n v="9"/>
    <n v="129"/>
    <n v="109650"/>
    <n v="44956.5"/>
    <n v="18"/>
    <d v="2021-04-01T00:00:00"/>
    <n v="5.5233493106643502E-4"/>
  </r>
  <r>
    <n v="10851"/>
    <n v="2021"/>
    <s v="abril"/>
    <d v="2021-04-30T00:00:00"/>
    <x v="4"/>
    <x v="4"/>
    <s v="Product A"/>
    <n v="8"/>
    <n v="96"/>
    <n v="48000"/>
    <n v="8640"/>
    <n v="18"/>
    <d v="2021-04-01T00:00:00"/>
    <n v="2.41788205118001E-4"/>
  </r>
  <r>
    <n v="10852"/>
    <n v="2021"/>
    <s v="maio"/>
    <d v="2021-05-01T00:00:00"/>
    <x v="4"/>
    <x v="1"/>
    <s v="Product E"/>
    <n v="3"/>
    <n v="71"/>
    <n v="53250"/>
    <n v="14377.500000000002"/>
    <n v="18"/>
    <d v="2021-04-01T00:00:00"/>
    <n v="2.6823379005278301E-4"/>
  </r>
  <r>
    <n v="10853"/>
    <n v="2021"/>
    <s v="maio"/>
    <d v="2021-05-02T00:00:00"/>
    <x v="2"/>
    <x v="4"/>
    <s v="Product E"/>
    <n v="2"/>
    <n v="146"/>
    <n v="109500"/>
    <n v="38325"/>
    <n v="19"/>
    <d v="2021-04-01T00:00:00"/>
    <n v="5.5157934292544104E-4"/>
  </r>
  <r>
    <n v="10854"/>
    <n v="2021"/>
    <s v="maio"/>
    <d v="2021-05-03T00:00:00"/>
    <x v="3"/>
    <x v="4"/>
    <s v="Product C"/>
    <n v="3"/>
    <n v="37"/>
    <n v="12950"/>
    <n v="5050.5"/>
    <n v="19"/>
    <d v="2021-04-01T00:00:00"/>
    <n v="6.5232442839127498E-5"/>
  </r>
  <r>
    <n v="10855"/>
    <n v="2021"/>
    <s v="maio"/>
    <d v="2021-05-04T00:00:00"/>
    <x v="2"/>
    <x v="4"/>
    <s v="Product E"/>
    <n v="4"/>
    <n v="158"/>
    <n v="118500"/>
    <n v="40290"/>
    <n v="19"/>
    <d v="2021-04-01T00:00:00"/>
    <n v="5.9691463138506601E-4"/>
  </r>
  <r>
    <n v="10856"/>
    <n v="2021"/>
    <s v="maio"/>
    <d v="2021-05-05T00:00:00"/>
    <x v="1"/>
    <x v="4"/>
    <s v="Product A"/>
    <n v="4"/>
    <n v="54"/>
    <n v="27000"/>
    <n v="9990"/>
    <n v="19"/>
    <d v="2021-04-01T00:00:00"/>
    <n v="1.36005865378876E-4"/>
  </r>
  <r>
    <n v="10857"/>
    <n v="2021"/>
    <s v="maio"/>
    <d v="2021-05-06T00:00:00"/>
    <x v="0"/>
    <x v="0"/>
    <s v="Product E"/>
    <n v="22"/>
    <n v="419"/>
    <n v="314250"/>
    <n v="62850"/>
    <n v="19"/>
    <d v="2021-04-01T00:00:00"/>
    <n v="1.5829571553819201E-3"/>
  </r>
  <r>
    <n v="10858"/>
    <n v="2021"/>
    <s v="maio"/>
    <d v="2021-05-07T00:00:00"/>
    <x v="0"/>
    <x v="2"/>
    <s v="Product A"/>
    <n v="23"/>
    <n v="493"/>
    <n v="246500"/>
    <n v="64090"/>
    <n v="19"/>
    <d v="2021-04-01T00:00:00"/>
    <n v="1.2416831783663999E-3"/>
  </r>
  <r>
    <n v="10859"/>
    <n v="2021"/>
    <s v="maio"/>
    <d v="2021-05-08T00:00:00"/>
    <x v="1"/>
    <x v="2"/>
    <s v="Product A"/>
    <n v="33"/>
    <n v="480"/>
    <n v="240000"/>
    <n v="55200"/>
    <n v="19"/>
    <d v="2021-04-01T00:00:00"/>
    <n v="1.20894102559001E-3"/>
  </r>
  <r>
    <n v="10860"/>
    <n v="2021"/>
    <s v="maio"/>
    <d v="2021-05-09T00:00:00"/>
    <x v="2"/>
    <x v="0"/>
    <s v="Product D"/>
    <n v="45"/>
    <n v="465"/>
    <n v="395250"/>
    <n v="71145"/>
    <n v="20"/>
    <d v="2021-04-01T00:00:00"/>
    <n v="1.9909747515185401E-3"/>
  </r>
  <r>
    <n v="10861"/>
    <n v="2021"/>
    <s v="maio"/>
    <d v="2021-05-10T00:00:00"/>
    <x v="0"/>
    <x v="4"/>
    <s v="Product A"/>
    <n v="6"/>
    <n v="76"/>
    <n v="38000"/>
    <n v="8740"/>
    <n v="20"/>
    <d v="2021-04-01T00:00:00"/>
    <n v="1.9141566238508399E-4"/>
  </r>
  <r>
    <n v="10862"/>
    <n v="2021"/>
    <s v="maio"/>
    <d v="2021-05-11T00:00:00"/>
    <x v="3"/>
    <x v="1"/>
    <s v="Product D"/>
    <n v="28"/>
    <n v="385"/>
    <n v="327250"/>
    <n v="32725"/>
    <n v="20"/>
    <d v="2021-04-01T00:00:00"/>
    <n v="1.6484414609347099E-3"/>
  </r>
  <r>
    <n v="10863"/>
    <n v="2021"/>
    <s v="maio"/>
    <d v="2021-05-12T00:00:00"/>
    <x v="2"/>
    <x v="4"/>
    <s v="Product D"/>
    <n v="43"/>
    <n v="446"/>
    <n v="379100"/>
    <n v="64447.000000000007"/>
    <n v="20"/>
    <d v="2021-04-01T00:00:00"/>
    <n v="1.9096230950048801E-3"/>
  </r>
  <r>
    <n v="10864"/>
    <n v="2021"/>
    <s v="maio"/>
    <d v="2021-05-13T00:00:00"/>
    <x v="3"/>
    <x v="4"/>
    <s v="Product B"/>
    <n v="11"/>
    <n v="232"/>
    <n v="58000"/>
    <n v="12180"/>
    <n v="20"/>
    <d v="2021-04-01T00:00:00"/>
    <n v="2.9216074785091799E-4"/>
  </r>
  <r>
    <n v="10865"/>
    <n v="2021"/>
    <s v="maio"/>
    <d v="2021-05-14T00:00:00"/>
    <x v="2"/>
    <x v="4"/>
    <s v="Product E"/>
    <n v="18"/>
    <n v="490"/>
    <n v="367500"/>
    <n v="147000"/>
    <n v="20"/>
    <d v="2021-04-01T00:00:00"/>
    <n v="1.8511909454347001E-3"/>
  </r>
  <r>
    <n v="10866"/>
    <n v="2021"/>
    <s v="maio"/>
    <d v="2021-05-15T00:00:00"/>
    <x v="0"/>
    <x v="2"/>
    <s v="Product C"/>
    <n v="20"/>
    <n v="369"/>
    <n v="129150"/>
    <n v="47785.5"/>
    <n v="20"/>
    <d v="2021-04-01T00:00:00"/>
    <n v="6.5056138939562297E-4"/>
  </r>
  <r>
    <n v="10867"/>
    <n v="2021"/>
    <s v="maio"/>
    <d v="2021-05-16T00:00:00"/>
    <x v="1"/>
    <x v="3"/>
    <s v="Product D"/>
    <n v="11"/>
    <n v="249"/>
    <n v="211650"/>
    <n v="46563"/>
    <n v="21"/>
    <d v="2021-04-01T00:00:00"/>
    <n v="1.06613486694219E-3"/>
  </r>
  <r>
    <n v="10868"/>
    <n v="2021"/>
    <s v="maio"/>
    <d v="2021-05-17T00:00:00"/>
    <x v="0"/>
    <x v="1"/>
    <s v="Product C"/>
    <n v="1"/>
    <n v="50"/>
    <n v="17500"/>
    <n v="5600"/>
    <n v="21"/>
    <d v="2021-04-01T00:00:00"/>
    <n v="8.81519497826047E-5"/>
  </r>
  <r>
    <n v="10869"/>
    <n v="2021"/>
    <s v="maio"/>
    <d v="2021-05-18T00:00:00"/>
    <x v="2"/>
    <x v="3"/>
    <s v="Product D"/>
    <n v="12"/>
    <n v="134"/>
    <n v="113900"/>
    <n v="51255"/>
    <n v="21"/>
    <d v="2021-04-01T00:00:00"/>
    <n v="5.7374326172792399E-4"/>
  </r>
  <r>
    <n v="10870"/>
    <n v="2021"/>
    <s v="maio"/>
    <d v="2021-05-19T00:00:00"/>
    <x v="2"/>
    <x v="4"/>
    <s v="Product C"/>
    <n v="49"/>
    <n v="498"/>
    <n v="174300"/>
    <n v="17430"/>
    <n v="21"/>
    <d v="2021-04-01T00:00:00"/>
    <n v="8.7799341983474301E-4"/>
  </r>
  <r>
    <n v="10871"/>
    <n v="2021"/>
    <s v="maio"/>
    <d v="2021-05-20T00:00:00"/>
    <x v="4"/>
    <x v="2"/>
    <s v="Product C"/>
    <n v="13"/>
    <n v="155"/>
    <n v="54250"/>
    <n v="10850"/>
    <n v="21"/>
    <d v="2021-04-01T00:00:00"/>
    <n v="2.7327104432607499E-4"/>
  </r>
  <r>
    <n v="10872"/>
    <n v="2021"/>
    <s v="maio"/>
    <d v="2021-05-21T00:00:00"/>
    <x v="2"/>
    <x v="4"/>
    <s v="Product A"/>
    <n v="15"/>
    <n v="263"/>
    <n v="131500"/>
    <n v="36820"/>
    <n v="21"/>
    <d v="2021-04-01T00:00:00"/>
    <n v="6.6239893693785805E-4"/>
  </r>
  <r>
    <n v="10873"/>
    <n v="2021"/>
    <s v="maio"/>
    <d v="2021-05-22T00:00:00"/>
    <x v="0"/>
    <x v="3"/>
    <s v="Product D"/>
    <n v="4"/>
    <n v="40"/>
    <n v="34000"/>
    <n v="9520"/>
    <n v="21"/>
    <d v="2021-04-01T00:00:00"/>
    <n v="1.7126664529191799E-4"/>
  </r>
  <r>
    <n v="10874"/>
    <n v="2021"/>
    <s v="maio"/>
    <d v="2021-05-23T00:00:00"/>
    <x v="1"/>
    <x v="1"/>
    <s v="Product E"/>
    <n v="10"/>
    <n v="282"/>
    <n v="211500"/>
    <n v="82485"/>
    <n v="22"/>
    <d v="2021-04-01T00:00:00"/>
    <n v="1.06537927880119E-3"/>
  </r>
  <r>
    <n v="10875"/>
    <n v="2021"/>
    <s v="maio"/>
    <d v="2021-05-24T00:00:00"/>
    <x v="1"/>
    <x v="4"/>
    <s v="Product A"/>
    <n v="23"/>
    <n v="257"/>
    <n v="128500"/>
    <n v="15420"/>
    <n v="22"/>
    <d v="2021-04-01T00:00:00"/>
    <n v="6.4728717411798302E-4"/>
  </r>
  <r>
    <n v="10876"/>
    <n v="2021"/>
    <s v="maio"/>
    <d v="2021-05-25T00:00:00"/>
    <x v="1"/>
    <x v="1"/>
    <s v="Product B"/>
    <n v="20"/>
    <n v="233"/>
    <n v="58250"/>
    <n v="23882.5"/>
    <n v="22"/>
    <d v="2021-04-01T00:00:00"/>
    <n v="2.9342006141924102E-4"/>
  </r>
  <r>
    <n v="10877"/>
    <n v="2021"/>
    <s v="maio"/>
    <d v="2021-05-26T00:00:00"/>
    <x v="1"/>
    <x v="2"/>
    <s v="Product A"/>
    <n v="9"/>
    <n v="304"/>
    <n v="152000"/>
    <n v="56240"/>
    <n v="22"/>
    <d v="2021-04-01T00:00:00"/>
    <n v="7.6566264954033804E-4"/>
  </r>
  <r>
    <n v="10878"/>
    <n v="2021"/>
    <s v="maio"/>
    <d v="2021-05-27T00:00:00"/>
    <x v="4"/>
    <x v="1"/>
    <s v="Product B"/>
    <n v="1"/>
    <n v="13"/>
    <n v="3250"/>
    <n v="585"/>
    <n v="22"/>
    <d v="2021-04-01T00:00:00"/>
    <n v="1.6371076388197999E-5"/>
  </r>
  <r>
    <n v="10879"/>
    <n v="2021"/>
    <s v="maio"/>
    <d v="2021-05-28T00:00:00"/>
    <x v="4"/>
    <x v="3"/>
    <s v="Product B"/>
    <n v="6"/>
    <n v="254"/>
    <n v="63500"/>
    <n v="28575"/>
    <n v="22"/>
    <d v="2021-04-01T00:00:00"/>
    <n v="3.19865646354023E-4"/>
  </r>
  <r>
    <n v="10880"/>
    <n v="2021"/>
    <s v="maio"/>
    <d v="2021-05-29T00:00:00"/>
    <x v="2"/>
    <x v="2"/>
    <s v="Product A"/>
    <n v="19"/>
    <n v="369"/>
    <n v="184500"/>
    <n v="22140"/>
    <n v="22"/>
    <d v="2021-04-01T00:00:00"/>
    <n v="9.2937341342231802E-4"/>
  </r>
  <r>
    <n v="10881"/>
    <n v="2021"/>
    <s v="maio"/>
    <d v="2021-05-30T00:00:00"/>
    <x v="3"/>
    <x v="0"/>
    <s v="Product C"/>
    <n v="7"/>
    <n v="211"/>
    <n v="73850"/>
    <n v="17724"/>
    <n v="23"/>
    <d v="2021-04-01T00:00:00"/>
    <n v="3.7200122808259199E-4"/>
  </r>
  <r>
    <n v="10882"/>
    <n v="2021"/>
    <s v="maio"/>
    <d v="2021-05-31T00:00:00"/>
    <x v="1"/>
    <x v="4"/>
    <s v="Product B"/>
    <n v="28"/>
    <n v="459"/>
    <n v="114750"/>
    <n v="14917.5"/>
    <n v="23"/>
    <d v="2021-04-01T00:00:00"/>
    <n v="5.7802492786022204E-4"/>
  </r>
  <r>
    <n v="10883"/>
    <n v="2021"/>
    <s v="junho"/>
    <d v="2021-06-01T00:00:00"/>
    <x v="1"/>
    <x v="1"/>
    <s v="Product A"/>
    <n v="1"/>
    <n v="23"/>
    <n v="11500"/>
    <n v="2070"/>
    <n v="23"/>
    <d v="2021-04-01T00:00:00"/>
    <n v="5.7928424142854497E-5"/>
  </r>
  <r>
    <n v="10884"/>
    <n v="2021"/>
    <s v="junho"/>
    <d v="2021-06-02T00:00:00"/>
    <x v="4"/>
    <x v="0"/>
    <s v="Product A"/>
    <n v="5"/>
    <n v="189"/>
    <n v="94500"/>
    <n v="34020"/>
    <n v="23"/>
    <d v="2021-04-01T00:00:00"/>
    <n v="4.7602052882606498E-4"/>
  </r>
  <r>
    <n v="10885"/>
    <n v="2021"/>
    <s v="junho"/>
    <d v="2021-06-03T00:00:00"/>
    <x v="3"/>
    <x v="4"/>
    <s v="Product E"/>
    <n v="13"/>
    <n v="249"/>
    <n v="186750"/>
    <n v="35482.5"/>
    <n v="23"/>
    <d v="2021-04-01T00:00:00"/>
    <n v="9.4070723553722399E-4"/>
  </r>
  <r>
    <n v="10886"/>
    <n v="2021"/>
    <s v="junho"/>
    <d v="2021-06-04T00:00:00"/>
    <x v="2"/>
    <x v="0"/>
    <s v="Product E"/>
    <n v="8"/>
    <n v="112"/>
    <n v="84000"/>
    <n v="17640"/>
    <n v="23"/>
    <d v="2021-04-01T00:00:00"/>
    <n v="4.2312935895650298E-4"/>
  </r>
  <r>
    <n v="10887"/>
    <n v="2021"/>
    <s v="junho"/>
    <d v="2021-06-05T00:00:00"/>
    <x v="4"/>
    <x v="2"/>
    <s v="Product D"/>
    <n v="16"/>
    <n v="165"/>
    <n v="140250"/>
    <n v="56100"/>
    <n v="23"/>
    <d v="2021-04-01T00:00:00"/>
    <n v="7.0647491182916004E-4"/>
  </r>
  <r>
    <n v="10888"/>
    <n v="2021"/>
    <s v="junho"/>
    <d v="2021-06-06T00:00:00"/>
    <x v="0"/>
    <x v="3"/>
    <s v="Product A"/>
    <n v="3"/>
    <n v="30"/>
    <n v="15000"/>
    <n v="1650"/>
    <n v="24"/>
    <d v="2021-04-01T00:00:00"/>
    <n v="7.5558814099375502E-5"/>
  </r>
  <r>
    <n v="10889"/>
    <n v="2021"/>
    <s v="junho"/>
    <d v="2021-06-07T00:00:00"/>
    <x v="3"/>
    <x v="1"/>
    <s v="Product D"/>
    <n v="24"/>
    <n v="266"/>
    <n v="226100"/>
    <n v="90440"/>
    <n v="24"/>
    <d v="2021-04-01T00:00:00"/>
    <n v="1.1389231911912499E-3"/>
  </r>
  <r>
    <n v="10890"/>
    <n v="2021"/>
    <s v="junho"/>
    <d v="2021-06-08T00:00:00"/>
    <x v="0"/>
    <x v="2"/>
    <s v="Product B"/>
    <n v="3"/>
    <n v="132"/>
    <n v="33000"/>
    <n v="7260"/>
    <n v="24"/>
    <d v="2021-04-01T00:00:00"/>
    <n v="1.66229391018626E-4"/>
  </r>
  <r>
    <n v="10891"/>
    <n v="2021"/>
    <s v="junho"/>
    <d v="2021-06-09T00:00:00"/>
    <x v="4"/>
    <x v="0"/>
    <s v="Product E"/>
    <n v="22"/>
    <n v="500"/>
    <n v="375000"/>
    <n v="37500"/>
    <n v="24"/>
    <d v="2021-04-01T00:00:00"/>
    <n v="1.88897035248439E-3"/>
  </r>
  <r>
    <n v="10892"/>
    <n v="2021"/>
    <s v="junho"/>
    <d v="2021-06-10T00:00:00"/>
    <x v="2"/>
    <x v="2"/>
    <s v="Product B"/>
    <n v="23"/>
    <n v="359"/>
    <n v="89750"/>
    <n v="36797.5"/>
    <n v="24"/>
    <d v="2021-04-01T00:00:00"/>
    <n v="4.5209357102793E-4"/>
  </r>
  <r>
    <n v="10893"/>
    <n v="2021"/>
    <s v="junho"/>
    <d v="2021-06-11T00:00:00"/>
    <x v="1"/>
    <x v="2"/>
    <s v="Product D"/>
    <n v="39"/>
    <n v="398"/>
    <n v="338300"/>
    <n v="33830"/>
    <n v="24"/>
    <d v="2021-04-01T00:00:00"/>
    <n v="1.7041031206545801E-3"/>
  </r>
  <r>
    <n v="10894"/>
    <n v="2021"/>
    <s v="junho"/>
    <d v="2021-06-12T00:00:00"/>
    <x v="3"/>
    <x v="3"/>
    <s v="Product A"/>
    <n v="1"/>
    <n v="89"/>
    <n v="44500"/>
    <n v="13350"/>
    <n v="24"/>
    <d v="2021-04-01T00:00:00"/>
    <n v="2.2415781516148099E-4"/>
  </r>
  <r>
    <n v="10895"/>
    <n v="2021"/>
    <s v="junho"/>
    <d v="2021-06-13T00:00:00"/>
    <x v="1"/>
    <x v="1"/>
    <s v="Product A"/>
    <n v="7"/>
    <n v="168"/>
    <n v="84000"/>
    <n v="12600"/>
    <n v="25"/>
    <d v="2021-04-01T00:00:00"/>
    <n v="4.2312935895650298E-4"/>
  </r>
  <r>
    <n v="10896"/>
    <n v="2021"/>
    <s v="junho"/>
    <d v="2021-06-14T00:00:00"/>
    <x v="0"/>
    <x v="0"/>
    <s v="Product A"/>
    <n v="2"/>
    <n v="29"/>
    <n v="14500"/>
    <n v="1450"/>
    <n v="25"/>
    <d v="2021-04-01T00:00:00"/>
    <n v="7.3040186962729605E-5"/>
  </r>
  <r>
    <n v="10897"/>
    <n v="2021"/>
    <s v="junho"/>
    <d v="2021-06-15T00:00:00"/>
    <x v="4"/>
    <x v="3"/>
    <s v="Product E"/>
    <n v="2"/>
    <n v="28"/>
    <n v="21000"/>
    <n v="8400"/>
    <n v="25"/>
    <d v="2021-04-01T00:00:00"/>
    <n v="1.05782339739126E-4"/>
  </r>
  <r>
    <n v="10898"/>
    <n v="2021"/>
    <s v="junho"/>
    <d v="2021-06-16T00:00:00"/>
    <x v="4"/>
    <x v="3"/>
    <s v="Product A"/>
    <n v="17"/>
    <n v="462"/>
    <n v="231000"/>
    <n v="94710"/>
    <n v="25"/>
    <d v="2021-04-01T00:00:00"/>
    <n v="1.16360573713038E-3"/>
  </r>
  <r>
    <n v="10899"/>
    <n v="2021"/>
    <s v="junho"/>
    <d v="2021-06-17T00:00:00"/>
    <x v="3"/>
    <x v="1"/>
    <s v="Product E"/>
    <n v="5"/>
    <n v="331"/>
    <n v="248250"/>
    <n v="84405"/>
    <n v="25"/>
    <d v="2021-04-01T00:00:00"/>
    <n v="1.2504983733446599E-3"/>
  </r>
  <r>
    <n v="10900"/>
    <n v="2021"/>
    <s v="junho"/>
    <d v="2021-06-18T00:00:00"/>
    <x v="4"/>
    <x v="2"/>
    <s v="Product A"/>
    <n v="22"/>
    <n v="309"/>
    <n v="154500"/>
    <n v="64890"/>
    <n v="25"/>
    <d v="2021-04-01T00:00:00"/>
    <n v="7.7825578522356699E-4"/>
  </r>
  <r>
    <n v="10901"/>
    <n v="2021"/>
    <s v="junho"/>
    <d v="2021-06-19T00:00:00"/>
    <x v="0"/>
    <x v="0"/>
    <s v="Product E"/>
    <n v="8"/>
    <n v="111"/>
    <n v="83250"/>
    <n v="21645"/>
    <n v="25"/>
    <d v="2021-04-01T00:00:00"/>
    <n v="4.1935141825153398E-4"/>
  </r>
  <r>
    <n v="10902"/>
    <n v="2021"/>
    <s v="junho"/>
    <d v="2021-06-20T00:00:00"/>
    <x v="2"/>
    <x v="1"/>
    <s v="Product E"/>
    <n v="6"/>
    <n v="328"/>
    <n v="246000"/>
    <n v="49200"/>
    <n v="26"/>
    <d v="2021-04-01T00:00:00"/>
    <n v="1.23916455122976E-3"/>
  </r>
  <r>
    <n v="10903"/>
    <n v="2021"/>
    <s v="junho"/>
    <d v="2021-06-21T00:00:00"/>
    <x v="2"/>
    <x v="0"/>
    <s v="Product A"/>
    <n v="17"/>
    <n v="224"/>
    <n v="112000"/>
    <n v="38080"/>
    <n v="26"/>
    <d v="2021-04-01T00:00:00"/>
    <n v="5.6417247860866999E-4"/>
  </r>
  <r>
    <n v="10904"/>
    <n v="2021"/>
    <s v="junho"/>
    <d v="2021-06-22T00:00:00"/>
    <x v="4"/>
    <x v="3"/>
    <s v="Product C"/>
    <n v="15"/>
    <n v="282"/>
    <n v="98700"/>
    <n v="21714"/>
    <n v="26"/>
    <d v="2021-04-01T00:00:00"/>
    <n v="4.9717699677388999E-4"/>
  </r>
  <r>
    <n v="10905"/>
    <n v="2021"/>
    <s v="junho"/>
    <d v="2021-06-23T00:00:00"/>
    <x v="3"/>
    <x v="3"/>
    <s v="Product E"/>
    <n v="35"/>
    <n v="422"/>
    <n v="316500"/>
    <n v="91785"/>
    <n v="26"/>
    <d v="2021-04-01T00:00:00"/>
    <n v="1.59429097749682E-3"/>
  </r>
  <r>
    <n v="10906"/>
    <n v="2021"/>
    <s v="junho"/>
    <d v="2021-06-24T00:00:00"/>
    <x v="2"/>
    <x v="1"/>
    <s v="Product D"/>
    <n v="12"/>
    <n v="468"/>
    <n v="397800"/>
    <n v="167076"/>
    <n v="26"/>
    <d v="2021-04-01T00:00:00"/>
    <n v="2.0038197499154401E-3"/>
  </r>
  <r>
    <n v="10907"/>
    <n v="2021"/>
    <s v="junho"/>
    <d v="2021-06-25T00:00:00"/>
    <x v="4"/>
    <x v="0"/>
    <s v="Product B"/>
    <n v="6"/>
    <n v="184"/>
    <n v="46000"/>
    <n v="6440.0000000000009"/>
    <n v="26"/>
    <d v="2021-04-01T00:00:00"/>
    <n v="2.3171369657141799E-4"/>
  </r>
  <r>
    <n v="10908"/>
    <n v="2021"/>
    <s v="junho"/>
    <d v="2021-06-26T00:00:00"/>
    <x v="4"/>
    <x v="4"/>
    <s v="Product E"/>
    <n v="4"/>
    <n v="254"/>
    <n v="190500"/>
    <n v="78105"/>
    <n v="26"/>
    <d v="2021-04-01T00:00:00"/>
    <n v="9.5959693906206797E-4"/>
  </r>
  <r>
    <n v="10909"/>
    <n v="2021"/>
    <s v="junho"/>
    <d v="2021-06-27T00:00:00"/>
    <x v="1"/>
    <x v="1"/>
    <s v="Product D"/>
    <n v="12"/>
    <n v="165"/>
    <n v="140250"/>
    <n v="42075"/>
    <n v="27"/>
    <d v="2021-04-01T00:00:00"/>
    <n v="7.0647491182916004E-4"/>
  </r>
  <r>
    <n v="10910"/>
    <n v="2021"/>
    <s v="junho"/>
    <d v="2021-06-28T00:00:00"/>
    <x v="3"/>
    <x v="0"/>
    <s v="Product A"/>
    <n v="11"/>
    <n v="396"/>
    <n v="198000"/>
    <n v="89100"/>
    <n v="27"/>
    <d v="2021-04-01T00:00:00"/>
    <n v="9.9737634611175591E-4"/>
  </r>
  <r>
    <n v="10911"/>
    <n v="2021"/>
    <s v="junho"/>
    <d v="2021-06-29T00:00:00"/>
    <x v="0"/>
    <x v="3"/>
    <s v="Product A"/>
    <n v="12"/>
    <n v="233"/>
    <n v="116500"/>
    <n v="17475"/>
    <n v="27"/>
    <d v="2021-04-01T00:00:00"/>
    <n v="5.8684012283848302E-4"/>
  </r>
  <r>
    <n v="10912"/>
    <n v="2021"/>
    <s v="junho"/>
    <d v="2021-06-30T00:00:00"/>
    <x v="0"/>
    <x v="0"/>
    <s v="Product B"/>
    <n v="20"/>
    <n v="418"/>
    <n v="104500"/>
    <n v="20900"/>
    <n v="27"/>
    <d v="2021-04-01T00:00:00"/>
    <n v="5.2639307155898205E-4"/>
  </r>
  <r>
    <n v="10913"/>
    <n v="2021"/>
    <s v="julho"/>
    <d v="2021-07-01T00:00:00"/>
    <x v="3"/>
    <x v="3"/>
    <s v="Product E"/>
    <n v="1"/>
    <n v="17"/>
    <n v="12750"/>
    <n v="3825"/>
    <n v="27"/>
    <d v="2021-07-01T00:00:00"/>
    <n v="6.4224991984469096E-5"/>
  </r>
  <r>
    <n v="10914"/>
    <n v="2021"/>
    <s v="julho"/>
    <d v="2021-07-02T00:00:00"/>
    <x v="4"/>
    <x v="4"/>
    <s v="Product A"/>
    <n v="5"/>
    <n v="450"/>
    <n v="225000"/>
    <n v="42750"/>
    <n v="27"/>
    <d v="2021-07-01T00:00:00"/>
    <n v="1.13338221149063E-3"/>
  </r>
  <r>
    <n v="10915"/>
    <n v="2021"/>
    <s v="julho"/>
    <d v="2021-07-03T00:00:00"/>
    <x v="1"/>
    <x v="0"/>
    <s v="Product D"/>
    <n v="12"/>
    <n v="342"/>
    <n v="290700"/>
    <n v="93024"/>
    <n v="27"/>
    <d v="2021-07-01T00:00:00"/>
    <n v="1.4643298172459E-3"/>
  </r>
  <r>
    <n v="10916"/>
    <n v="2021"/>
    <s v="julho"/>
    <d v="2021-07-04T00:00:00"/>
    <x v="3"/>
    <x v="2"/>
    <s v="Product A"/>
    <n v="15"/>
    <n v="386"/>
    <n v="193000"/>
    <n v="46320"/>
    <n v="28"/>
    <d v="2021-07-01T00:00:00"/>
    <n v="9.7219007474529801E-4"/>
  </r>
  <r>
    <n v="10917"/>
    <n v="2021"/>
    <s v="julho"/>
    <d v="2021-07-05T00:00:00"/>
    <x v="3"/>
    <x v="2"/>
    <s v="Product A"/>
    <n v="7"/>
    <n v="100"/>
    <n v="50000"/>
    <n v="17500"/>
    <n v="28"/>
    <d v="2021-07-01T00:00:00"/>
    <n v="2.51862713664585E-4"/>
  </r>
  <r>
    <n v="10918"/>
    <n v="2021"/>
    <s v="julho"/>
    <d v="2021-07-06T00:00:00"/>
    <x v="3"/>
    <x v="4"/>
    <s v="Product C"/>
    <n v="4"/>
    <n v="121"/>
    <n v="42350"/>
    <n v="19057.5"/>
    <n v="28"/>
    <d v="2021-07-01T00:00:00"/>
    <n v="2.1332771847390301E-4"/>
  </r>
  <r>
    <n v="10919"/>
    <n v="2021"/>
    <s v="julho"/>
    <d v="2021-07-07T00:00:00"/>
    <x v="2"/>
    <x v="4"/>
    <s v="Product C"/>
    <n v="17"/>
    <n v="245"/>
    <n v="85750"/>
    <n v="36015"/>
    <n v="28"/>
    <d v="2021-07-01T00:00:00"/>
    <n v="4.3194455393476299E-4"/>
  </r>
  <r>
    <n v="10920"/>
    <n v="2021"/>
    <s v="julho"/>
    <d v="2021-07-08T00:00:00"/>
    <x v="2"/>
    <x v="4"/>
    <s v="Product C"/>
    <n v="2"/>
    <n v="34"/>
    <n v="11900"/>
    <n v="3450.9999999999995"/>
    <n v="28"/>
    <d v="2021-07-01T00:00:00"/>
    <n v="5.9943325852171199E-5"/>
  </r>
  <r>
    <n v="10921"/>
    <n v="2021"/>
    <s v="julho"/>
    <d v="2021-07-09T00:00:00"/>
    <x v="1"/>
    <x v="1"/>
    <s v="Product E"/>
    <n v="5"/>
    <n v="293"/>
    <n v="219750"/>
    <n v="32962.5"/>
    <n v="28"/>
    <d v="2021-07-01T00:00:00"/>
    <n v="1.1069366265558499E-3"/>
  </r>
  <r>
    <n v="10922"/>
    <n v="2021"/>
    <s v="julho"/>
    <d v="2021-07-10T00:00:00"/>
    <x v="0"/>
    <x v="3"/>
    <s v="Product E"/>
    <n v="5"/>
    <n v="70"/>
    <n v="52500"/>
    <n v="10500"/>
    <n v="28"/>
    <d v="2021-07-01T00:00:00"/>
    <n v="2.6445584934781401E-4"/>
  </r>
  <r>
    <n v="10923"/>
    <n v="2021"/>
    <s v="julho"/>
    <d v="2021-07-11T00:00:00"/>
    <x v="1"/>
    <x v="3"/>
    <s v="Product B"/>
    <n v="16"/>
    <n v="234"/>
    <n v="58500"/>
    <n v="12870"/>
    <n v="29"/>
    <d v="2021-07-01T00:00:00"/>
    <n v="2.9467937498756401E-4"/>
  </r>
  <r>
    <n v="10924"/>
    <n v="2021"/>
    <s v="julho"/>
    <d v="2021-07-12T00:00:00"/>
    <x v="0"/>
    <x v="3"/>
    <s v="Product D"/>
    <n v="15"/>
    <n v="155"/>
    <n v="131750"/>
    <n v="54017.5"/>
    <n v="29"/>
    <d v="2021-07-01T00:00:00"/>
    <n v="6.6365825050618103E-4"/>
  </r>
  <r>
    <n v="10925"/>
    <n v="2021"/>
    <s v="julho"/>
    <d v="2021-07-13T00:00:00"/>
    <x v="0"/>
    <x v="0"/>
    <s v="Product B"/>
    <n v="19"/>
    <n v="460"/>
    <n v="115000"/>
    <n v="12650"/>
    <n v="29"/>
    <d v="2021-07-01T00:00:00"/>
    <n v="5.7928424142854502E-4"/>
  </r>
  <r>
    <n v="10926"/>
    <n v="2021"/>
    <s v="julho"/>
    <d v="2021-07-14T00:00:00"/>
    <x v="4"/>
    <x v="2"/>
    <s v="Product B"/>
    <n v="47"/>
    <n v="475"/>
    <n v="118750"/>
    <n v="16625"/>
    <n v="29"/>
    <d v="2021-07-01T00:00:00"/>
    <n v="5.98173944953389E-4"/>
  </r>
  <r>
    <n v="10927"/>
    <n v="2021"/>
    <s v="julho"/>
    <d v="2021-07-15T00:00:00"/>
    <x v="4"/>
    <x v="2"/>
    <s v="Product D"/>
    <n v="9"/>
    <n v="466"/>
    <n v="396100"/>
    <n v="110908.00000000001"/>
    <n v="29"/>
    <d v="2021-07-01T00:00:00"/>
    <n v="1.9952564176508401E-3"/>
  </r>
  <r>
    <n v="10928"/>
    <n v="2021"/>
    <s v="julho"/>
    <d v="2021-07-16T00:00:00"/>
    <x v="1"/>
    <x v="1"/>
    <s v="Product A"/>
    <n v="8"/>
    <n v="157"/>
    <n v="78500"/>
    <n v="29830"/>
    <n v="29"/>
    <d v="2021-07-01T00:00:00"/>
    <n v="3.9542446045339803E-4"/>
  </r>
  <r>
    <n v="10929"/>
    <n v="2021"/>
    <s v="julho"/>
    <d v="2021-07-17T00:00:00"/>
    <x v="4"/>
    <x v="4"/>
    <s v="Product B"/>
    <n v="2"/>
    <n v="66"/>
    <n v="16500"/>
    <n v="4620"/>
    <n v="29"/>
    <d v="2021-07-01T00:00:00"/>
    <n v="8.3114695509313002E-5"/>
  </r>
  <r>
    <n v="10930"/>
    <n v="2021"/>
    <s v="julho"/>
    <d v="2021-07-18T00:00:00"/>
    <x v="4"/>
    <x v="0"/>
    <s v="Product B"/>
    <n v="22"/>
    <n v="238"/>
    <n v="59500"/>
    <n v="16660"/>
    <n v="30"/>
    <d v="2021-07-01T00:00:00"/>
    <n v="2.9971662926085599E-4"/>
  </r>
  <r>
    <n v="10931"/>
    <n v="2021"/>
    <s v="julho"/>
    <d v="2021-07-19T00:00:00"/>
    <x v="2"/>
    <x v="4"/>
    <s v="Product C"/>
    <n v="18"/>
    <n v="206"/>
    <n v="72100"/>
    <n v="23793"/>
    <n v="30"/>
    <d v="2021-07-01T00:00:00"/>
    <n v="3.6318603310433101E-4"/>
  </r>
  <r>
    <n v="10932"/>
    <n v="2021"/>
    <s v="julho"/>
    <d v="2021-07-20T00:00:00"/>
    <x v="4"/>
    <x v="3"/>
    <s v="Product E"/>
    <n v="22"/>
    <n v="237"/>
    <n v="177750"/>
    <n v="37327.5"/>
    <n v="30"/>
    <d v="2021-07-01T00:00:00"/>
    <n v="8.9537194707759902E-4"/>
  </r>
  <r>
    <n v="10933"/>
    <n v="2021"/>
    <s v="julho"/>
    <d v="2021-07-21T00:00:00"/>
    <x v="4"/>
    <x v="2"/>
    <s v="Product C"/>
    <n v="10"/>
    <n v="174"/>
    <n v="60900"/>
    <n v="9135"/>
    <n v="30"/>
    <d v="2021-07-01T00:00:00"/>
    <n v="3.0676878524346402E-4"/>
  </r>
  <r>
    <n v="10934"/>
    <n v="2021"/>
    <s v="julho"/>
    <d v="2021-07-22T00:00:00"/>
    <x v="0"/>
    <x v="2"/>
    <s v="Product A"/>
    <n v="3"/>
    <n v="34"/>
    <n v="17000"/>
    <n v="4590"/>
    <n v="30"/>
    <d v="2021-07-01T00:00:00"/>
    <n v="8.5633322645958804E-5"/>
  </r>
  <r>
    <n v="10935"/>
    <n v="2021"/>
    <s v="julho"/>
    <d v="2021-07-23T00:00:00"/>
    <x v="0"/>
    <x v="4"/>
    <s v="Product C"/>
    <n v="1"/>
    <n v="15"/>
    <n v="5250"/>
    <n v="1785.0000000000002"/>
    <n v="30"/>
    <d v="2021-07-01T00:00:00"/>
    <n v="2.6445584934781399E-5"/>
  </r>
  <r>
    <n v="10936"/>
    <n v="2021"/>
    <s v="julho"/>
    <d v="2021-07-24T00:00:00"/>
    <x v="0"/>
    <x v="1"/>
    <s v="Product A"/>
    <n v="9"/>
    <n v="383"/>
    <n v="191500"/>
    <n v="22980"/>
    <n v="30"/>
    <d v="2021-07-01T00:00:00"/>
    <n v="9.6463419333536E-4"/>
  </r>
  <r>
    <n v="10937"/>
    <n v="2021"/>
    <s v="julho"/>
    <d v="2021-07-25T00:00:00"/>
    <x v="0"/>
    <x v="2"/>
    <s v="Product D"/>
    <n v="11"/>
    <n v="119"/>
    <n v="101150"/>
    <n v="18207"/>
    <n v="31"/>
    <d v="2021-07-01T00:00:00"/>
    <n v="5.0951826974345504E-4"/>
  </r>
  <r>
    <n v="10938"/>
    <n v="2021"/>
    <s v="julho"/>
    <d v="2021-07-26T00:00:00"/>
    <x v="0"/>
    <x v="3"/>
    <s v="Product A"/>
    <n v="1"/>
    <n v="15"/>
    <n v="7500"/>
    <n v="2025.0000000000002"/>
    <n v="31"/>
    <d v="2021-07-01T00:00:00"/>
    <n v="3.7779407049687697E-5"/>
  </r>
  <r>
    <n v="10939"/>
    <n v="2021"/>
    <s v="julho"/>
    <d v="2021-07-27T00:00:00"/>
    <x v="3"/>
    <x v="0"/>
    <s v="Product A"/>
    <n v="5"/>
    <n v="81"/>
    <n v="40500"/>
    <n v="14175"/>
    <n v="31"/>
    <d v="2021-07-01T00:00:00"/>
    <n v="2.0400879806831401E-4"/>
  </r>
  <r>
    <n v="10940"/>
    <n v="2021"/>
    <s v="julho"/>
    <d v="2021-07-28T00:00:00"/>
    <x v="1"/>
    <x v="2"/>
    <s v="Product C"/>
    <n v="27"/>
    <n v="441"/>
    <n v="154350"/>
    <n v="69457.5"/>
    <n v="31"/>
    <d v="2021-07-01T00:00:00"/>
    <n v="7.7750019708257398E-4"/>
  </r>
  <r>
    <n v="10941"/>
    <n v="2021"/>
    <s v="julho"/>
    <d v="2021-07-29T00:00:00"/>
    <x v="4"/>
    <x v="1"/>
    <s v="Product C"/>
    <n v="15"/>
    <n v="455"/>
    <n v="159250"/>
    <n v="39812.5"/>
    <n v="31"/>
    <d v="2021-07-01T00:00:00"/>
    <n v="8.02182743021703E-4"/>
  </r>
  <r>
    <n v="10942"/>
    <n v="2021"/>
    <s v="julho"/>
    <d v="2021-07-30T00:00:00"/>
    <x v="1"/>
    <x v="1"/>
    <s v="Product A"/>
    <n v="29"/>
    <n v="330"/>
    <n v="165000"/>
    <n v="59400"/>
    <n v="31"/>
    <d v="2021-07-01T00:00:00"/>
    <n v="8.3114695509312996E-4"/>
  </r>
  <r>
    <n v="10943"/>
    <n v="2021"/>
    <s v="julho"/>
    <d v="2021-07-31T00:00:00"/>
    <x v="0"/>
    <x v="2"/>
    <s v="Product B"/>
    <n v="26"/>
    <n v="442"/>
    <n v="110500"/>
    <n v="44200"/>
    <n v="31"/>
    <d v="2021-07-01T00:00:00"/>
    <n v="5.5661659719873297E-4"/>
  </r>
  <r>
    <n v="10944"/>
    <n v="2021"/>
    <s v="agosto"/>
    <d v="2021-08-01T00:00:00"/>
    <x v="3"/>
    <x v="3"/>
    <s v="Product C"/>
    <n v="23"/>
    <n v="397"/>
    <n v="138950"/>
    <n v="56969.5"/>
    <n v="32"/>
    <d v="2021-07-01T00:00:00"/>
    <n v="6.9992648127388101E-4"/>
  </r>
  <r>
    <n v="10945"/>
    <n v="2021"/>
    <s v="agosto"/>
    <d v="2021-08-02T00:00:00"/>
    <x v="1"/>
    <x v="1"/>
    <s v="Product E"/>
    <n v="19"/>
    <n v="359"/>
    <n v="269250"/>
    <n v="64620"/>
    <n v="32"/>
    <d v="2021-07-01T00:00:00"/>
    <n v="1.35628071308379E-3"/>
  </r>
  <r>
    <n v="10946"/>
    <n v="2021"/>
    <s v="agosto"/>
    <d v="2021-08-03T00:00:00"/>
    <x v="3"/>
    <x v="0"/>
    <s v="Product B"/>
    <n v="11"/>
    <n v="177"/>
    <n v="44250"/>
    <n v="14602.5"/>
    <n v="32"/>
    <d v="2021-07-01T00:00:00"/>
    <n v="2.2289850159315801E-4"/>
  </r>
  <r>
    <n v="10947"/>
    <n v="2021"/>
    <s v="agosto"/>
    <d v="2021-08-04T00:00:00"/>
    <x v="3"/>
    <x v="2"/>
    <s v="Product A"/>
    <n v="8"/>
    <n v="449"/>
    <n v="224500"/>
    <n v="101025"/>
    <n v="32"/>
    <d v="2021-07-01T00:00:00"/>
    <n v="1.1308635843539901E-3"/>
  </r>
  <r>
    <n v="10948"/>
    <n v="2021"/>
    <s v="agosto"/>
    <d v="2021-08-05T00:00:00"/>
    <x v="2"/>
    <x v="0"/>
    <s v="Product C"/>
    <n v="21"/>
    <n v="422"/>
    <n v="147700"/>
    <n v="25109"/>
    <n v="32"/>
    <d v="2021-07-01T00:00:00"/>
    <n v="7.4400245616518398E-4"/>
  </r>
  <r>
    <n v="10949"/>
    <n v="2021"/>
    <s v="agosto"/>
    <d v="2021-08-06T00:00:00"/>
    <x v="3"/>
    <x v="2"/>
    <s v="Product A"/>
    <n v="2"/>
    <n v="43"/>
    <n v="21500"/>
    <n v="8170"/>
    <n v="32"/>
    <d v="2021-07-01T00:00:00"/>
    <n v="1.0830096687577199E-4"/>
  </r>
  <r>
    <n v="10950"/>
    <n v="2021"/>
    <s v="agosto"/>
    <d v="2021-08-07T00:00:00"/>
    <x v="3"/>
    <x v="2"/>
    <s v="Product E"/>
    <n v="32"/>
    <n v="393"/>
    <n v="294750"/>
    <n v="64845"/>
    <n v="32"/>
    <d v="2021-07-01T00:00:00"/>
    <n v="1.4847306970527301E-3"/>
  </r>
  <r>
    <n v="10951"/>
    <n v="2021"/>
    <s v="agosto"/>
    <d v="2021-08-08T00:00:00"/>
    <x v="3"/>
    <x v="0"/>
    <s v="Product B"/>
    <n v="21"/>
    <n v="314"/>
    <n v="78500"/>
    <n v="29830"/>
    <n v="33"/>
    <d v="2021-07-01T00:00:00"/>
    <n v="3.9542446045339803E-4"/>
  </r>
  <r>
    <n v="10952"/>
    <n v="2021"/>
    <s v="agosto"/>
    <d v="2021-08-09T00:00:00"/>
    <x v="0"/>
    <x v="4"/>
    <s v="Product E"/>
    <n v="40"/>
    <n v="477"/>
    <n v="357750"/>
    <n v="121635.00000000001"/>
    <n v="33"/>
    <d v="2021-07-01T00:00:00"/>
    <n v="1.8020777162700999E-3"/>
  </r>
  <r>
    <n v="10953"/>
    <n v="2021"/>
    <s v="agosto"/>
    <d v="2021-08-10T00:00:00"/>
    <x v="2"/>
    <x v="2"/>
    <s v="Product A"/>
    <n v="10"/>
    <n v="149"/>
    <n v="74500"/>
    <n v="29055"/>
    <n v="33"/>
    <d v="2021-07-01T00:00:00"/>
    <n v="3.7527544336023102E-4"/>
  </r>
  <r>
    <n v="10954"/>
    <n v="2021"/>
    <s v="agosto"/>
    <d v="2021-08-11T00:00:00"/>
    <x v="2"/>
    <x v="3"/>
    <s v="Product E"/>
    <n v="42"/>
    <n v="478"/>
    <n v="358500"/>
    <n v="50190.000000000007"/>
    <n v="33"/>
    <d v="2021-07-01T00:00:00"/>
    <n v="1.8058556569750699E-3"/>
  </r>
  <r>
    <n v="10955"/>
    <n v="2021"/>
    <s v="agosto"/>
    <d v="2021-08-12T00:00:00"/>
    <x v="0"/>
    <x v="0"/>
    <s v="Product E"/>
    <n v="12"/>
    <n v="172"/>
    <n v="129000"/>
    <n v="28380"/>
    <n v="33"/>
    <d v="2021-07-01T00:00:00"/>
    <n v="6.4980580125462899E-4"/>
  </r>
  <r>
    <n v="10956"/>
    <n v="2021"/>
    <s v="agosto"/>
    <d v="2021-08-13T00:00:00"/>
    <x v="0"/>
    <x v="1"/>
    <s v="Product C"/>
    <n v="12"/>
    <n v="221"/>
    <n v="77350"/>
    <n v="17017"/>
    <n v="33"/>
    <d v="2021-07-01T00:00:00"/>
    <n v="3.8963161803911298E-4"/>
  </r>
  <r>
    <n v="10957"/>
    <n v="2021"/>
    <s v="agosto"/>
    <d v="2021-08-14T00:00:00"/>
    <x v="4"/>
    <x v="1"/>
    <s v="Product E"/>
    <n v="5"/>
    <n v="60"/>
    <n v="45000"/>
    <n v="11250"/>
    <n v="33"/>
    <d v="2021-07-01T00:00:00"/>
    <n v="2.26676442298126E-4"/>
  </r>
  <r>
    <n v="10958"/>
    <n v="2021"/>
    <s v="agosto"/>
    <d v="2021-08-15T00:00:00"/>
    <x v="0"/>
    <x v="0"/>
    <s v="Product B"/>
    <n v="1"/>
    <n v="24"/>
    <n v="6000"/>
    <n v="1860"/>
    <n v="34"/>
    <d v="2021-07-01T00:00:00"/>
    <n v="3.02235256397502E-5"/>
  </r>
  <r>
    <n v="10959"/>
    <n v="2021"/>
    <s v="agosto"/>
    <d v="2021-08-16T00:00:00"/>
    <x v="4"/>
    <x v="4"/>
    <s v="Product A"/>
    <n v="17"/>
    <n v="255"/>
    <n v="127500"/>
    <n v="40800"/>
    <n v="34"/>
    <d v="2021-07-01T00:00:00"/>
    <n v="6.4224991984469099E-4"/>
  </r>
  <r>
    <n v="10960"/>
    <n v="2021"/>
    <s v="agosto"/>
    <d v="2021-08-17T00:00:00"/>
    <x v="3"/>
    <x v="1"/>
    <s v="Product E"/>
    <n v="31"/>
    <n v="310"/>
    <n v="232500"/>
    <n v="51150"/>
    <n v="34"/>
    <d v="2021-07-01T00:00:00"/>
    <n v="1.1711616185403201E-3"/>
  </r>
  <r>
    <n v="10961"/>
    <n v="2021"/>
    <s v="agosto"/>
    <d v="2021-08-18T00:00:00"/>
    <x v="3"/>
    <x v="1"/>
    <s v="Product B"/>
    <n v="9"/>
    <n v="500"/>
    <n v="125000"/>
    <n v="13750"/>
    <n v="34"/>
    <d v="2021-07-01T00:00:00"/>
    <n v="6.2965678416146203E-4"/>
  </r>
  <r>
    <n v="10962"/>
    <n v="2021"/>
    <s v="agosto"/>
    <d v="2021-08-19T00:00:00"/>
    <x v="1"/>
    <x v="4"/>
    <s v="Product C"/>
    <n v="9"/>
    <n v="310"/>
    <n v="108500"/>
    <n v="26040"/>
    <n v="34"/>
    <d v="2021-07-01T00:00:00"/>
    <n v="5.46542088652149E-4"/>
  </r>
  <r>
    <n v="10963"/>
    <n v="2021"/>
    <s v="agosto"/>
    <d v="2021-08-20T00:00:00"/>
    <x v="4"/>
    <x v="2"/>
    <s v="Product A"/>
    <n v="5"/>
    <n v="360"/>
    <n v="180000"/>
    <n v="81000"/>
    <n v="34"/>
    <d v="2021-07-01T00:00:00"/>
    <n v="9.0670576919250499E-4"/>
  </r>
  <r>
    <n v="10964"/>
    <n v="2021"/>
    <s v="agosto"/>
    <d v="2021-08-21T00:00:00"/>
    <x v="1"/>
    <x v="3"/>
    <s v="Product A"/>
    <n v="16"/>
    <n v="176"/>
    <n v="88000"/>
    <n v="35200"/>
    <n v="34"/>
    <d v="2021-07-01T00:00:00"/>
    <n v="4.4327837604966902E-4"/>
  </r>
  <r>
    <n v="10965"/>
    <n v="2021"/>
    <s v="agosto"/>
    <d v="2021-08-22T00:00:00"/>
    <x v="4"/>
    <x v="4"/>
    <s v="Product B"/>
    <n v="3"/>
    <n v="121"/>
    <n v="30250"/>
    <n v="9982.5"/>
    <n v="35"/>
    <d v="2021-07-01T00:00:00"/>
    <n v="1.5237694176707401E-4"/>
  </r>
  <r>
    <n v="10966"/>
    <n v="2021"/>
    <s v="agosto"/>
    <d v="2021-08-23T00:00:00"/>
    <x v="2"/>
    <x v="2"/>
    <s v="Product C"/>
    <n v="4"/>
    <n v="123"/>
    <n v="43050"/>
    <n v="4305"/>
    <n v="35"/>
    <d v="2021-07-01T00:00:00"/>
    <n v="2.16853796465208E-4"/>
  </r>
  <r>
    <n v="10967"/>
    <n v="2021"/>
    <s v="agosto"/>
    <d v="2021-08-24T00:00:00"/>
    <x v="3"/>
    <x v="3"/>
    <s v="Product C"/>
    <n v="35"/>
    <n v="479"/>
    <n v="167650"/>
    <n v="30177"/>
    <n v="35"/>
    <d v="2021-07-01T00:00:00"/>
    <n v="8.4449567891735301E-4"/>
  </r>
  <r>
    <n v="10968"/>
    <n v="2021"/>
    <s v="agosto"/>
    <d v="2021-08-25T00:00:00"/>
    <x v="4"/>
    <x v="0"/>
    <s v="Product E"/>
    <n v="5"/>
    <n v="104"/>
    <n v="78000"/>
    <n v="11700"/>
    <n v="35"/>
    <d v="2021-07-01T00:00:00"/>
    <n v="3.9290583331675201E-4"/>
  </r>
  <r>
    <n v="10969"/>
    <n v="2021"/>
    <s v="agosto"/>
    <d v="2021-08-26T00:00:00"/>
    <x v="3"/>
    <x v="3"/>
    <s v="Product B"/>
    <n v="11"/>
    <n v="159"/>
    <n v="39750"/>
    <n v="10335"/>
    <n v="35"/>
    <d v="2021-07-01T00:00:00"/>
    <n v="2.00230857363345E-4"/>
  </r>
  <r>
    <n v="10970"/>
    <n v="2021"/>
    <s v="agosto"/>
    <d v="2021-08-27T00:00:00"/>
    <x v="3"/>
    <x v="3"/>
    <s v="Product E"/>
    <n v="6"/>
    <n v="385"/>
    <n v="288750"/>
    <n v="77962.5"/>
    <n v="35"/>
    <d v="2021-07-01T00:00:00"/>
    <n v="1.45450717141298E-3"/>
  </r>
  <r>
    <n v="10971"/>
    <n v="2021"/>
    <s v="agosto"/>
    <d v="2021-08-28T00:00:00"/>
    <x v="0"/>
    <x v="2"/>
    <s v="Product D"/>
    <n v="2"/>
    <n v="82"/>
    <n v="69700"/>
    <n v="25092"/>
    <n v="35"/>
    <d v="2021-07-01T00:00:00"/>
    <n v="3.5109662284843099E-4"/>
  </r>
  <r>
    <n v="10972"/>
    <n v="2021"/>
    <s v="agosto"/>
    <d v="2021-08-29T00:00:00"/>
    <x v="4"/>
    <x v="3"/>
    <s v="Product B"/>
    <n v="7"/>
    <n v="101"/>
    <n v="25250"/>
    <n v="7070.0000000000009"/>
    <n v="36"/>
    <d v="2021-07-01T00:00:00"/>
    <n v="1.2719067040061499E-4"/>
  </r>
  <r>
    <n v="10973"/>
    <n v="2021"/>
    <s v="agosto"/>
    <d v="2021-08-30T00:00:00"/>
    <x v="3"/>
    <x v="3"/>
    <s v="Product A"/>
    <n v="5"/>
    <n v="157"/>
    <n v="78500"/>
    <n v="16485"/>
    <n v="36"/>
    <d v="2021-07-01T00:00:00"/>
    <n v="3.9542446045339803E-4"/>
  </r>
  <r>
    <n v="10974"/>
    <n v="2021"/>
    <s v="agosto"/>
    <d v="2021-08-31T00:00:00"/>
    <x v="0"/>
    <x v="0"/>
    <s v="Product A"/>
    <n v="30"/>
    <n v="459"/>
    <n v="229500"/>
    <n v="48195"/>
    <n v="36"/>
    <d v="2021-07-01T00:00:00"/>
    <n v="1.15604985572044E-3"/>
  </r>
  <r>
    <n v="10975"/>
    <n v="2021"/>
    <s v="setembro"/>
    <d v="2021-09-01T00:00:00"/>
    <x v="4"/>
    <x v="1"/>
    <s v="Product E"/>
    <n v="13"/>
    <n v="435"/>
    <n v="326250"/>
    <n v="91350.000000000015"/>
    <n v="36"/>
    <d v="2021-07-01T00:00:00"/>
    <n v="1.64340420666142E-3"/>
  </r>
  <r>
    <n v="10976"/>
    <n v="2021"/>
    <s v="setembro"/>
    <d v="2021-09-02T00:00:00"/>
    <x v="3"/>
    <x v="4"/>
    <s v="Product C"/>
    <n v="7"/>
    <n v="109"/>
    <n v="38150"/>
    <n v="6485.5000000000009"/>
    <n v="36"/>
    <d v="2021-07-01T00:00:00"/>
    <n v="1.9217125052607801E-4"/>
  </r>
  <r>
    <n v="10977"/>
    <n v="2021"/>
    <s v="setembro"/>
    <d v="2021-09-03T00:00:00"/>
    <x v="0"/>
    <x v="2"/>
    <s v="Product E"/>
    <n v="36"/>
    <n v="368"/>
    <n v="276000"/>
    <n v="121440"/>
    <n v="36"/>
    <d v="2021-07-01T00:00:00"/>
    <n v="1.3902821794285101E-3"/>
  </r>
  <r>
    <n v="10978"/>
    <n v="2021"/>
    <s v="setembro"/>
    <d v="2021-09-04T00:00:00"/>
    <x v="2"/>
    <x v="3"/>
    <s v="Product A"/>
    <n v="3"/>
    <n v="264"/>
    <n v="132000"/>
    <n v="26400"/>
    <n v="36"/>
    <d v="2021-07-01T00:00:00"/>
    <n v="6.6491756407450401E-4"/>
  </r>
  <r>
    <n v="10979"/>
    <n v="2021"/>
    <s v="setembro"/>
    <d v="2021-09-05T00:00:00"/>
    <x v="2"/>
    <x v="2"/>
    <s v="Product E"/>
    <n v="23"/>
    <n v="382"/>
    <n v="286500"/>
    <n v="37245"/>
    <n v="37"/>
    <d v="2021-07-01T00:00:00"/>
    <n v="1.4431733492980699E-3"/>
  </r>
  <r>
    <n v="10980"/>
    <n v="2021"/>
    <s v="setembro"/>
    <d v="2021-09-06T00:00:00"/>
    <x v="3"/>
    <x v="3"/>
    <s v="Product C"/>
    <n v="7"/>
    <n v="462"/>
    <n v="161700"/>
    <n v="17787"/>
    <n v="37"/>
    <d v="2021-07-01T00:00:00"/>
    <n v="8.1452401599126697E-4"/>
  </r>
  <r>
    <n v="10981"/>
    <n v="2021"/>
    <s v="setembro"/>
    <d v="2021-09-07T00:00:00"/>
    <x v="3"/>
    <x v="4"/>
    <s v="Product A"/>
    <n v="30"/>
    <n v="407"/>
    <n v="203500"/>
    <n v="40700"/>
    <n v="37"/>
    <d v="2021-07-01T00:00:00"/>
    <n v="1.02508124461486E-3"/>
  </r>
  <r>
    <n v="10982"/>
    <n v="2021"/>
    <s v="setembro"/>
    <d v="2021-09-08T00:00:00"/>
    <x v="1"/>
    <x v="4"/>
    <s v="Product B"/>
    <n v="19"/>
    <n v="294"/>
    <n v="73500"/>
    <n v="10290.000000000002"/>
    <n v="37"/>
    <d v="2021-07-01T00:00:00"/>
    <n v="3.7023818908694001E-4"/>
  </r>
  <r>
    <n v="10983"/>
    <n v="2021"/>
    <s v="setembro"/>
    <d v="2021-09-09T00:00:00"/>
    <x v="1"/>
    <x v="1"/>
    <s v="Product E"/>
    <n v="15"/>
    <n v="394"/>
    <n v="295500"/>
    <n v="41370.000000000007"/>
    <n v="37"/>
    <d v="2021-07-01T00:00:00"/>
    <n v="1.4885086377577001E-3"/>
  </r>
  <r>
    <n v="10984"/>
    <n v="2021"/>
    <s v="setembro"/>
    <d v="2021-09-10T00:00:00"/>
    <x v="3"/>
    <x v="0"/>
    <s v="Product A"/>
    <n v="18"/>
    <n v="272"/>
    <n v="136000"/>
    <n v="36720"/>
    <n v="37"/>
    <d v="2021-07-01T00:00:00"/>
    <n v="6.8506658116767097E-4"/>
  </r>
  <r>
    <n v="10985"/>
    <n v="2021"/>
    <s v="setembro"/>
    <d v="2021-09-11T00:00:00"/>
    <x v="0"/>
    <x v="4"/>
    <s v="Product D"/>
    <n v="4"/>
    <n v="292"/>
    <n v="248200"/>
    <n v="81906"/>
    <n v="37"/>
    <d v="2021-07-01T00:00:00"/>
    <n v="1.2502465106309999E-3"/>
  </r>
  <r>
    <n v="10986"/>
    <n v="2021"/>
    <s v="setembro"/>
    <d v="2021-09-12T00:00:00"/>
    <x v="2"/>
    <x v="1"/>
    <s v="Product C"/>
    <n v="8"/>
    <n v="88"/>
    <n v="30800"/>
    <n v="13552"/>
    <n v="38"/>
    <d v="2021-07-01T00:00:00"/>
    <n v="1.5514743161738399E-4"/>
  </r>
  <r>
    <n v="10987"/>
    <n v="2021"/>
    <s v="setembro"/>
    <d v="2021-09-13T00:00:00"/>
    <x v="4"/>
    <x v="4"/>
    <s v="Product A"/>
    <n v="21"/>
    <n v="371"/>
    <n v="185500"/>
    <n v="29680"/>
    <n v="38"/>
    <d v="2021-07-01T00:00:00"/>
    <n v="9.3441066769560995E-4"/>
  </r>
  <r>
    <n v="10988"/>
    <n v="2021"/>
    <s v="setembro"/>
    <d v="2021-09-14T00:00:00"/>
    <x v="3"/>
    <x v="3"/>
    <s v="Product B"/>
    <n v="17"/>
    <n v="326"/>
    <n v="81500"/>
    <n v="20375"/>
    <n v="38"/>
    <d v="2021-07-01T00:00:00"/>
    <n v="4.10536223273273E-4"/>
  </r>
  <r>
    <n v="10989"/>
    <n v="2021"/>
    <s v="setembro"/>
    <d v="2021-09-15T00:00:00"/>
    <x v="2"/>
    <x v="0"/>
    <s v="Product A"/>
    <n v="21"/>
    <n v="304"/>
    <n v="152000"/>
    <n v="51680.000000000007"/>
    <n v="38"/>
    <d v="2021-07-01T00:00:00"/>
    <n v="7.6566264954033804E-4"/>
  </r>
  <r>
    <n v="10990"/>
    <n v="2021"/>
    <s v="setembro"/>
    <d v="2021-09-16T00:00:00"/>
    <x v="3"/>
    <x v="1"/>
    <s v="Product C"/>
    <n v="23"/>
    <n v="416"/>
    <n v="145600"/>
    <n v="46592"/>
    <n v="38"/>
    <d v="2021-07-01T00:00:00"/>
    <n v="7.3342422219127101E-4"/>
  </r>
  <r>
    <n v="10991"/>
    <n v="2021"/>
    <s v="setembro"/>
    <d v="2021-09-17T00:00:00"/>
    <x v="1"/>
    <x v="1"/>
    <s v="Product A"/>
    <n v="34"/>
    <n v="480"/>
    <n v="240000"/>
    <n v="43200"/>
    <n v="38"/>
    <d v="2021-07-01T00:00:00"/>
    <n v="1.20894102559001E-3"/>
  </r>
  <r>
    <n v="10992"/>
    <n v="2021"/>
    <s v="setembro"/>
    <d v="2021-09-18T00:00:00"/>
    <x v="4"/>
    <x v="1"/>
    <s v="Product A"/>
    <n v="11"/>
    <n v="354"/>
    <n v="177000"/>
    <n v="56640"/>
    <n v="38"/>
    <d v="2021-07-01T00:00:00"/>
    <n v="8.9159400637262996E-4"/>
  </r>
  <r>
    <n v="10993"/>
    <n v="2021"/>
    <s v="setembro"/>
    <d v="2021-09-19T00:00:00"/>
    <x v="2"/>
    <x v="1"/>
    <s v="Product B"/>
    <n v="1"/>
    <n v="50"/>
    <n v="12500"/>
    <n v="5375"/>
    <n v="39"/>
    <d v="2021-07-01T00:00:00"/>
    <n v="6.2965678416146195E-5"/>
  </r>
  <r>
    <n v="10994"/>
    <n v="2021"/>
    <s v="setembro"/>
    <d v="2021-09-20T00:00:00"/>
    <x v="4"/>
    <x v="0"/>
    <s v="Product E"/>
    <n v="5"/>
    <n v="72"/>
    <n v="54000"/>
    <n v="21060"/>
    <n v="39"/>
    <d v="2021-07-01T00:00:00"/>
    <n v="2.7201173075775201E-4"/>
  </r>
  <r>
    <n v="10995"/>
    <n v="2021"/>
    <s v="setembro"/>
    <d v="2021-09-21T00:00:00"/>
    <x v="0"/>
    <x v="3"/>
    <s v="Product B"/>
    <n v="33"/>
    <n v="379"/>
    <n v="94750"/>
    <n v="42637.5"/>
    <n v="39"/>
    <d v="2021-07-01T00:00:00"/>
    <n v="4.7727984239438802E-4"/>
  </r>
  <r>
    <n v="10996"/>
    <n v="2021"/>
    <s v="setembro"/>
    <d v="2021-09-22T00:00:00"/>
    <x v="0"/>
    <x v="3"/>
    <s v="Product C"/>
    <n v="22"/>
    <n v="300"/>
    <n v="105000"/>
    <n v="34650"/>
    <n v="39"/>
    <d v="2021-07-01T00:00:00"/>
    <n v="5.2891169869562801E-4"/>
  </r>
  <r>
    <n v="10997"/>
    <n v="2021"/>
    <s v="setembro"/>
    <d v="2021-09-23T00:00:00"/>
    <x v="1"/>
    <x v="3"/>
    <s v="Product C"/>
    <n v="10"/>
    <n v="292"/>
    <n v="102200"/>
    <n v="29637.999999999996"/>
    <n v="39"/>
    <d v="2021-07-01T00:00:00"/>
    <n v="5.1480738673041098E-4"/>
  </r>
  <r>
    <n v="10998"/>
    <n v="2021"/>
    <s v="setembro"/>
    <d v="2021-09-24T00:00:00"/>
    <x v="0"/>
    <x v="0"/>
    <s v="Product D"/>
    <n v="8"/>
    <n v="268"/>
    <n v="227800"/>
    <n v="88842"/>
    <n v="39"/>
    <d v="2021-07-01T00:00:00"/>
    <n v="1.1474865234558499E-3"/>
  </r>
  <r>
    <n v="10999"/>
    <n v="2021"/>
    <s v="setembro"/>
    <d v="2021-09-25T00:00:00"/>
    <x v="0"/>
    <x v="0"/>
    <s v="Product A"/>
    <n v="20"/>
    <n v="344"/>
    <n v="172000"/>
    <n v="77400"/>
    <n v="39"/>
    <d v="2021-07-01T00:00:00"/>
    <n v="8.6640773500617195E-4"/>
  </r>
  <r>
    <n v="11000"/>
    <n v="2021"/>
    <s v="setembro"/>
    <d v="2021-09-26T00:00:00"/>
    <x v="1"/>
    <x v="1"/>
    <s v="Product E"/>
    <n v="24"/>
    <n v="388"/>
    <n v="291000"/>
    <n v="29100"/>
    <n v="40"/>
    <d v="2021-07-01T00:00:00"/>
    <n v="1.4658409935278799E-3"/>
  </r>
  <r>
    <n v="11001"/>
    <n v="2021"/>
    <s v="setembro"/>
    <d v="2021-09-27T00:00:00"/>
    <x v="3"/>
    <x v="2"/>
    <s v="Product D"/>
    <n v="6"/>
    <n v="433"/>
    <n v="368050"/>
    <n v="84651.5"/>
    <n v="40"/>
    <d v="2021-07-01T00:00:00"/>
    <n v="1.85396143528501E-3"/>
  </r>
  <r>
    <n v="11002"/>
    <n v="2021"/>
    <s v="setembro"/>
    <d v="2021-09-28T00:00:00"/>
    <x v="2"/>
    <x v="0"/>
    <s v="Product D"/>
    <n v="22"/>
    <n v="417"/>
    <n v="354450"/>
    <n v="67345.5"/>
    <n v="40"/>
    <d v="2021-07-01T00:00:00"/>
    <n v="1.78545477716824E-3"/>
  </r>
  <r>
    <n v="11003"/>
    <n v="2021"/>
    <s v="setembro"/>
    <d v="2021-09-29T00:00:00"/>
    <x v="3"/>
    <x v="1"/>
    <s v="Product C"/>
    <n v="30"/>
    <n v="309"/>
    <n v="108150"/>
    <n v="35689.5"/>
    <n v="40"/>
    <d v="2021-07-01T00:00:00"/>
    <n v="5.4477904965649702E-4"/>
  </r>
  <r>
    <n v="11004"/>
    <n v="2021"/>
    <s v="setembro"/>
    <d v="2021-09-30T00:00:00"/>
    <x v="1"/>
    <x v="4"/>
    <s v="Product B"/>
    <n v="3"/>
    <n v="84"/>
    <n v="21000"/>
    <n v="3360"/>
    <n v="40"/>
    <d v="2021-07-01T00:00:00"/>
    <n v="1.05782339739126E-4"/>
  </r>
  <r>
    <n v="11005"/>
    <n v="2021"/>
    <s v="outubro"/>
    <d v="2021-10-01T00:00:00"/>
    <x v="4"/>
    <x v="4"/>
    <s v="Product A"/>
    <n v="13"/>
    <n v="157"/>
    <n v="78500"/>
    <n v="8635"/>
    <n v="40"/>
    <d v="2021-10-01T00:00:00"/>
    <n v="3.9542446045339803E-4"/>
  </r>
  <r>
    <n v="11006"/>
    <n v="2021"/>
    <s v="outubro"/>
    <d v="2021-10-02T00:00:00"/>
    <x v="3"/>
    <x v="2"/>
    <s v="Product C"/>
    <n v="17"/>
    <n v="227"/>
    <n v="79450"/>
    <n v="23040.5"/>
    <n v="40"/>
    <d v="2021-10-01T00:00:00"/>
    <n v="4.0020985201302502E-4"/>
  </r>
  <r>
    <n v="11007"/>
    <n v="2021"/>
    <s v="outubro"/>
    <d v="2021-10-03T00:00:00"/>
    <x v="1"/>
    <x v="0"/>
    <s v="Product A"/>
    <n v="11"/>
    <n v="130"/>
    <n v="65000"/>
    <n v="18850"/>
    <n v="41"/>
    <d v="2021-10-01T00:00:00"/>
    <n v="3.2742152776396002E-4"/>
  </r>
  <r>
    <n v="11008"/>
    <n v="2021"/>
    <s v="outubro"/>
    <d v="2021-10-04T00:00:00"/>
    <x v="3"/>
    <x v="3"/>
    <s v="Product B"/>
    <n v="2"/>
    <n v="35"/>
    <n v="8750"/>
    <n v="1925"/>
    <n v="41"/>
    <d v="2021-10-01T00:00:00"/>
    <n v="4.4075974891302398E-5"/>
  </r>
  <r>
    <n v="11009"/>
    <n v="2021"/>
    <s v="outubro"/>
    <d v="2021-10-05T00:00:00"/>
    <x v="3"/>
    <x v="3"/>
    <s v="Product B"/>
    <n v="4"/>
    <n v="111"/>
    <n v="27750"/>
    <n v="12487.5"/>
    <n v="41"/>
    <d v="2021-10-01T00:00:00"/>
    <n v="1.39783806083845E-4"/>
  </r>
  <r>
    <n v="11010"/>
    <n v="2021"/>
    <s v="outubro"/>
    <d v="2021-10-06T00:00:00"/>
    <x v="1"/>
    <x v="4"/>
    <s v="Product D"/>
    <n v="11"/>
    <n v="129"/>
    <n v="109650"/>
    <n v="38377.5"/>
    <n v="41"/>
    <d v="2021-10-01T00:00:00"/>
    <n v="5.5233493106643502E-4"/>
  </r>
  <r>
    <n v="11011"/>
    <n v="2021"/>
    <s v="outubro"/>
    <d v="2021-10-07T00:00:00"/>
    <x v="1"/>
    <x v="2"/>
    <s v="Product C"/>
    <n v="11"/>
    <n v="389"/>
    <n v="136150"/>
    <n v="54460"/>
    <n v="41"/>
    <d v="2021-10-01T00:00:00"/>
    <n v="6.8582216930866398E-4"/>
  </r>
  <r>
    <n v="11012"/>
    <n v="2021"/>
    <s v="outubro"/>
    <d v="2021-10-08T00:00:00"/>
    <x v="0"/>
    <x v="0"/>
    <s v="Product C"/>
    <n v="14"/>
    <n v="254"/>
    <n v="88900"/>
    <n v="13335"/>
    <n v="41"/>
    <d v="2021-10-01T00:00:00"/>
    <n v="4.47811904895632E-4"/>
  </r>
  <r>
    <n v="11013"/>
    <n v="2021"/>
    <s v="outubro"/>
    <d v="2021-10-09T00:00:00"/>
    <x v="3"/>
    <x v="2"/>
    <s v="Product E"/>
    <n v="14"/>
    <n v="219"/>
    <n v="164250"/>
    <n v="26280"/>
    <n v="41"/>
    <d v="2021-10-01T00:00:00"/>
    <n v="8.2736901438816102E-4"/>
  </r>
  <r>
    <n v="11014"/>
    <n v="2021"/>
    <s v="outubro"/>
    <d v="2021-10-10T00:00:00"/>
    <x v="1"/>
    <x v="2"/>
    <s v="Product D"/>
    <n v="7"/>
    <n v="128"/>
    <n v="108800"/>
    <n v="17408"/>
    <n v="42"/>
    <d v="2021-10-01T00:00:00"/>
    <n v="5.4805326493413697E-4"/>
  </r>
  <r>
    <n v="11015"/>
    <n v="2021"/>
    <s v="outubro"/>
    <d v="2021-10-11T00:00:00"/>
    <x v="0"/>
    <x v="3"/>
    <s v="Product C"/>
    <n v="9"/>
    <n v="406"/>
    <n v="142100"/>
    <n v="49735"/>
    <n v="42"/>
    <d v="2021-10-01T00:00:00"/>
    <n v="7.1579383223475002E-4"/>
  </r>
  <r>
    <n v="11016"/>
    <n v="2021"/>
    <s v="outubro"/>
    <d v="2021-10-12T00:00:00"/>
    <x v="1"/>
    <x v="0"/>
    <s v="Product E"/>
    <n v="14"/>
    <n v="304"/>
    <n v="228000"/>
    <n v="41040"/>
    <n v="42"/>
    <d v="2021-10-01T00:00:00"/>
    <n v="1.1484939743105101E-3"/>
  </r>
  <r>
    <n v="11017"/>
    <n v="2021"/>
    <s v="outubro"/>
    <d v="2021-10-13T00:00:00"/>
    <x v="2"/>
    <x v="0"/>
    <s v="Product E"/>
    <n v="24"/>
    <n v="449"/>
    <n v="336750"/>
    <n v="114495.00000000001"/>
    <n v="42"/>
    <d v="2021-10-01T00:00:00"/>
    <n v="1.69629537653098E-3"/>
  </r>
  <r>
    <n v="11018"/>
    <n v="2021"/>
    <s v="outubro"/>
    <d v="2021-10-14T00:00:00"/>
    <x v="0"/>
    <x v="1"/>
    <s v="Product C"/>
    <n v="20"/>
    <n v="473"/>
    <n v="165550"/>
    <n v="36421"/>
    <n v="42"/>
    <d v="2021-10-01T00:00:00"/>
    <n v="8.3391744494344005E-4"/>
  </r>
  <r>
    <n v="11019"/>
    <n v="2021"/>
    <s v="outubro"/>
    <d v="2021-10-15T00:00:00"/>
    <x v="4"/>
    <x v="4"/>
    <s v="Product B"/>
    <n v="7"/>
    <n v="292"/>
    <n v="73000"/>
    <n v="17520"/>
    <n v="42"/>
    <d v="2021-10-01T00:00:00"/>
    <n v="3.6771956195029399E-4"/>
  </r>
  <r>
    <n v="11020"/>
    <n v="2021"/>
    <s v="outubro"/>
    <d v="2021-10-16T00:00:00"/>
    <x v="4"/>
    <x v="4"/>
    <s v="Product B"/>
    <n v="7"/>
    <n v="109"/>
    <n v="27250"/>
    <n v="5995"/>
    <n v="42"/>
    <d v="2021-10-01T00:00:00"/>
    <n v="1.3726517894719901E-4"/>
  </r>
  <r>
    <n v="11021"/>
    <n v="2021"/>
    <s v="outubro"/>
    <d v="2021-10-17T00:00:00"/>
    <x v="0"/>
    <x v="3"/>
    <s v="Product A"/>
    <n v="32"/>
    <n v="349"/>
    <n v="174500"/>
    <n v="52350"/>
    <n v="43"/>
    <d v="2021-10-01T00:00:00"/>
    <n v="8.7900087068940101E-4"/>
  </r>
  <r>
    <n v="11022"/>
    <n v="2021"/>
    <s v="outubro"/>
    <d v="2021-10-18T00:00:00"/>
    <x v="3"/>
    <x v="1"/>
    <s v="Product C"/>
    <n v="12"/>
    <n v="308"/>
    <n v="107800"/>
    <n v="43120"/>
    <n v="43"/>
    <d v="2021-10-01T00:00:00"/>
    <n v="5.4301601066084504E-4"/>
  </r>
  <r>
    <n v="11023"/>
    <n v="2021"/>
    <s v="outubro"/>
    <d v="2021-10-19T00:00:00"/>
    <x v="1"/>
    <x v="4"/>
    <s v="Product D"/>
    <n v="14"/>
    <n v="312"/>
    <n v="265200"/>
    <n v="111384"/>
    <n v="43"/>
    <d v="2021-10-01T00:00:00"/>
    <n v="1.3358798332769599E-3"/>
  </r>
  <r>
    <n v="11024"/>
    <n v="2021"/>
    <s v="outubro"/>
    <d v="2021-10-20T00:00:00"/>
    <x v="0"/>
    <x v="0"/>
    <s v="Product D"/>
    <n v="12"/>
    <n v="193"/>
    <n v="164050"/>
    <n v="26248"/>
    <n v="43"/>
    <d v="2021-10-01T00:00:00"/>
    <n v="8.2636156353350302E-4"/>
  </r>
  <r>
    <n v="11025"/>
    <n v="2021"/>
    <s v="outubro"/>
    <d v="2021-10-21T00:00:00"/>
    <x v="2"/>
    <x v="4"/>
    <s v="Product E"/>
    <n v="7"/>
    <n v="195"/>
    <n v="146250"/>
    <n v="19012.5"/>
    <n v="43"/>
    <d v="2021-10-01T00:00:00"/>
    <n v="7.3669843746891096E-4"/>
  </r>
  <r>
    <n v="11026"/>
    <n v="2021"/>
    <s v="outubro"/>
    <d v="2021-10-22T00:00:00"/>
    <x v="1"/>
    <x v="2"/>
    <s v="Product C"/>
    <n v="9"/>
    <n v="114"/>
    <n v="39900"/>
    <n v="7581"/>
    <n v="43"/>
    <d v="2021-10-01T00:00:00"/>
    <n v="2.0098644550433899E-4"/>
  </r>
  <r>
    <n v="11027"/>
    <n v="2021"/>
    <s v="outubro"/>
    <d v="2021-10-23T00:00:00"/>
    <x v="3"/>
    <x v="0"/>
    <s v="Product C"/>
    <n v="38"/>
    <n v="481"/>
    <n v="168350"/>
    <n v="18518.5"/>
    <n v="43"/>
    <d v="2021-10-01T00:00:00"/>
    <n v="8.4802175690865697E-4"/>
  </r>
  <r>
    <n v="11028"/>
    <n v="2021"/>
    <s v="outubro"/>
    <d v="2021-10-24T00:00:00"/>
    <x v="2"/>
    <x v="3"/>
    <s v="Product E"/>
    <n v="47"/>
    <n v="490"/>
    <n v="367500"/>
    <n v="106574.99999999999"/>
    <n v="44"/>
    <d v="2021-10-01T00:00:00"/>
    <n v="1.8511909454347001E-3"/>
  </r>
  <r>
    <n v="11029"/>
    <n v="2021"/>
    <s v="outubro"/>
    <d v="2021-10-25T00:00:00"/>
    <x v="4"/>
    <x v="2"/>
    <s v="Product E"/>
    <n v="10"/>
    <n v="307"/>
    <n v="230250"/>
    <n v="46050"/>
    <n v="44"/>
    <d v="2021-10-01T00:00:00"/>
    <n v="1.15982779642541E-3"/>
  </r>
  <r>
    <n v="11030"/>
    <n v="2021"/>
    <s v="outubro"/>
    <d v="2021-10-26T00:00:00"/>
    <x v="0"/>
    <x v="4"/>
    <s v="Product D"/>
    <n v="1"/>
    <n v="44"/>
    <n v="37400"/>
    <n v="9724"/>
    <n v="44"/>
    <d v="2021-10-01T00:00:00"/>
    <n v="1.88393309821109E-4"/>
  </r>
  <r>
    <n v="11031"/>
    <n v="2021"/>
    <s v="outubro"/>
    <d v="2021-10-27T00:00:00"/>
    <x v="4"/>
    <x v="3"/>
    <s v="Product B"/>
    <n v="4"/>
    <n v="234"/>
    <n v="58500"/>
    <n v="21060"/>
    <n v="44"/>
    <d v="2021-10-01T00:00:00"/>
    <n v="2.9467937498756401E-4"/>
  </r>
  <r>
    <n v="11032"/>
    <n v="2021"/>
    <s v="outubro"/>
    <d v="2021-10-28T00:00:00"/>
    <x v="0"/>
    <x v="0"/>
    <s v="Product B"/>
    <n v="20"/>
    <n v="360"/>
    <n v="90000"/>
    <n v="25200.000000000004"/>
    <n v="44"/>
    <d v="2021-10-01T00:00:00"/>
    <n v="4.5335288459625298E-4"/>
  </r>
  <r>
    <n v="11033"/>
    <n v="2021"/>
    <s v="outubro"/>
    <d v="2021-10-29T00:00:00"/>
    <x v="3"/>
    <x v="0"/>
    <s v="Product B"/>
    <n v="2"/>
    <n v="29"/>
    <n v="7250"/>
    <n v="3117.5"/>
    <n v="44"/>
    <d v="2021-10-01T00:00:00"/>
    <n v="3.6520093481364803E-5"/>
  </r>
  <r>
    <n v="11034"/>
    <n v="2021"/>
    <s v="outubro"/>
    <d v="2021-10-30T00:00:00"/>
    <x v="2"/>
    <x v="4"/>
    <s v="Product A"/>
    <n v="30"/>
    <n v="383"/>
    <n v="191500"/>
    <n v="68940"/>
    <n v="44"/>
    <d v="2021-10-01T00:00:00"/>
    <n v="9.6463419333536E-4"/>
  </r>
  <r>
    <n v="11035"/>
    <n v="2021"/>
    <s v="outubro"/>
    <d v="2021-10-31T00:00:00"/>
    <x v="0"/>
    <x v="0"/>
    <s v="Product A"/>
    <n v="44"/>
    <n v="475"/>
    <n v="237500"/>
    <n v="71250"/>
    <n v="45"/>
    <d v="2021-10-01T00:00:00"/>
    <n v="1.1963478899067799E-3"/>
  </r>
  <r>
    <n v="11036"/>
    <n v="2021"/>
    <s v="novembro"/>
    <d v="2021-11-01T00:00:00"/>
    <x v="2"/>
    <x v="0"/>
    <s v="Product C"/>
    <n v="7"/>
    <n v="187"/>
    <n v="65450"/>
    <n v="17017"/>
    <n v="45"/>
    <d v="2021-10-01T00:00:00"/>
    <n v="3.2968829218694198E-4"/>
  </r>
  <r>
    <n v="11037"/>
    <n v="2021"/>
    <s v="novembro"/>
    <d v="2021-11-02T00:00:00"/>
    <x v="3"/>
    <x v="0"/>
    <s v="Product E"/>
    <n v="7"/>
    <n v="397"/>
    <n v="297750"/>
    <n v="74437.5"/>
    <n v="45"/>
    <d v="2021-10-01T00:00:00"/>
    <n v="1.4998424598726E-3"/>
  </r>
  <r>
    <n v="11038"/>
    <n v="2021"/>
    <s v="novembro"/>
    <d v="2021-11-03T00:00:00"/>
    <x v="0"/>
    <x v="4"/>
    <s v="Product E"/>
    <n v="33"/>
    <n v="418"/>
    <n v="313500"/>
    <n v="75240"/>
    <n v="45"/>
    <d v="2021-10-01T00:00:00"/>
    <n v="1.57917921467695E-3"/>
  </r>
  <r>
    <n v="11039"/>
    <n v="2021"/>
    <s v="novembro"/>
    <d v="2021-11-04T00:00:00"/>
    <x v="4"/>
    <x v="0"/>
    <s v="Product A"/>
    <n v="1"/>
    <n v="71"/>
    <n v="35500"/>
    <n v="7100"/>
    <n v="45"/>
    <d v="2021-10-01T00:00:00"/>
    <n v="1.7882252670185501E-4"/>
  </r>
  <r>
    <n v="11040"/>
    <n v="2021"/>
    <s v="novembro"/>
    <d v="2021-11-05T00:00:00"/>
    <x v="3"/>
    <x v="4"/>
    <s v="Product A"/>
    <n v="14"/>
    <n v="327"/>
    <n v="163500"/>
    <n v="40875"/>
    <n v="45"/>
    <d v="2021-10-01T00:00:00"/>
    <n v="8.2359107368319196E-4"/>
  </r>
  <r>
    <n v="11041"/>
    <n v="2021"/>
    <s v="novembro"/>
    <d v="2021-11-06T00:00:00"/>
    <x v="4"/>
    <x v="0"/>
    <s v="Product D"/>
    <n v="4"/>
    <n v="99"/>
    <n v="84150"/>
    <n v="10939.5"/>
    <n v="45"/>
    <d v="2021-10-01T00:00:00"/>
    <n v="4.2388494709749599E-4"/>
  </r>
  <r>
    <n v="11042"/>
    <n v="2021"/>
    <s v="novembro"/>
    <d v="2021-11-07T00:00:00"/>
    <x v="0"/>
    <x v="0"/>
    <s v="Product B"/>
    <n v="13"/>
    <n v="190"/>
    <n v="47500"/>
    <n v="7125"/>
    <n v="46"/>
    <d v="2021-10-01T00:00:00"/>
    <n v="2.3926957798135599E-4"/>
  </r>
  <r>
    <n v="11043"/>
    <n v="2021"/>
    <s v="novembro"/>
    <d v="2021-11-08T00:00:00"/>
    <x v="2"/>
    <x v="0"/>
    <s v="Product A"/>
    <n v="3"/>
    <n v="33"/>
    <n v="16500"/>
    <n v="6435"/>
    <n v="46"/>
    <d v="2021-10-01T00:00:00"/>
    <n v="8.3114695509313002E-5"/>
  </r>
  <r>
    <n v="11044"/>
    <n v="2021"/>
    <s v="novembro"/>
    <d v="2021-11-09T00:00:00"/>
    <x v="3"/>
    <x v="2"/>
    <s v="Product A"/>
    <n v="30"/>
    <n v="433"/>
    <n v="216500"/>
    <n v="43300"/>
    <n v="46"/>
    <d v="2021-10-01T00:00:00"/>
    <n v="1.0905655501676501E-3"/>
  </r>
  <r>
    <n v="11045"/>
    <n v="2021"/>
    <s v="novembro"/>
    <d v="2021-11-10T00:00:00"/>
    <x v="4"/>
    <x v="3"/>
    <s v="Product D"/>
    <n v="26"/>
    <n v="365"/>
    <n v="310250"/>
    <n v="111690"/>
    <n v="46"/>
    <d v="2021-10-01T00:00:00"/>
    <n v="1.56280813828875E-3"/>
  </r>
  <r>
    <n v="11046"/>
    <n v="2021"/>
    <s v="novembro"/>
    <d v="2021-11-11T00:00:00"/>
    <x v="0"/>
    <x v="3"/>
    <s v="Product C"/>
    <n v="42"/>
    <n v="482"/>
    <n v="168700"/>
    <n v="48923"/>
    <n v="46"/>
    <d v="2021-10-01T00:00:00"/>
    <n v="8.4978479590430895E-4"/>
  </r>
  <r>
    <n v="11047"/>
    <n v="2021"/>
    <s v="novembro"/>
    <d v="2021-11-12T00:00:00"/>
    <x v="3"/>
    <x v="4"/>
    <s v="Product E"/>
    <n v="17"/>
    <n v="446"/>
    <n v="334500"/>
    <n v="53520"/>
    <n v="46"/>
    <d v="2021-10-01T00:00:00"/>
    <n v="1.6849615544160699E-3"/>
  </r>
  <r>
    <n v="11048"/>
    <n v="2021"/>
    <s v="novembro"/>
    <d v="2021-11-13T00:00:00"/>
    <x v="0"/>
    <x v="4"/>
    <s v="Product E"/>
    <n v="6"/>
    <n v="63"/>
    <n v="47250"/>
    <n v="9922.5"/>
    <n v="46"/>
    <d v="2021-10-01T00:00:00"/>
    <n v="2.3801026441303301E-4"/>
  </r>
  <r>
    <n v="11049"/>
    <n v="2021"/>
    <s v="novembro"/>
    <d v="2021-11-14T00:00:00"/>
    <x v="2"/>
    <x v="2"/>
    <s v="Product D"/>
    <n v="1"/>
    <n v="48"/>
    <n v="40800"/>
    <n v="17952"/>
    <n v="47"/>
    <d v="2021-10-01T00:00:00"/>
    <n v="2.05519974350301E-4"/>
  </r>
  <r>
    <n v="11050"/>
    <n v="2021"/>
    <s v="novembro"/>
    <d v="2021-11-15T00:00:00"/>
    <x v="1"/>
    <x v="2"/>
    <s v="Product E"/>
    <n v="10"/>
    <n v="114"/>
    <n v="85500"/>
    <n v="24795"/>
    <n v="47"/>
    <d v="2021-10-01T00:00:00"/>
    <n v="4.3068524036644001E-4"/>
  </r>
  <r>
    <n v="11051"/>
    <n v="2021"/>
    <s v="novembro"/>
    <d v="2021-11-16T00:00:00"/>
    <x v="1"/>
    <x v="2"/>
    <s v="Product C"/>
    <n v="19"/>
    <n v="498"/>
    <n v="174300"/>
    <n v="47061"/>
    <n v="47"/>
    <d v="2021-10-01T00:00:00"/>
    <n v="8.7799341983474301E-4"/>
  </r>
  <r>
    <n v="11052"/>
    <n v="2021"/>
    <s v="novembro"/>
    <d v="2021-11-17T00:00:00"/>
    <x v="0"/>
    <x v="1"/>
    <s v="Product B"/>
    <n v="22"/>
    <n v="305"/>
    <n v="76250"/>
    <n v="21350.000000000004"/>
    <n v="47"/>
    <d v="2021-10-01T00:00:00"/>
    <n v="3.84090638338492E-4"/>
  </r>
  <r>
    <n v="11053"/>
    <n v="2021"/>
    <s v="novembro"/>
    <d v="2021-11-18T00:00:00"/>
    <x v="2"/>
    <x v="3"/>
    <s v="Product D"/>
    <n v="6"/>
    <n v="207"/>
    <n v="175950"/>
    <n v="21114"/>
    <n v="47"/>
    <d v="2021-10-01T00:00:00"/>
    <n v="8.8630488938567403E-4"/>
  </r>
  <r>
    <n v="11054"/>
    <n v="2021"/>
    <s v="novembro"/>
    <d v="2021-11-19T00:00:00"/>
    <x v="1"/>
    <x v="4"/>
    <s v="Product E"/>
    <n v="10"/>
    <n v="144"/>
    <n v="108000"/>
    <n v="12960"/>
    <n v="47"/>
    <d v="2021-10-01T00:00:00"/>
    <n v="5.4402346151550304E-4"/>
  </r>
  <r>
    <n v="11055"/>
    <n v="2021"/>
    <s v="novembro"/>
    <d v="2021-11-20T00:00:00"/>
    <x v="2"/>
    <x v="0"/>
    <s v="Product B"/>
    <n v="40"/>
    <n v="409"/>
    <n v="102250"/>
    <n v="30675"/>
    <n v="47"/>
    <d v="2021-10-01T00:00:00"/>
    <n v="5.1505924944407597E-4"/>
  </r>
  <r>
    <n v="11056"/>
    <n v="2021"/>
    <s v="novembro"/>
    <d v="2021-11-21T00:00:00"/>
    <x v="3"/>
    <x v="3"/>
    <s v="Product B"/>
    <n v="1"/>
    <n v="21"/>
    <n v="5250"/>
    <n v="2100"/>
    <n v="48"/>
    <d v="2021-10-01T00:00:00"/>
    <n v="2.6445584934781399E-5"/>
  </r>
  <r>
    <n v="11057"/>
    <n v="2021"/>
    <s v="novembro"/>
    <d v="2021-11-22T00:00:00"/>
    <x v="4"/>
    <x v="0"/>
    <s v="Product A"/>
    <n v="1"/>
    <n v="59"/>
    <n v="29500"/>
    <n v="10620"/>
    <n v="48"/>
    <d v="2021-10-01T00:00:00"/>
    <n v="1.4859900106210501E-4"/>
  </r>
  <r>
    <n v="11058"/>
    <n v="2021"/>
    <s v="novembro"/>
    <d v="2021-11-23T00:00:00"/>
    <x v="0"/>
    <x v="1"/>
    <s v="Product D"/>
    <n v="35"/>
    <n v="486"/>
    <n v="413100"/>
    <n v="82620"/>
    <n v="48"/>
    <d v="2021-10-01T00:00:00"/>
    <n v="2.0808897402967998E-3"/>
  </r>
  <r>
    <n v="11059"/>
    <n v="2021"/>
    <s v="novembro"/>
    <d v="2021-11-24T00:00:00"/>
    <x v="4"/>
    <x v="4"/>
    <s v="Product D"/>
    <n v="15"/>
    <n v="346"/>
    <n v="294100"/>
    <n v="79407"/>
    <n v="48"/>
    <d v="2021-10-01T00:00:00"/>
    <n v="1.48145648177509E-3"/>
  </r>
  <r>
    <n v="11060"/>
    <n v="2021"/>
    <s v="novembro"/>
    <d v="2021-11-25T00:00:00"/>
    <x v="1"/>
    <x v="3"/>
    <s v="Product C"/>
    <n v="18"/>
    <n v="465"/>
    <n v="162750"/>
    <n v="42315"/>
    <n v="48"/>
    <d v="2021-10-01T00:00:00"/>
    <n v="8.1981313297822399E-4"/>
  </r>
  <r>
    <n v="11061"/>
    <n v="2021"/>
    <s v="novembro"/>
    <d v="2021-11-26T00:00:00"/>
    <x v="0"/>
    <x v="3"/>
    <s v="Product B"/>
    <n v="10"/>
    <n v="249"/>
    <n v="62250"/>
    <n v="28012.5"/>
    <n v="48"/>
    <d v="2021-10-01T00:00:00"/>
    <n v="3.1356907851240798E-4"/>
  </r>
  <r>
    <n v="11062"/>
    <n v="2021"/>
    <s v="novembro"/>
    <d v="2021-11-27T00:00:00"/>
    <x v="0"/>
    <x v="1"/>
    <s v="Product B"/>
    <n v="15"/>
    <n v="385"/>
    <n v="96250"/>
    <n v="43312.5"/>
    <n v="48"/>
    <d v="2021-10-01T00:00:00"/>
    <n v="4.8483572380432602E-4"/>
  </r>
  <r>
    <n v="11063"/>
    <n v="2021"/>
    <s v="novembro"/>
    <d v="2021-11-28T00:00:00"/>
    <x v="4"/>
    <x v="2"/>
    <s v="Product C"/>
    <n v="37"/>
    <n v="392"/>
    <n v="137200"/>
    <n v="19208.000000000004"/>
    <n v="49"/>
    <d v="2021-10-01T00:00:00"/>
    <n v="6.91111286295621E-4"/>
  </r>
  <r>
    <n v="11064"/>
    <n v="2021"/>
    <s v="novembro"/>
    <d v="2021-11-29T00:00:00"/>
    <x v="1"/>
    <x v="0"/>
    <s v="Product D"/>
    <n v="18"/>
    <n v="187"/>
    <n v="158950"/>
    <n v="22253.000000000004"/>
    <n v="49"/>
    <d v="2021-10-01T00:00:00"/>
    <n v="8.0067156673971503E-4"/>
  </r>
  <r>
    <n v="11065"/>
    <n v="2021"/>
    <s v="novembro"/>
    <d v="2021-11-30T00:00:00"/>
    <x v="1"/>
    <x v="1"/>
    <s v="Product A"/>
    <n v="22"/>
    <n v="406"/>
    <n v="203000"/>
    <n v="46690"/>
    <n v="49"/>
    <d v="2021-10-01T00:00:00"/>
    <n v="1.0225626174782099E-3"/>
  </r>
  <r>
    <n v="11066"/>
    <n v="2021"/>
    <s v="dezembro"/>
    <d v="2021-12-01T00:00:00"/>
    <x v="2"/>
    <x v="3"/>
    <s v="Product E"/>
    <n v="6"/>
    <n v="74"/>
    <n v="55500"/>
    <n v="17205"/>
    <n v="49"/>
    <d v="2021-10-01T00:00:00"/>
    <n v="2.7956761216768898E-4"/>
  </r>
  <r>
    <n v="11067"/>
    <n v="2021"/>
    <s v="dezembro"/>
    <d v="2021-12-02T00:00:00"/>
    <x v="2"/>
    <x v="2"/>
    <s v="Product C"/>
    <n v="13"/>
    <n v="222"/>
    <n v="77700"/>
    <n v="13209.000000000002"/>
    <n v="49"/>
    <d v="2021-10-01T00:00:00"/>
    <n v="3.9139465703476501E-4"/>
  </r>
  <r>
    <n v="11068"/>
    <n v="2021"/>
    <s v="dezembro"/>
    <d v="2021-12-03T00:00:00"/>
    <x v="2"/>
    <x v="1"/>
    <s v="Product A"/>
    <n v="6"/>
    <n v="423"/>
    <n v="211500"/>
    <n v="82485"/>
    <n v="49"/>
    <d v="2021-10-01T00:00:00"/>
    <n v="1.06537927880119E-3"/>
  </r>
  <r>
    <n v="11069"/>
    <n v="2021"/>
    <s v="dezembro"/>
    <d v="2021-12-04T00:00:00"/>
    <x v="3"/>
    <x v="4"/>
    <s v="Product B"/>
    <n v="1"/>
    <n v="11"/>
    <n v="2750"/>
    <n v="385.00000000000006"/>
    <n v="49"/>
    <d v="2021-10-01T00:00:00"/>
    <n v="1.3852449251552199E-5"/>
  </r>
  <r>
    <n v="11070"/>
    <n v="2021"/>
    <s v="dezembro"/>
    <d v="2021-12-05T00:00:00"/>
    <x v="1"/>
    <x v="2"/>
    <s v="Product C"/>
    <n v="7"/>
    <n v="377"/>
    <n v="131950"/>
    <n v="36946"/>
    <n v="50"/>
    <d v="2021-10-01T00:00:00"/>
    <n v="6.6466570136084E-4"/>
  </r>
  <r>
    <n v="11071"/>
    <n v="2021"/>
    <s v="dezembro"/>
    <d v="2021-12-06T00:00:00"/>
    <x v="2"/>
    <x v="0"/>
    <s v="Product A"/>
    <n v="11"/>
    <n v="264"/>
    <n v="132000"/>
    <n v="30360"/>
    <n v="50"/>
    <d v="2021-10-01T00:00:00"/>
    <n v="6.6491756407450401E-4"/>
  </r>
  <r>
    <n v="11072"/>
    <n v="2021"/>
    <s v="dezembro"/>
    <d v="2021-12-07T00:00:00"/>
    <x v="2"/>
    <x v="3"/>
    <s v="Product D"/>
    <n v="7"/>
    <n v="183"/>
    <n v="155550"/>
    <n v="69997.5"/>
    <n v="50"/>
    <d v="2021-10-01T00:00:00"/>
    <n v="7.8354490221052401E-4"/>
  </r>
  <r>
    <n v="11073"/>
    <n v="2021"/>
    <s v="dezembro"/>
    <d v="2021-12-08T00:00:00"/>
    <x v="4"/>
    <x v="4"/>
    <s v="Product C"/>
    <n v="11"/>
    <n v="144"/>
    <n v="50400"/>
    <n v="7056.0000000000009"/>
    <n v="50"/>
    <d v="2021-10-01T00:00:00"/>
    <n v="2.5387761537390202E-4"/>
  </r>
  <r>
    <n v="11074"/>
    <n v="2021"/>
    <s v="dezembro"/>
    <d v="2021-12-09T00:00:00"/>
    <x v="2"/>
    <x v="0"/>
    <s v="Product C"/>
    <n v="18"/>
    <n v="260"/>
    <n v="91000"/>
    <n v="39130"/>
    <n v="50"/>
    <d v="2021-10-01T00:00:00"/>
    <n v="4.5839013886954399E-4"/>
  </r>
  <r>
    <n v="11075"/>
    <n v="2021"/>
    <s v="dezembro"/>
    <d v="2021-12-10T00:00:00"/>
    <x v="2"/>
    <x v="2"/>
    <s v="Product B"/>
    <n v="25"/>
    <n v="499"/>
    <n v="124750"/>
    <n v="12475"/>
    <n v="50"/>
    <d v="2021-10-01T00:00:00"/>
    <n v="6.2839747059313905E-4"/>
  </r>
  <r>
    <n v="11076"/>
    <n v="2021"/>
    <s v="dezembro"/>
    <d v="2021-12-11T00:00:00"/>
    <x v="1"/>
    <x v="0"/>
    <s v="Product C"/>
    <n v="29"/>
    <n v="358"/>
    <n v="125300"/>
    <n v="21301"/>
    <n v="50"/>
    <d v="2021-10-01T00:00:00"/>
    <n v="6.3116796044345E-4"/>
  </r>
  <r>
    <n v="11077"/>
    <n v="2021"/>
    <s v="dezembro"/>
    <d v="2021-12-12T00:00:00"/>
    <x v="0"/>
    <x v="2"/>
    <s v="Product B"/>
    <n v="14"/>
    <n v="490"/>
    <n v="122500"/>
    <n v="53900"/>
    <n v="51"/>
    <d v="2021-10-01T00:00:00"/>
    <n v="6.1706364847823297E-4"/>
  </r>
  <r>
    <n v="11078"/>
    <n v="2021"/>
    <s v="dezembro"/>
    <d v="2021-12-13T00:00:00"/>
    <x v="2"/>
    <x v="2"/>
    <s v="Product B"/>
    <n v="7"/>
    <n v="92"/>
    <n v="23000"/>
    <n v="5750"/>
    <n v="51"/>
    <d v="2021-10-01T00:00:00"/>
    <n v="1.1585684828570899E-4"/>
  </r>
  <r>
    <n v="11079"/>
    <n v="2021"/>
    <s v="dezembro"/>
    <d v="2021-12-14T00:00:00"/>
    <x v="2"/>
    <x v="3"/>
    <s v="Product D"/>
    <n v="29"/>
    <n v="366"/>
    <n v="311100"/>
    <n v="83997"/>
    <n v="51"/>
    <d v="2021-10-01T00:00:00"/>
    <n v="1.56708980442105E-3"/>
  </r>
  <r>
    <n v="11080"/>
    <n v="2021"/>
    <s v="dezembro"/>
    <d v="2021-12-15T00:00:00"/>
    <x v="3"/>
    <x v="0"/>
    <s v="Product A"/>
    <n v="13"/>
    <n v="225"/>
    <n v="112500"/>
    <n v="32624.999999999996"/>
    <n v="51"/>
    <d v="2021-10-01T00:00:00"/>
    <n v="5.6669110574531596E-4"/>
  </r>
  <r>
    <n v="11081"/>
    <n v="2021"/>
    <s v="dezembro"/>
    <d v="2021-12-16T00:00:00"/>
    <x v="1"/>
    <x v="2"/>
    <s v="Product C"/>
    <n v="24"/>
    <n v="340"/>
    <n v="119000"/>
    <n v="26180"/>
    <n v="51"/>
    <d v="2021-10-01T00:00:00"/>
    <n v="5.9943325852171198E-4"/>
  </r>
  <r>
    <n v="11082"/>
    <n v="2021"/>
    <s v="dezembro"/>
    <d v="2021-12-17T00:00:00"/>
    <x v="0"/>
    <x v="1"/>
    <s v="Product E"/>
    <n v="37"/>
    <n v="416"/>
    <n v="312000"/>
    <n v="102960"/>
    <n v="51"/>
    <d v="2021-10-01T00:00:00"/>
    <n v="1.57162333326701E-3"/>
  </r>
  <r>
    <n v="11083"/>
    <n v="2021"/>
    <s v="dezembro"/>
    <d v="2021-12-18T00:00:00"/>
    <x v="1"/>
    <x v="0"/>
    <s v="Product D"/>
    <n v="7"/>
    <n v="166"/>
    <n v="141100"/>
    <n v="35275"/>
    <n v="51"/>
    <d v="2021-10-01T00:00:00"/>
    <n v="7.1075657796145799E-4"/>
  </r>
  <r>
    <n v="11084"/>
    <n v="2021"/>
    <s v="dezembro"/>
    <d v="2021-12-19T00:00:00"/>
    <x v="3"/>
    <x v="2"/>
    <s v="Product B"/>
    <n v="12"/>
    <n v="196"/>
    <n v="49000"/>
    <n v="19600"/>
    <n v="52"/>
    <d v="2021-10-01T00:00:00"/>
    <n v="2.4682545939129301E-4"/>
  </r>
  <r>
    <n v="11085"/>
    <n v="2021"/>
    <s v="dezembro"/>
    <d v="2021-12-20T00:00:00"/>
    <x v="1"/>
    <x v="1"/>
    <s v="Product B"/>
    <n v="3"/>
    <n v="51"/>
    <n v="12750"/>
    <n v="1785.0000000000002"/>
    <n v="52"/>
    <d v="2021-10-01T00:00:00"/>
    <n v="6.4224991984469096E-5"/>
  </r>
  <r>
    <n v="11086"/>
    <n v="2021"/>
    <s v="dezembro"/>
    <d v="2021-12-21T00:00:00"/>
    <x v="4"/>
    <x v="3"/>
    <s v="Product C"/>
    <n v="9"/>
    <n v="333"/>
    <n v="116550"/>
    <n v="26806.5"/>
    <n v="52"/>
    <d v="2021-10-01T00:00:00"/>
    <n v="5.8709198555214703E-4"/>
  </r>
  <r>
    <n v="11087"/>
    <n v="2021"/>
    <s v="dezembro"/>
    <d v="2021-12-22T00:00:00"/>
    <x v="1"/>
    <x v="0"/>
    <s v="Product C"/>
    <n v="5"/>
    <n v="182"/>
    <n v="63700"/>
    <n v="10192"/>
    <n v="52"/>
    <d v="2021-10-01T00:00:00"/>
    <n v="3.2087309720868099E-4"/>
  </r>
  <r>
    <n v="11088"/>
    <n v="2021"/>
    <s v="dezembro"/>
    <d v="2021-12-23T00:00:00"/>
    <x v="3"/>
    <x v="3"/>
    <s v="Product A"/>
    <n v="15"/>
    <n v="348"/>
    <n v="174000"/>
    <n v="53940"/>
    <n v="52"/>
    <d v="2021-10-01T00:00:00"/>
    <n v="8.7648224355275505E-4"/>
  </r>
  <r>
    <n v="11089"/>
    <n v="2021"/>
    <s v="dezembro"/>
    <d v="2021-12-24T00:00:00"/>
    <x v="2"/>
    <x v="3"/>
    <s v="Product D"/>
    <n v="5"/>
    <n v="89"/>
    <n v="75650"/>
    <n v="17399.5"/>
    <n v="52"/>
    <d v="2021-10-01T00:00:00"/>
    <n v="3.8106828577451698E-4"/>
  </r>
  <r>
    <n v="11090"/>
    <n v="2021"/>
    <s v="dezembro"/>
    <d v="2021-12-25T00:00:00"/>
    <x v="0"/>
    <x v="0"/>
    <s v="Product C"/>
    <n v="4"/>
    <n v="143"/>
    <n v="50050"/>
    <n v="19019"/>
    <n v="52"/>
    <d v="2021-10-01T00:00:00"/>
    <n v="2.5211457637824901E-4"/>
  </r>
  <r>
    <n v="11091"/>
    <n v="2021"/>
    <s v="dezembro"/>
    <d v="2021-12-26T00:00:00"/>
    <x v="1"/>
    <x v="4"/>
    <s v="Product A"/>
    <n v="1"/>
    <n v="60"/>
    <n v="30000"/>
    <n v="12900"/>
    <n v="53"/>
    <d v="2021-10-01T00:00:00"/>
    <n v="1.51117628198751E-4"/>
  </r>
  <r>
    <n v="11092"/>
    <n v="2021"/>
    <s v="dezembro"/>
    <d v="2021-12-27T00:00:00"/>
    <x v="2"/>
    <x v="1"/>
    <s v="Product B"/>
    <n v="21"/>
    <n v="416"/>
    <n v="104000"/>
    <n v="37440"/>
    <n v="53"/>
    <d v="2021-10-01T00:00:00"/>
    <n v="5.2387444442233597E-4"/>
  </r>
  <r>
    <n v="11093"/>
    <n v="2021"/>
    <s v="dezembro"/>
    <d v="2021-12-28T00:00:00"/>
    <x v="4"/>
    <x v="1"/>
    <s v="Product A"/>
    <n v="7"/>
    <n v="91"/>
    <n v="45500"/>
    <n v="9100"/>
    <n v="53"/>
    <d v="2021-10-01T00:00:00"/>
    <n v="2.29195069434772E-4"/>
  </r>
  <r>
    <n v="11094"/>
    <n v="2021"/>
    <s v="dezembro"/>
    <d v="2021-12-29T00:00:00"/>
    <x v="1"/>
    <x v="4"/>
    <s v="Product D"/>
    <n v="9"/>
    <n v="92"/>
    <n v="78200"/>
    <n v="17986"/>
    <n v="53"/>
    <d v="2021-10-01T00:00:00"/>
    <n v="3.9391328417141098E-4"/>
  </r>
  <r>
    <n v="11095"/>
    <n v="2021"/>
    <s v="dezembro"/>
    <d v="2021-12-30T00:00:00"/>
    <x v="3"/>
    <x v="0"/>
    <s v="Product C"/>
    <n v="5"/>
    <n v="249"/>
    <n v="87150"/>
    <n v="34860"/>
    <n v="53"/>
    <d v="2021-10-01T00:00:00"/>
    <n v="4.3899670991737102E-4"/>
  </r>
  <r>
    <n v="11096"/>
    <n v="2021"/>
    <s v="dezembro"/>
    <d v="2021-12-31T00:00:00"/>
    <x v="3"/>
    <x v="1"/>
    <s v="Product E"/>
    <n v="12"/>
    <n v="435"/>
    <n v="326250"/>
    <n v="114187.5"/>
    <n v="53"/>
    <d v="2021-10-01T00:00:00"/>
    <n v="1.64340420666142E-3"/>
  </r>
  <r>
    <n v="11097"/>
    <n v="2022"/>
    <s v="janeiro"/>
    <d v="2022-01-01T00:00:00"/>
    <x v="0"/>
    <x v="4"/>
    <s v="Product A"/>
    <n v="3"/>
    <n v="235"/>
    <n v="117500"/>
    <n v="28200"/>
    <n v="1"/>
    <d v="2022-01-01T00:00:00"/>
    <n v="5.9187737711177398E-4"/>
  </r>
  <r>
    <n v="11098"/>
    <n v="2022"/>
    <s v="janeiro"/>
    <d v="2022-01-02T00:00:00"/>
    <x v="2"/>
    <x v="0"/>
    <s v="Product E"/>
    <n v="12"/>
    <n v="175"/>
    <n v="131250"/>
    <n v="59062.5"/>
    <n v="2"/>
    <d v="2022-01-01T00:00:00"/>
    <n v="6.6113962336953496E-4"/>
  </r>
  <r>
    <n v="11099"/>
    <n v="2022"/>
    <s v="janeiro"/>
    <d v="2022-01-03T00:00:00"/>
    <x v="0"/>
    <x v="4"/>
    <s v="Product C"/>
    <n v="23"/>
    <n v="266"/>
    <n v="93100"/>
    <n v="29792"/>
    <n v="2"/>
    <d v="2022-01-01T00:00:00"/>
    <n v="4.6896837284345701E-4"/>
  </r>
  <r>
    <n v="11100"/>
    <n v="2022"/>
    <s v="janeiro"/>
    <d v="2022-01-04T00:00:00"/>
    <x v="4"/>
    <x v="2"/>
    <s v="Product B"/>
    <n v="32"/>
    <n v="499"/>
    <n v="124750"/>
    <n v="23702.5"/>
    <n v="2"/>
    <d v="2022-01-01T00:00:00"/>
    <n v="6.2839747059313905E-4"/>
  </r>
  <r>
    <n v="11101"/>
    <n v="2022"/>
    <s v="janeiro"/>
    <d v="2022-01-05T00:00:00"/>
    <x v="4"/>
    <x v="1"/>
    <s v="Product A"/>
    <n v="4"/>
    <n v="66"/>
    <n v="33000"/>
    <n v="8910"/>
    <n v="2"/>
    <d v="2022-01-01T00:00:00"/>
    <n v="1.66229391018626E-4"/>
  </r>
  <r>
    <n v="11102"/>
    <n v="2022"/>
    <s v="janeiro"/>
    <d v="2022-01-06T00:00:00"/>
    <x v="3"/>
    <x v="2"/>
    <s v="Product B"/>
    <n v="38"/>
    <n v="437"/>
    <n v="109250"/>
    <n v="33867.5"/>
    <n v="2"/>
    <d v="2022-01-01T00:00:00"/>
    <n v="5.5032002935711795E-4"/>
  </r>
  <r>
    <n v="11103"/>
    <n v="2022"/>
    <s v="janeiro"/>
    <d v="2022-01-07T00:00:00"/>
    <x v="3"/>
    <x v="4"/>
    <s v="Product A"/>
    <n v="31"/>
    <n v="422"/>
    <n v="211000"/>
    <n v="90730"/>
    <n v="2"/>
    <d v="2022-01-01T00:00:00"/>
    <n v="1.0628606516645499E-3"/>
  </r>
  <r>
    <n v="11104"/>
    <n v="2022"/>
    <s v="janeiro"/>
    <d v="2022-01-08T00:00:00"/>
    <x v="1"/>
    <x v="0"/>
    <s v="Product B"/>
    <n v="18"/>
    <n v="373"/>
    <n v="93250"/>
    <n v="12122.5"/>
    <n v="2"/>
    <d v="2022-01-01T00:00:00"/>
    <n v="4.6972396098445099E-4"/>
  </r>
  <r>
    <n v="11105"/>
    <n v="2022"/>
    <s v="janeiro"/>
    <d v="2022-01-09T00:00:00"/>
    <x v="3"/>
    <x v="4"/>
    <s v="Product D"/>
    <n v="39"/>
    <n v="456"/>
    <n v="387600"/>
    <n v="155040"/>
    <n v="3"/>
    <d v="2022-01-01T00:00:00"/>
    <n v="1.95243975632786E-3"/>
  </r>
  <r>
    <n v="11106"/>
    <n v="2022"/>
    <s v="janeiro"/>
    <d v="2022-01-10T00:00:00"/>
    <x v="0"/>
    <x v="4"/>
    <s v="Product A"/>
    <n v="11"/>
    <n v="125"/>
    <n v="62500"/>
    <n v="20000"/>
    <n v="3"/>
    <d v="2022-01-01T00:00:00"/>
    <n v="3.1482839208073102E-4"/>
  </r>
  <r>
    <n v="11107"/>
    <n v="2022"/>
    <s v="janeiro"/>
    <d v="2022-01-11T00:00:00"/>
    <x v="2"/>
    <x v="3"/>
    <s v="Product B"/>
    <n v="12"/>
    <n v="396"/>
    <n v="99000"/>
    <n v="30690"/>
    <n v="3"/>
    <d v="2022-01-01T00:00:00"/>
    <n v="4.9868817305587796E-4"/>
  </r>
  <r>
    <n v="11108"/>
    <n v="2022"/>
    <s v="janeiro"/>
    <d v="2022-01-12T00:00:00"/>
    <x v="2"/>
    <x v="3"/>
    <s v="Product D"/>
    <n v="46"/>
    <n v="462"/>
    <n v="392700"/>
    <n v="153153"/>
    <n v="3"/>
    <d v="2022-01-01T00:00:00"/>
    <n v="1.97812975312165E-3"/>
  </r>
  <r>
    <n v="11109"/>
    <n v="2022"/>
    <s v="janeiro"/>
    <d v="2022-01-13T00:00:00"/>
    <x v="2"/>
    <x v="3"/>
    <s v="Product A"/>
    <n v="9"/>
    <n v="99"/>
    <n v="49500"/>
    <n v="17325"/>
    <n v="3"/>
    <d v="2022-01-01T00:00:00"/>
    <n v="2.4934408652793898E-4"/>
  </r>
  <r>
    <n v="11110"/>
    <n v="2022"/>
    <s v="janeiro"/>
    <d v="2022-01-14T00:00:00"/>
    <x v="2"/>
    <x v="0"/>
    <s v="Product A"/>
    <n v="6"/>
    <n v="173"/>
    <n v="86500"/>
    <n v="19030"/>
    <n v="3"/>
    <d v="2022-01-01T00:00:00"/>
    <n v="4.3572249463973199E-4"/>
  </r>
  <r>
    <n v="11111"/>
    <n v="2022"/>
    <s v="janeiro"/>
    <d v="2022-01-15T00:00:00"/>
    <x v="0"/>
    <x v="4"/>
    <s v="Product C"/>
    <n v="10"/>
    <n v="252"/>
    <n v="88200"/>
    <n v="22932"/>
    <n v="3"/>
    <d v="2022-01-01T00:00:00"/>
    <n v="4.4428582690432799E-4"/>
  </r>
  <r>
    <n v="11112"/>
    <n v="2022"/>
    <s v="janeiro"/>
    <d v="2022-01-16T00:00:00"/>
    <x v="2"/>
    <x v="4"/>
    <s v="Product D"/>
    <n v="35"/>
    <n v="391"/>
    <n v="332350"/>
    <n v="136263.5"/>
    <n v="4"/>
    <d v="2022-01-01T00:00:00"/>
    <n v="1.6741314577285E-3"/>
  </r>
  <r>
    <n v="11113"/>
    <n v="2022"/>
    <s v="janeiro"/>
    <d v="2022-01-17T00:00:00"/>
    <x v="2"/>
    <x v="1"/>
    <s v="Product A"/>
    <n v="6"/>
    <n v="111"/>
    <n v="55500"/>
    <n v="20535"/>
    <n v="4"/>
    <d v="2022-01-01T00:00:00"/>
    <n v="2.7956761216768898E-4"/>
  </r>
  <r>
    <n v="11114"/>
    <n v="2022"/>
    <s v="janeiro"/>
    <d v="2022-01-18T00:00:00"/>
    <x v="4"/>
    <x v="1"/>
    <s v="Product E"/>
    <n v="36"/>
    <n v="466"/>
    <n v="349500"/>
    <n v="52425"/>
    <n v="4"/>
    <d v="2022-01-01T00:00:00"/>
    <n v="1.7605203685154499E-3"/>
  </r>
  <r>
    <n v="11115"/>
    <n v="2022"/>
    <s v="janeiro"/>
    <d v="2022-01-19T00:00:00"/>
    <x v="0"/>
    <x v="4"/>
    <s v="Product D"/>
    <n v="2"/>
    <n v="34"/>
    <n v="28900"/>
    <n v="5780"/>
    <n v="4"/>
    <d v="2022-01-01T00:00:00"/>
    <n v="1.4557664849813E-4"/>
  </r>
  <r>
    <n v="11116"/>
    <n v="2022"/>
    <s v="janeiro"/>
    <d v="2022-01-20T00:00:00"/>
    <x v="2"/>
    <x v="4"/>
    <s v="Product E"/>
    <n v="8"/>
    <n v="120"/>
    <n v="90000"/>
    <n v="12600.000000000002"/>
    <n v="4"/>
    <d v="2022-01-01T00:00:00"/>
    <n v="4.5335288459625298E-4"/>
  </r>
  <r>
    <n v="11117"/>
    <n v="2022"/>
    <s v="janeiro"/>
    <d v="2022-01-21T00:00:00"/>
    <x v="3"/>
    <x v="4"/>
    <s v="Product B"/>
    <n v="7"/>
    <n v="325"/>
    <n v="81250"/>
    <n v="26000"/>
    <n v="4"/>
    <d v="2022-01-01T00:00:00"/>
    <n v="4.0927690970495002E-4"/>
  </r>
  <r>
    <n v="11118"/>
    <n v="2022"/>
    <s v="janeiro"/>
    <d v="2022-01-22T00:00:00"/>
    <x v="1"/>
    <x v="2"/>
    <s v="Product D"/>
    <n v="15"/>
    <n v="348"/>
    <n v="295800"/>
    <n v="106488"/>
    <n v="4"/>
    <d v="2022-01-01T00:00:00"/>
    <n v="1.49001981403968E-3"/>
  </r>
  <r>
    <n v="11119"/>
    <n v="2022"/>
    <s v="janeiro"/>
    <d v="2022-01-23T00:00:00"/>
    <x v="3"/>
    <x v="0"/>
    <s v="Product D"/>
    <n v="22"/>
    <n v="309"/>
    <n v="262650"/>
    <n v="76168.5"/>
    <n v="5"/>
    <d v="2022-01-01T00:00:00"/>
    <n v="1.3230348348800599E-3"/>
  </r>
  <r>
    <n v="11120"/>
    <n v="2022"/>
    <s v="janeiro"/>
    <d v="2022-01-24T00:00:00"/>
    <x v="3"/>
    <x v="2"/>
    <s v="Product D"/>
    <n v="5"/>
    <n v="205"/>
    <n v="174250"/>
    <n v="67957.5"/>
    <n v="5"/>
    <d v="2022-01-01T00:00:00"/>
    <n v="8.7774155712107803E-4"/>
  </r>
  <r>
    <n v="11121"/>
    <n v="2022"/>
    <s v="janeiro"/>
    <d v="2022-01-25T00:00:00"/>
    <x v="4"/>
    <x v="0"/>
    <s v="Product E"/>
    <n v="26"/>
    <n v="335"/>
    <n v="251250"/>
    <n v="82912.5"/>
    <n v="5"/>
    <d v="2022-01-01T00:00:00"/>
    <n v="1.2656101361645401E-3"/>
  </r>
  <r>
    <n v="11122"/>
    <n v="2022"/>
    <s v="janeiro"/>
    <d v="2022-01-26T00:00:00"/>
    <x v="4"/>
    <x v="1"/>
    <s v="Product E"/>
    <n v="27"/>
    <n v="349"/>
    <n v="261750"/>
    <n v="88995"/>
    <n v="5"/>
    <d v="2022-01-01T00:00:00"/>
    <n v="1.3185013060341001E-3"/>
  </r>
  <r>
    <n v="11123"/>
    <n v="2022"/>
    <s v="janeiro"/>
    <d v="2022-01-27T00:00:00"/>
    <x v="4"/>
    <x v="2"/>
    <s v="Product A"/>
    <n v="14"/>
    <n v="222"/>
    <n v="111000"/>
    <n v="47730"/>
    <n v="5"/>
    <d v="2022-01-01T00:00:00"/>
    <n v="5.5913522433537796E-4"/>
  </r>
  <r>
    <n v="11124"/>
    <n v="2022"/>
    <s v="janeiro"/>
    <d v="2022-01-28T00:00:00"/>
    <x v="3"/>
    <x v="1"/>
    <s v="Product A"/>
    <n v="31"/>
    <n v="395"/>
    <n v="197500"/>
    <n v="21725"/>
    <n v="5"/>
    <d v="2022-01-01T00:00:00"/>
    <n v="9.9485771897510995E-4"/>
  </r>
  <r>
    <n v="11125"/>
    <n v="2022"/>
    <s v="janeiro"/>
    <d v="2022-01-29T00:00:00"/>
    <x v="1"/>
    <x v="4"/>
    <s v="Product D"/>
    <n v="12"/>
    <n v="342"/>
    <n v="290700"/>
    <n v="58140"/>
    <n v="5"/>
    <d v="2022-01-01T00:00:00"/>
    <n v="1.4643298172459E-3"/>
  </r>
  <r>
    <n v="11126"/>
    <n v="2022"/>
    <s v="janeiro"/>
    <d v="2022-01-30T00:00:00"/>
    <x v="3"/>
    <x v="4"/>
    <s v="Product E"/>
    <n v="4"/>
    <n v="203"/>
    <n v="152250"/>
    <n v="36540"/>
    <n v="6"/>
    <d v="2022-01-01T00:00:00"/>
    <n v="7.6692196310866102E-4"/>
  </r>
  <r>
    <n v="11127"/>
    <n v="2022"/>
    <s v="janeiro"/>
    <d v="2022-01-31T00:00:00"/>
    <x v="2"/>
    <x v="3"/>
    <s v="Product B"/>
    <n v="38"/>
    <n v="387"/>
    <n v="96750"/>
    <n v="22252.5"/>
    <n v="6"/>
    <d v="2022-01-01T00:00:00"/>
    <n v="4.8735435094097198E-4"/>
  </r>
  <r>
    <n v="11128"/>
    <n v="2022"/>
    <s v="fevereiro"/>
    <d v="2022-02-01T00:00:00"/>
    <x v="0"/>
    <x v="0"/>
    <s v="Product E"/>
    <n v="38"/>
    <n v="466"/>
    <n v="349500"/>
    <n v="146790"/>
    <n v="6"/>
    <d v="2022-01-01T00:00:00"/>
    <n v="1.7605203685154499E-3"/>
  </r>
  <r>
    <n v="11129"/>
    <n v="2022"/>
    <s v="fevereiro"/>
    <d v="2022-02-02T00:00:00"/>
    <x v="3"/>
    <x v="4"/>
    <s v="Product E"/>
    <n v="1"/>
    <n v="37"/>
    <n v="27750"/>
    <n v="7492.5000000000009"/>
    <n v="6"/>
    <d v="2022-01-01T00:00:00"/>
    <n v="1.39783806083845E-4"/>
  </r>
  <r>
    <n v="11130"/>
    <n v="2022"/>
    <s v="fevereiro"/>
    <d v="2022-02-03T00:00:00"/>
    <x v="3"/>
    <x v="0"/>
    <s v="Product E"/>
    <n v="17"/>
    <n v="423"/>
    <n v="317250"/>
    <n v="66622.5"/>
    <n v="6"/>
    <d v="2022-01-01T00:00:00"/>
    <n v="1.59806891820179E-3"/>
  </r>
  <r>
    <n v="11131"/>
    <n v="2022"/>
    <s v="fevereiro"/>
    <d v="2022-02-04T00:00:00"/>
    <x v="0"/>
    <x v="2"/>
    <s v="Product E"/>
    <n v="8"/>
    <n v="276"/>
    <n v="207000"/>
    <n v="26910"/>
    <n v="6"/>
    <d v="2022-01-01T00:00:00"/>
    <n v="1.04271163457138E-3"/>
  </r>
  <r>
    <n v="11132"/>
    <n v="2022"/>
    <s v="fevereiro"/>
    <d v="2022-02-05T00:00:00"/>
    <x v="3"/>
    <x v="1"/>
    <s v="Product C"/>
    <n v="25"/>
    <n v="484"/>
    <n v="169400"/>
    <n v="47432.000000000007"/>
    <n v="6"/>
    <d v="2022-01-01T00:00:00"/>
    <n v="8.53310873895614E-4"/>
  </r>
  <r>
    <n v="11133"/>
    <n v="2022"/>
    <s v="fevereiro"/>
    <d v="2022-02-06T00:00:00"/>
    <x v="3"/>
    <x v="2"/>
    <s v="Product B"/>
    <n v="6"/>
    <n v="178"/>
    <n v="44500"/>
    <n v="19135"/>
    <n v="7"/>
    <d v="2022-01-01T00:00:00"/>
    <n v="2.2415781516148099E-4"/>
  </r>
  <r>
    <n v="11134"/>
    <n v="2022"/>
    <s v="fevereiro"/>
    <d v="2022-02-07T00:00:00"/>
    <x v="4"/>
    <x v="1"/>
    <s v="Product A"/>
    <n v="10"/>
    <n v="163"/>
    <n v="81500"/>
    <n v="36675"/>
    <n v="7"/>
    <d v="2022-01-01T00:00:00"/>
    <n v="4.10536223273273E-4"/>
  </r>
  <r>
    <n v="11135"/>
    <n v="2022"/>
    <s v="fevereiro"/>
    <d v="2022-02-08T00:00:00"/>
    <x v="4"/>
    <x v="4"/>
    <s v="Product E"/>
    <n v="6"/>
    <n v="86"/>
    <n v="64500"/>
    <n v="25155"/>
    <n v="7"/>
    <d v="2022-01-01T00:00:00"/>
    <n v="3.2490290062731401E-4"/>
  </r>
  <r>
    <n v="11136"/>
    <n v="2022"/>
    <s v="fevereiro"/>
    <d v="2022-02-09T00:00:00"/>
    <x v="2"/>
    <x v="2"/>
    <s v="Product D"/>
    <n v="18"/>
    <n v="199"/>
    <n v="169150"/>
    <n v="50745"/>
    <n v="7"/>
    <d v="2022-01-01T00:00:00"/>
    <n v="8.5205156032729101E-4"/>
  </r>
  <r>
    <n v="11137"/>
    <n v="2022"/>
    <s v="fevereiro"/>
    <d v="2022-02-10T00:00:00"/>
    <x v="2"/>
    <x v="2"/>
    <s v="Product A"/>
    <n v="9"/>
    <n v="113"/>
    <n v="56500"/>
    <n v="10170"/>
    <n v="7"/>
    <d v="2022-01-01T00:00:00"/>
    <n v="2.8460486644098102E-4"/>
  </r>
  <r>
    <n v="11138"/>
    <n v="2022"/>
    <s v="fevereiro"/>
    <d v="2022-02-11T00:00:00"/>
    <x v="4"/>
    <x v="2"/>
    <s v="Product B"/>
    <n v="19"/>
    <n v="213"/>
    <n v="53250"/>
    <n v="21300"/>
    <n v="7"/>
    <d v="2022-01-01T00:00:00"/>
    <n v="2.6823379005278301E-4"/>
  </r>
  <r>
    <n v="11139"/>
    <n v="2022"/>
    <s v="fevereiro"/>
    <d v="2022-02-12T00:00:00"/>
    <x v="3"/>
    <x v="2"/>
    <s v="Product D"/>
    <n v="10"/>
    <n v="195"/>
    <n v="165750"/>
    <n v="64642.5"/>
    <n v="7"/>
    <d v="2022-01-01T00:00:00"/>
    <n v="8.3492489579809902E-4"/>
  </r>
  <r>
    <n v="11140"/>
    <n v="2022"/>
    <s v="fevereiro"/>
    <d v="2022-02-13T00:00:00"/>
    <x v="2"/>
    <x v="1"/>
    <s v="Product A"/>
    <n v="7"/>
    <n v="141"/>
    <n v="70500"/>
    <n v="9870.0000000000018"/>
    <n v="8"/>
    <d v="2022-01-01T00:00:00"/>
    <n v="3.5512642626706498E-4"/>
  </r>
  <r>
    <n v="11141"/>
    <n v="2022"/>
    <s v="fevereiro"/>
    <d v="2022-02-14T00:00:00"/>
    <x v="0"/>
    <x v="3"/>
    <s v="Product B"/>
    <n v="49"/>
    <n v="493"/>
    <n v="123250"/>
    <n v="29580"/>
    <n v="8"/>
    <d v="2022-01-01T00:00:00"/>
    <n v="6.2084158918320202E-4"/>
  </r>
  <r>
    <n v="11142"/>
    <n v="2022"/>
    <s v="fevereiro"/>
    <d v="2022-02-15T00:00:00"/>
    <x v="2"/>
    <x v="1"/>
    <s v="Product A"/>
    <n v="19"/>
    <n v="194"/>
    <n v="97000"/>
    <n v="17460"/>
    <n v="8"/>
    <d v="2022-01-01T00:00:00"/>
    <n v="4.8861366450929497E-4"/>
  </r>
  <r>
    <n v="11143"/>
    <n v="2022"/>
    <s v="fevereiro"/>
    <d v="2022-02-16T00:00:00"/>
    <x v="3"/>
    <x v="1"/>
    <s v="Product A"/>
    <n v="18"/>
    <n v="432"/>
    <n v="216000"/>
    <n v="97200"/>
    <n v="8"/>
    <d v="2022-01-01T00:00:00"/>
    <n v="1.08804692303101E-3"/>
  </r>
  <r>
    <n v="11144"/>
    <n v="2022"/>
    <s v="fevereiro"/>
    <d v="2022-02-17T00:00:00"/>
    <x v="4"/>
    <x v="4"/>
    <s v="Product A"/>
    <n v="16"/>
    <n v="215"/>
    <n v="107500"/>
    <n v="36550"/>
    <n v="8"/>
    <d v="2022-01-01T00:00:00"/>
    <n v="5.4150483437885697E-4"/>
  </r>
  <r>
    <n v="11145"/>
    <n v="2022"/>
    <s v="fevereiro"/>
    <d v="2022-02-18T00:00:00"/>
    <x v="3"/>
    <x v="0"/>
    <s v="Product B"/>
    <n v="21"/>
    <n v="301"/>
    <n v="75250"/>
    <n v="27842.5"/>
    <n v="8"/>
    <d v="2022-01-01T00:00:00"/>
    <n v="3.7905338406520002E-4"/>
  </r>
  <r>
    <n v="11146"/>
    <n v="2022"/>
    <s v="fevereiro"/>
    <d v="2022-02-19T00:00:00"/>
    <x v="1"/>
    <x v="3"/>
    <s v="Product D"/>
    <n v="13"/>
    <n v="132"/>
    <n v="112200"/>
    <n v="19074"/>
    <n v="8"/>
    <d v="2022-01-01T00:00:00"/>
    <n v="5.6517992946332799E-4"/>
  </r>
  <r>
    <n v="11147"/>
    <n v="2022"/>
    <s v="fevereiro"/>
    <d v="2022-02-20T00:00:00"/>
    <x v="4"/>
    <x v="4"/>
    <s v="Product A"/>
    <n v="2"/>
    <n v="26"/>
    <n v="13000"/>
    <n v="1430"/>
    <n v="9"/>
    <d v="2022-01-01T00:00:00"/>
    <n v="6.5484305552792105E-5"/>
  </r>
  <r>
    <n v="11148"/>
    <n v="2022"/>
    <s v="fevereiro"/>
    <d v="2022-02-21T00:00:00"/>
    <x v="0"/>
    <x v="2"/>
    <s v="Product C"/>
    <n v="1"/>
    <n v="89"/>
    <n v="31150"/>
    <n v="11525.5"/>
    <n v="9"/>
    <d v="2022-01-01T00:00:00"/>
    <n v="1.56910470613036E-4"/>
  </r>
  <r>
    <n v="11149"/>
    <n v="2022"/>
    <s v="fevereiro"/>
    <d v="2022-02-22T00:00:00"/>
    <x v="2"/>
    <x v="1"/>
    <s v="Product C"/>
    <n v="36"/>
    <n v="433"/>
    <n v="151550"/>
    <n v="16670.5"/>
    <n v="9"/>
    <d v="2022-01-01T00:00:00"/>
    <n v="7.6339588511735695E-4"/>
  </r>
  <r>
    <n v="11150"/>
    <n v="2022"/>
    <s v="fevereiro"/>
    <d v="2022-02-23T00:00:00"/>
    <x v="0"/>
    <x v="1"/>
    <s v="Product E"/>
    <n v="5"/>
    <n v="85"/>
    <n v="63750"/>
    <n v="7012.5"/>
    <n v="9"/>
    <d v="2022-01-01T00:00:00"/>
    <n v="3.2112495992234598E-4"/>
  </r>
  <r>
    <n v="11151"/>
    <n v="2022"/>
    <s v="fevereiro"/>
    <d v="2022-02-24T00:00:00"/>
    <x v="2"/>
    <x v="4"/>
    <s v="Product A"/>
    <n v="11"/>
    <n v="227"/>
    <n v="113500"/>
    <n v="22700"/>
    <n v="9"/>
    <d v="2022-01-01T00:00:00"/>
    <n v="5.71728360018608E-4"/>
  </r>
  <r>
    <n v="11152"/>
    <n v="2022"/>
    <s v="fevereiro"/>
    <d v="2022-02-25T00:00:00"/>
    <x v="2"/>
    <x v="1"/>
    <s v="Product A"/>
    <n v="16"/>
    <n v="267"/>
    <n v="133500"/>
    <n v="20025"/>
    <n v="9"/>
    <d v="2022-01-01T00:00:00"/>
    <n v="6.7247344548444202E-4"/>
  </r>
  <r>
    <n v="11153"/>
    <n v="2022"/>
    <s v="fevereiro"/>
    <d v="2022-02-26T00:00:00"/>
    <x v="4"/>
    <x v="4"/>
    <s v="Product D"/>
    <n v="3"/>
    <n v="30"/>
    <n v="25500"/>
    <n v="3825"/>
    <n v="9"/>
    <d v="2022-01-01T00:00:00"/>
    <n v="1.28449983968938E-4"/>
  </r>
  <r>
    <n v="11154"/>
    <n v="2022"/>
    <s v="fevereiro"/>
    <d v="2022-02-27T00:00:00"/>
    <x v="1"/>
    <x v="3"/>
    <s v="Product C"/>
    <n v="12"/>
    <n v="334"/>
    <n v="116900"/>
    <n v="24549"/>
    <n v="10"/>
    <d v="2022-01-01T00:00:00"/>
    <n v="5.8885502454779901E-4"/>
  </r>
  <r>
    <n v="11155"/>
    <n v="2022"/>
    <s v="fevereiro"/>
    <d v="2022-02-28T00:00:00"/>
    <x v="2"/>
    <x v="3"/>
    <s v="Product A"/>
    <n v="34"/>
    <n v="472"/>
    <n v="236000"/>
    <n v="47200"/>
    <n v="10"/>
    <d v="2022-01-01T00:00:00"/>
    <n v="1.1887920084968401E-3"/>
  </r>
  <r>
    <n v="11156"/>
    <n v="2022"/>
    <s v="março"/>
    <d v="2022-03-01T00:00:00"/>
    <x v="2"/>
    <x v="2"/>
    <s v="Product A"/>
    <n v="28"/>
    <n v="350"/>
    <n v="175000"/>
    <n v="73500"/>
    <n v="10"/>
    <d v="2022-01-01T00:00:00"/>
    <n v="8.8151949782604697E-4"/>
  </r>
  <r>
    <n v="11157"/>
    <n v="2022"/>
    <s v="março"/>
    <d v="2022-03-02T00:00:00"/>
    <x v="0"/>
    <x v="3"/>
    <s v="Product E"/>
    <n v="32"/>
    <n v="483"/>
    <n v="362250"/>
    <n v="152145"/>
    <n v="10"/>
    <d v="2022-01-01T00:00:00"/>
    <n v="1.8247453604999201E-3"/>
  </r>
  <r>
    <n v="11158"/>
    <n v="2022"/>
    <s v="março"/>
    <d v="2022-03-03T00:00:00"/>
    <x v="2"/>
    <x v="3"/>
    <s v="Product E"/>
    <n v="23"/>
    <n v="398"/>
    <n v="298500"/>
    <n v="56715"/>
    <n v="10"/>
    <d v="2022-01-01T00:00:00"/>
    <n v="1.50362040057757E-3"/>
  </r>
  <r>
    <n v="11159"/>
    <n v="2022"/>
    <s v="março"/>
    <d v="2022-03-04T00:00:00"/>
    <x v="0"/>
    <x v="2"/>
    <s v="Product C"/>
    <n v="28"/>
    <n v="495"/>
    <n v="173250"/>
    <n v="57172.5"/>
    <n v="10"/>
    <d v="2022-01-01T00:00:00"/>
    <n v="8.7270430284778599E-4"/>
  </r>
  <r>
    <n v="11160"/>
    <n v="2022"/>
    <s v="março"/>
    <d v="2022-03-05T00:00:00"/>
    <x v="0"/>
    <x v="2"/>
    <s v="Product C"/>
    <n v="7"/>
    <n v="100"/>
    <n v="35000"/>
    <n v="4900.0000000000009"/>
    <n v="10"/>
    <d v="2022-01-01T00:00:00"/>
    <n v="1.7630389956520899E-4"/>
  </r>
  <r>
    <n v="11161"/>
    <n v="2022"/>
    <s v="março"/>
    <d v="2022-03-06T00:00:00"/>
    <x v="3"/>
    <x v="2"/>
    <s v="Product E"/>
    <n v="24"/>
    <n v="404"/>
    <n v="303000"/>
    <n v="39390"/>
    <n v="11"/>
    <d v="2022-01-01T00:00:00"/>
    <n v="1.52628804480738E-3"/>
  </r>
  <r>
    <n v="11162"/>
    <n v="2022"/>
    <s v="março"/>
    <d v="2022-03-07T00:00:00"/>
    <x v="2"/>
    <x v="4"/>
    <s v="Product A"/>
    <n v="13"/>
    <n v="423"/>
    <n v="211500"/>
    <n v="71910"/>
    <n v="11"/>
    <d v="2022-01-01T00:00:00"/>
    <n v="1.06537927880119E-3"/>
  </r>
  <r>
    <n v="11163"/>
    <n v="2022"/>
    <s v="março"/>
    <d v="2022-03-08T00:00:00"/>
    <x v="4"/>
    <x v="2"/>
    <s v="Product A"/>
    <n v="3"/>
    <n v="165"/>
    <n v="82500"/>
    <n v="9900"/>
    <n v="11"/>
    <d v="2022-01-01T00:00:00"/>
    <n v="4.1557347754656498E-4"/>
  </r>
  <r>
    <n v="11164"/>
    <n v="2022"/>
    <s v="março"/>
    <d v="2022-03-09T00:00:00"/>
    <x v="2"/>
    <x v="0"/>
    <s v="Product B"/>
    <n v="20"/>
    <n v="409"/>
    <n v="102250"/>
    <n v="17382.5"/>
    <n v="11"/>
    <d v="2022-01-01T00:00:00"/>
    <n v="5.1505924944407597E-4"/>
  </r>
  <r>
    <n v="11165"/>
    <n v="2022"/>
    <s v="março"/>
    <d v="2022-03-10T00:00:00"/>
    <x v="3"/>
    <x v="1"/>
    <s v="Product C"/>
    <n v="3"/>
    <n v="249"/>
    <n v="87150"/>
    <n v="18301.5"/>
    <n v="11"/>
    <d v="2022-01-01T00:00:00"/>
    <n v="4.3899670991737102E-4"/>
  </r>
  <r>
    <n v="11166"/>
    <n v="2022"/>
    <s v="março"/>
    <d v="2022-03-11T00:00:00"/>
    <x v="4"/>
    <x v="0"/>
    <s v="Product E"/>
    <n v="27"/>
    <n v="405"/>
    <n v="303750"/>
    <n v="36450"/>
    <n v="11"/>
    <d v="2022-01-01T00:00:00"/>
    <n v="1.5300659855123501E-3"/>
  </r>
  <r>
    <n v="11167"/>
    <n v="2022"/>
    <s v="março"/>
    <d v="2022-03-12T00:00:00"/>
    <x v="3"/>
    <x v="1"/>
    <s v="Product C"/>
    <n v="4"/>
    <n v="231"/>
    <n v="80850"/>
    <n v="13744.500000000002"/>
    <n v="11"/>
    <d v="2022-01-01T00:00:00"/>
    <n v="4.0726200799563403E-4"/>
  </r>
  <r>
    <n v="11168"/>
    <n v="2022"/>
    <s v="março"/>
    <d v="2022-03-13T00:00:00"/>
    <x v="4"/>
    <x v="3"/>
    <s v="Product B"/>
    <n v="11"/>
    <n v="156"/>
    <n v="39000"/>
    <n v="15210"/>
    <n v="12"/>
    <d v="2022-01-01T00:00:00"/>
    <n v="1.96452916658376E-4"/>
  </r>
  <r>
    <n v="11169"/>
    <n v="2022"/>
    <s v="março"/>
    <d v="2022-03-14T00:00:00"/>
    <x v="1"/>
    <x v="2"/>
    <s v="Product D"/>
    <n v="19"/>
    <n v="207"/>
    <n v="175950"/>
    <n v="66861"/>
    <n v="12"/>
    <d v="2022-01-01T00:00:00"/>
    <n v="8.8630488938567403E-4"/>
  </r>
  <r>
    <n v="11170"/>
    <n v="2022"/>
    <s v="março"/>
    <d v="2022-03-15T00:00:00"/>
    <x v="2"/>
    <x v="0"/>
    <s v="Product D"/>
    <n v="20"/>
    <n v="458"/>
    <n v="389300"/>
    <n v="140148"/>
    <n v="12"/>
    <d v="2022-01-01T00:00:00"/>
    <n v="1.96100308859246E-3"/>
  </r>
  <r>
    <n v="11171"/>
    <n v="2022"/>
    <s v="março"/>
    <d v="2022-03-16T00:00:00"/>
    <x v="2"/>
    <x v="4"/>
    <s v="Product E"/>
    <n v="7"/>
    <n v="426"/>
    <n v="319500"/>
    <n v="67095"/>
    <n v="12"/>
    <d v="2022-01-01T00:00:00"/>
    <n v="1.6094027403167001E-3"/>
  </r>
  <r>
    <n v="11172"/>
    <n v="2022"/>
    <s v="março"/>
    <d v="2022-03-17T00:00:00"/>
    <x v="3"/>
    <x v="2"/>
    <s v="Product D"/>
    <n v="46"/>
    <n v="472"/>
    <n v="401200"/>
    <n v="152456"/>
    <n v="12"/>
    <d v="2022-01-01T00:00:00"/>
    <n v="2.0209464144446301E-3"/>
  </r>
  <r>
    <n v="11173"/>
    <n v="2022"/>
    <s v="março"/>
    <d v="2022-03-18T00:00:00"/>
    <x v="0"/>
    <x v="0"/>
    <s v="Product C"/>
    <n v="1"/>
    <n v="36"/>
    <n v="12600"/>
    <n v="2646"/>
    <n v="12"/>
    <d v="2022-01-01T00:00:00"/>
    <n v="6.3469403843475396E-5"/>
  </r>
  <r>
    <n v="11174"/>
    <n v="2022"/>
    <s v="março"/>
    <d v="2022-03-19T00:00:00"/>
    <x v="4"/>
    <x v="1"/>
    <s v="Product E"/>
    <n v="1"/>
    <n v="34"/>
    <n v="25500"/>
    <n v="9945"/>
    <n v="12"/>
    <d v="2022-01-01T00:00:00"/>
    <n v="1.28449983968938E-4"/>
  </r>
  <r>
    <n v="11175"/>
    <n v="2022"/>
    <s v="março"/>
    <d v="2022-03-20T00:00:00"/>
    <x v="2"/>
    <x v="2"/>
    <s v="Product C"/>
    <n v="23"/>
    <n v="284"/>
    <n v="99400"/>
    <n v="42742"/>
    <n v="13"/>
    <d v="2022-01-01T00:00:00"/>
    <n v="5.0070307476519503E-4"/>
  </r>
  <r>
    <n v="11176"/>
    <n v="2022"/>
    <s v="março"/>
    <d v="2022-03-21T00:00:00"/>
    <x v="4"/>
    <x v="0"/>
    <s v="Product C"/>
    <n v="3"/>
    <n v="47"/>
    <n v="16450"/>
    <n v="2961"/>
    <n v="13"/>
    <d v="2022-01-01T00:00:00"/>
    <n v="8.2862832795648395E-5"/>
  </r>
  <r>
    <n v="11177"/>
    <n v="2022"/>
    <s v="março"/>
    <d v="2022-03-22T00:00:00"/>
    <x v="2"/>
    <x v="0"/>
    <s v="Product C"/>
    <n v="7"/>
    <n v="341"/>
    <n v="119350"/>
    <n v="17902.5"/>
    <n v="13"/>
    <d v="2022-01-01T00:00:00"/>
    <n v="6.0119629751736396E-4"/>
  </r>
  <r>
    <n v="11178"/>
    <n v="2022"/>
    <s v="março"/>
    <d v="2022-03-23T00:00:00"/>
    <x v="1"/>
    <x v="4"/>
    <s v="Product C"/>
    <n v="44"/>
    <n v="457"/>
    <n v="159950"/>
    <n v="19194"/>
    <n v="13"/>
    <d v="2022-01-01T00:00:00"/>
    <n v="8.0570882101300696E-4"/>
  </r>
  <r>
    <n v="11179"/>
    <n v="2022"/>
    <s v="março"/>
    <d v="2022-03-24T00:00:00"/>
    <x v="1"/>
    <x v="2"/>
    <s v="Product E"/>
    <n v="6"/>
    <n v="80"/>
    <n v="60000"/>
    <n v="26400"/>
    <n v="13"/>
    <d v="2022-01-01T00:00:00"/>
    <n v="3.0223525639750201E-4"/>
  </r>
  <r>
    <n v="11180"/>
    <n v="2022"/>
    <s v="março"/>
    <d v="2022-03-25T00:00:00"/>
    <x v="0"/>
    <x v="1"/>
    <s v="Product B"/>
    <n v="17"/>
    <n v="329"/>
    <n v="82250"/>
    <n v="30432.5"/>
    <n v="13"/>
    <d v="2022-01-01T00:00:00"/>
    <n v="4.14314163978242E-4"/>
  </r>
  <r>
    <n v="11181"/>
    <n v="2022"/>
    <s v="março"/>
    <d v="2022-03-26T00:00:00"/>
    <x v="4"/>
    <x v="2"/>
    <s v="Product C"/>
    <n v="7"/>
    <n v="109"/>
    <n v="38150"/>
    <n v="11063.5"/>
    <n v="13"/>
    <d v="2022-01-01T00:00:00"/>
    <n v="1.9217125052607801E-4"/>
  </r>
  <r>
    <n v="11182"/>
    <n v="2022"/>
    <s v="março"/>
    <d v="2022-03-27T00:00:00"/>
    <x v="2"/>
    <x v="4"/>
    <s v="Product C"/>
    <n v="15"/>
    <n v="189"/>
    <n v="66150"/>
    <n v="6615"/>
    <n v="14"/>
    <d v="2022-01-01T00:00:00"/>
    <n v="3.3321437017824599E-4"/>
  </r>
  <r>
    <n v="11183"/>
    <n v="2022"/>
    <s v="março"/>
    <d v="2022-03-28T00:00:00"/>
    <x v="1"/>
    <x v="0"/>
    <s v="Product E"/>
    <n v="1"/>
    <n v="38"/>
    <n v="28500"/>
    <n v="5700"/>
    <n v="14"/>
    <d v="2022-01-01T00:00:00"/>
    <n v="1.43561746788813E-4"/>
  </r>
  <r>
    <n v="11184"/>
    <n v="2022"/>
    <s v="março"/>
    <d v="2022-03-29T00:00:00"/>
    <x v="2"/>
    <x v="0"/>
    <s v="Product B"/>
    <n v="4"/>
    <n v="100"/>
    <n v="25000"/>
    <n v="8000"/>
    <n v="14"/>
    <d v="2022-01-01T00:00:00"/>
    <n v="1.2593135683229201E-4"/>
  </r>
  <r>
    <n v="11185"/>
    <n v="2022"/>
    <s v="março"/>
    <d v="2022-03-30T00:00:00"/>
    <x v="1"/>
    <x v="0"/>
    <s v="Product C"/>
    <n v="9"/>
    <n v="200"/>
    <n v="70000"/>
    <n v="28000"/>
    <n v="14"/>
    <d v="2022-01-01T00:00:00"/>
    <n v="3.5260779913041902E-4"/>
  </r>
  <r>
    <n v="11186"/>
    <n v="2022"/>
    <s v="março"/>
    <d v="2022-03-31T00:00:00"/>
    <x v="0"/>
    <x v="4"/>
    <s v="Product C"/>
    <n v="29"/>
    <n v="499"/>
    <n v="174650"/>
    <n v="69860"/>
    <n v="14"/>
    <d v="2022-01-01T00:00:00"/>
    <n v="8.7975645883039499E-4"/>
  </r>
  <r>
    <n v="11187"/>
    <n v="2022"/>
    <s v="abril"/>
    <d v="2022-04-01T00:00:00"/>
    <x v="3"/>
    <x v="0"/>
    <s v="Product D"/>
    <n v="2"/>
    <n v="128"/>
    <n v="108800"/>
    <n v="27200"/>
    <n v="14"/>
    <d v="2022-04-01T00:00:00"/>
    <n v="5.4805326493413697E-4"/>
  </r>
  <r>
    <n v="11188"/>
    <n v="2022"/>
    <s v="abril"/>
    <d v="2022-04-02T00:00:00"/>
    <x v="3"/>
    <x v="1"/>
    <s v="Product E"/>
    <n v="15"/>
    <n v="216"/>
    <n v="162000"/>
    <n v="24300"/>
    <n v="14"/>
    <d v="2022-04-01T00:00:00"/>
    <n v="8.1603519227325505E-4"/>
  </r>
  <r>
    <n v="11189"/>
    <n v="2022"/>
    <s v="abril"/>
    <d v="2022-04-03T00:00:00"/>
    <x v="2"/>
    <x v="2"/>
    <s v="Product C"/>
    <n v="15"/>
    <n v="382"/>
    <n v="133700"/>
    <n v="37436"/>
    <n v="15"/>
    <d v="2022-04-01T00:00:00"/>
    <n v="6.7348089633910001E-4"/>
  </r>
  <r>
    <n v="11190"/>
    <n v="2022"/>
    <s v="abril"/>
    <d v="2022-04-04T00:00:00"/>
    <x v="0"/>
    <x v="1"/>
    <s v="Product B"/>
    <n v="5"/>
    <n v="95"/>
    <n v="23750"/>
    <n v="7837.5"/>
    <n v="15"/>
    <d v="2022-04-01T00:00:00"/>
    <n v="1.1963478899067799E-4"/>
  </r>
  <r>
    <n v="11191"/>
    <n v="2022"/>
    <s v="abril"/>
    <d v="2022-04-05T00:00:00"/>
    <x v="4"/>
    <x v="4"/>
    <s v="Product B"/>
    <n v="3"/>
    <n v="36"/>
    <n v="9000"/>
    <n v="2790"/>
    <n v="15"/>
    <d v="2022-04-01T00:00:00"/>
    <n v="4.5335288459625298E-5"/>
  </r>
  <r>
    <n v="11192"/>
    <n v="2022"/>
    <s v="abril"/>
    <d v="2022-04-06T00:00:00"/>
    <x v="1"/>
    <x v="1"/>
    <s v="Product B"/>
    <n v="16"/>
    <n v="277"/>
    <n v="69250"/>
    <n v="20082.5"/>
    <n v="15"/>
    <d v="2022-04-01T00:00:00"/>
    <n v="3.4882985842545002E-4"/>
  </r>
  <r>
    <n v="11193"/>
    <n v="2022"/>
    <s v="abril"/>
    <d v="2022-04-07T00:00:00"/>
    <x v="2"/>
    <x v="0"/>
    <s v="Product D"/>
    <n v="4"/>
    <n v="207"/>
    <n v="175950"/>
    <n v="38709"/>
    <n v="15"/>
    <d v="2022-04-01T00:00:00"/>
    <n v="8.8630488938567403E-4"/>
  </r>
  <r>
    <n v="11194"/>
    <n v="2022"/>
    <s v="abril"/>
    <d v="2022-04-08T00:00:00"/>
    <x v="4"/>
    <x v="0"/>
    <s v="Product D"/>
    <n v="33"/>
    <n v="447"/>
    <n v="379950"/>
    <n v="72190.5"/>
    <n v="15"/>
    <d v="2022-04-01T00:00:00"/>
    <n v="1.9139047611371801E-3"/>
  </r>
  <r>
    <n v="11195"/>
    <n v="2022"/>
    <s v="abril"/>
    <d v="2022-04-09T00:00:00"/>
    <x v="4"/>
    <x v="4"/>
    <s v="Product E"/>
    <n v="30"/>
    <n v="468"/>
    <n v="351000"/>
    <n v="56160"/>
    <n v="15"/>
    <d v="2022-04-01T00:00:00"/>
    <n v="1.76807624992539E-3"/>
  </r>
  <r>
    <n v="11196"/>
    <n v="2022"/>
    <s v="abril"/>
    <d v="2022-04-10T00:00:00"/>
    <x v="0"/>
    <x v="2"/>
    <s v="Product D"/>
    <n v="11"/>
    <n v="116"/>
    <n v="98600"/>
    <n v="28593.999999999996"/>
    <n v="16"/>
    <d v="2022-04-01T00:00:00"/>
    <n v="4.9667327134656099E-4"/>
  </r>
  <r>
    <n v="11197"/>
    <n v="2022"/>
    <s v="abril"/>
    <d v="2022-04-11T00:00:00"/>
    <x v="0"/>
    <x v="2"/>
    <s v="Product A"/>
    <n v="17"/>
    <n v="185"/>
    <n v="92500"/>
    <n v="22200"/>
    <n v="16"/>
    <d v="2022-04-01T00:00:00"/>
    <n v="4.6594602027948199E-4"/>
  </r>
  <r>
    <n v="11198"/>
    <n v="2022"/>
    <s v="abril"/>
    <d v="2022-04-12T00:00:00"/>
    <x v="1"/>
    <x v="1"/>
    <s v="Product D"/>
    <n v="34"/>
    <n v="379"/>
    <n v="322150"/>
    <n v="90202.000000000015"/>
    <n v="16"/>
    <d v="2022-04-01T00:00:00"/>
    <n v="1.6227514641409199E-3"/>
  </r>
  <r>
    <n v="11199"/>
    <n v="2022"/>
    <s v="abril"/>
    <d v="2022-04-13T00:00:00"/>
    <x v="4"/>
    <x v="0"/>
    <s v="Product A"/>
    <n v="43"/>
    <n v="453"/>
    <n v="226500"/>
    <n v="70215"/>
    <n v="16"/>
    <d v="2022-04-01T00:00:00"/>
    <n v="1.14093809290057E-3"/>
  </r>
  <r>
    <n v="11200"/>
    <n v="2022"/>
    <s v="abril"/>
    <d v="2022-04-14T00:00:00"/>
    <x v="4"/>
    <x v="3"/>
    <s v="Product D"/>
    <n v="12"/>
    <n v="286"/>
    <n v="243100"/>
    <n v="63206"/>
    <n v="16"/>
    <d v="2022-04-01T00:00:00"/>
    <n v="1.2245565138372101E-3"/>
  </r>
  <r>
    <n v="11201"/>
    <n v="2022"/>
    <s v="abril"/>
    <d v="2022-04-15T00:00:00"/>
    <x v="1"/>
    <x v="0"/>
    <s v="Product A"/>
    <n v="17"/>
    <n v="198"/>
    <n v="99000"/>
    <n v="31680"/>
    <n v="16"/>
    <d v="2022-04-01T00:00:00"/>
    <n v="4.9868817305587796E-4"/>
  </r>
  <r>
    <n v="11202"/>
    <n v="2022"/>
    <s v="abril"/>
    <d v="2022-04-16T00:00:00"/>
    <x v="1"/>
    <x v="2"/>
    <s v="Product A"/>
    <n v="2"/>
    <n v="27"/>
    <n v="13500"/>
    <n v="2160"/>
    <n v="16"/>
    <d v="2022-04-01T00:00:00"/>
    <n v="6.8002932689437893E-5"/>
  </r>
  <r>
    <n v="11203"/>
    <n v="2022"/>
    <s v="abril"/>
    <d v="2022-04-17T00:00:00"/>
    <x v="1"/>
    <x v="3"/>
    <s v="Product D"/>
    <n v="40"/>
    <n v="464"/>
    <n v="394400"/>
    <n v="63104"/>
    <n v="17"/>
    <d v="2022-04-01T00:00:00"/>
    <n v="1.98669308538625E-3"/>
  </r>
  <r>
    <n v="11204"/>
    <n v="2022"/>
    <s v="abril"/>
    <d v="2022-04-18T00:00:00"/>
    <x v="2"/>
    <x v="1"/>
    <s v="Product C"/>
    <n v="12"/>
    <n v="142"/>
    <n v="49700"/>
    <n v="7455"/>
    <n v="17"/>
    <d v="2022-04-01T00:00:00"/>
    <n v="2.5035153738259697E-4"/>
  </r>
  <r>
    <n v="11205"/>
    <n v="2022"/>
    <s v="abril"/>
    <d v="2022-04-19T00:00:00"/>
    <x v="4"/>
    <x v="3"/>
    <s v="Product E"/>
    <n v="2"/>
    <n v="53"/>
    <n v="39750"/>
    <n v="8745"/>
    <n v="17"/>
    <d v="2022-04-01T00:00:00"/>
    <n v="2.00230857363345E-4"/>
  </r>
  <r>
    <n v="11206"/>
    <n v="2022"/>
    <s v="abril"/>
    <d v="2022-04-20T00:00:00"/>
    <x v="2"/>
    <x v="3"/>
    <s v="Product B"/>
    <n v="22"/>
    <n v="324"/>
    <n v="81000"/>
    <n v="20250"/>
    <n v="17"/>
    <d v="2022-04-01T00:00:00"/>
    <n v="4.0801759613662698E-4"/>
  </r>
  <r>
    <n v="11207"/>
    <n v="2022"/>
    <s v="abril"/>
    <d v="2022-04-21T00:00:00"/>
    <x v="4"/>
    <x v="4"/>
    <s v="Product B"/>
    <n v="25"/>
    <n v="485"/>
    <n v="121250"/>
    <n v="47287.5"/>
    <n v="17"/>
    <d v="2022-04-01T00:00:00"/>
    <n v="6.1076708063661795E-4"/>
  </r>
  <r>
    <n v="11208"/>
    <n v="2022"/>
    <s v="abril"/>
    <d v="2022-04-22T00:00:00"/>
    <x v="4"/>
    <x v="0"/>
    <s v="Product C"/>
    <n v="5"/>
    <n v="245"/>
    <n v="85750"/>
    <n v="19722.5"/>
    <n v="17"/>
    <d v="2022-04-01T00:00:00"/>
    <n v="4.3194455393476299E-4"/>
  </r>
  <r>
    <n v="11209"/>
    <n v="2022"/>
    <s v="abril"/>
    <d v="2022-04-23T00:00:00"/>
    <x v="3"/>
    <x v="4"/>
    <s v="Product B"/>
    <n v="6"/>
    <n v="185"/>
    <n v="46250"/>
    <n v="14800"/>
    <n v="17"/>
    <d v="2022-04-01T00:00:00"/>
    <n v="2.32973010139741E-4"/>
  </r>
  <r>
    <n v="11210"/>
    <n v="2022"/>
    <s v="abril"/>
    <d v="2022-04-24T00:00:00"/>
    <x v="4"/>
    <x v="1"/>
    <s v="Product B"/>
    <n v="21"/>
    <n v="399"/>
    <n v="99750"/>
    <n v="18952.5"/>
    <n v="18"/>
    <d v="2022-04-01T00:00:00"/>
    <n v="5.0246611376084701E-4"/>
  </r>
  <r>
    <n v="11211"/>
    <n v="2022"/>
    <s v="abril"/>
    <d v="2022-04-25T00:00:00"/>
    <x v="2"/>
    <x v="0"/>
    <s v="Product D"/>
    <n v="25"/>
    <n v="335"/>
    <n v="284750"/>
    <n v="96815"/>
    <n v="18"/>
    <d v="2022-04-01T00:00:00"/>
    <n v="1.4343581543198099E-3"/>
  </r>
  <r>
    <n v="11212"/>
    <n v="2022"/>
    <s v="abril"/>
    <d v="2022-04-26T00:00:00"/>
    <x v="3"/>
    <x v="4"/>
    <s v="Product B"/>
    <n v="4"/>
    <n v="71"/>
    <n v="17750"/>
    <n v="4615"/>
    <n v="18"/>
    <d v="2022-04-01T00:00:00"/>
    <n v="8.9411263350927601E-5"/>
  </r>
  <r>
    <n v="11213"/>
    <n v="2022"/>
    <s v="abril"/>
    <d v="2022-04-27T00:00:00"/>
    <x v="4"/>
    <x v="2"/>
    <s v="Product B"/>
    <n v="16"/>
    <n v="405"/>
    <n v="101250"/>
    <n v="16200"/>
    <n v="18"/>
    <d v="2022-04-01T00:00:00"/>
    <n v="5.1002199517078404E-4"/>
  </r>
  <r>
    <n v="11214"/>
    <n v="2022"/>
    <s v="abril"/>
    <d v="2022-04-28T00:00:00"/>
    <x v="0"/>
    <x v="1"/>
    <s v="Product C"/>
    <n v="39"/>
    <n v="391"/>
    <n v="136850"/>
    <n v="31475.5"/>
    <n v="18"/>
    <d v="2022-04-01T00:00:00"/>
    <n v="6.8934824729996902E-4"/>
  </r>
  <r>
    <n v="11215"/>
    <n v="2022"/>
    <s v="abril"/>
    <d v="2022-04-29T00:00:00"/>
    <x v="2"/>
    <x v="2"/>
    <s v="Product A"/>
    <n v="9"/>
    <n v="90"/>
    <n v="45000"/>
    <n v="6300.0000000000009"/>
    <n v="18"/>
    <d v="2022-04-01T00:00:00"/>
    <n v="2.26676442298126E-4"/>
  </r>
  <r>
    <n v="11216"/>
    <n v="2022"/>
    <s v="abril"/>
    <d v="2022-04-30T00:00:00"/>
    <x v="2"/>
    <x v="0"/>
    <s v="Product C"/>
    <n v="4"/>
    <n v="58"/>
    <n v="20300"/>
    <n v="2030"/>
    <n v="18"/>
    <d v="2022-04-01T00:00:00"/>
    <n v="1.02256261747821E-4"/>
  </r>
  <r>
    <n v="11217"/>
    <n v="2022"/>
    <s v="maio"/>
    <d v="2022-05-01T00:00:00"/>
    <x v="4"/>
    <x v="1"/>
    <s v="Product D"/>
    <n v="37"/>
    <n v="490"/>
    <n v="416500"/>
    <n v="45815"/>
    <n v="19"/>
    <d v="2022-04-01T00:00:00"/>
    <n v="2.0980164048259899E-3"/>
  </r>
  <r>
    <n v="11218"/>
    <n v="2022"/>
    <s v="maio"/>
    <d v="2022-05-02T00:00:00"/>
    <x v="1"/>
    <x v="3"/>
    <s v="Product D"/>
    <n v="21"/>
    <n v="445"/>
    <n v="378250"/>
    <n v="60520"/>
    <n v="19"/>
    <d v="2022-04-01T00:00:00"/>
    <n v="1.9053414288725801E-3"/>
  </r>
  <r>
    <n v="11219"/>
    <n v="2022"/>
    <s v="maio"/>
    <d v="2022-05-03T00:00:00"/>
    <x v="2"/>
    <x v="4"/>
    <s v="Product D"/>
    <n v="8"/>
    <n v="281"/>
    <n v="238850"/>
    <n v="105094"/>
    <n v="19"/>
    <d v="2022-04-01T00:00:00"/>
    <n v="1.2031481831757201E-3"/>
  </r>
  <r>
    <n v="11220"/>
    <n v="2022"/>
    <s v="maio"/>
    <d v="2022-05-04T00:00:00"/>
    <x v="2"/>
    <x v="3"/>
    <s v="Product B"/>
    <n v="32"/>
    <n v="321"/>
    <n v="80250"/>
    <n v="14445"/>
    <n v="19"/>
    <d v="2022-04-01T00:00:00"/>
    <n v="4.0423965543165901E-4"/>
  </r>
  <r>
    <n v="11221"/>
    <n v="2022"/>
    <s v="maio"/>
    <d v="2022-05-05T00:00:00"/>
    <x v="1"/>
    <x v="1"/>
    <s v="Product C"/>
    <n v="15"/>
    <n v="280"/>
    <n v="98000"/>
    <n v="18620"/>
    <n v="19"/>
    <d v="2022-04-01T00:00:00"/>
    <n v="4.9365091878258603E-4"/>
  </r>
  <r>
    <n v="11222"/>
    <n v="2022"/>
    <s v="maio"/>
    <d v="2022-05-06T00:00:00"/>
    <x v="2"/>
    <x v="0"/>
    <s v="Product E"/>
    <n v="17"/>
    <n v="217"/>
    <n v="162750"/>
    <n v="55335.000000000007"/>
    <n v="19"/>
    <d v="2022-04-01T00:00:00"/>
    <n v="8.1981313297822399E-4"/>
  </r>
  <r>
    <n v="11223"/>
    <n v="2022"/>
    <s v="maio"/>
    <d v="2022-05-07T00:00:00"/>
    <x v="2"/>
    <x v="2"/>
    <s v="Product E"/>
    <n v="3"/>
    <n v="152"/>
    <n v="114000"/>
    <n v="33060"/>
    <n v="19"/>
    <d v="2022-04-01T00:00:00"/>
    <n v="5.7424698715525298E-4"/>
  </r>
  <r>
    <n v="11224"/>
    <n v="2022"/>
    <s v="maio"/>
    <d v="2022-05-08T00:00:00"/>
    <x v="0"/>
    <x v="4"/>
    <s v="Product B"/>
    <n v="4"/>
    <n v="64"/>
    <n v="16000"/>
    <n v="2080"/>
    <n v="20"/>
    <d v="2022-04-01T00:00:00"/>
    <n v="8.05960683726672E-5"/>
  </r>
  <r>
    <n v="11225"/>
    <n v="2022"/>
    <s v="maio"/>
    <d v="2022-05-09T00:00:00"/>
    <x v="1"/>
    <x v="4"/>
    <s v="Product B"/>
    <n v="7"/>
    <n v="308"/>
    <n v="77000"/>
    <n v="30800"/>
    <n v="20"/>
    <d v="2022-04-01T00:00:00"/>
    <n v="3.87868579043461E-4"/>
  </r>
  <r>
    <n v="11226"/>
    <n v="2022"/>
    <s v="maio"/>
    <d v="2022-05-10T00:00:00"/>
    <x v="4"/>
    <x v="4"/>
    <s v="Product C"/>
    <n v="21"/>
    <n v="324"/>
    <n v="113400"/>
    <n v="31752.000000000004"/>
    <n v="20"/>
    <d v="2022-04-01T00:00:00"/>
    <n v="5.7122463459127802E-4"/>
  </r>
  <r>
    <n v="11227"/>
    <n v="2022"/>
    <s v="maio"/>
    <d v="2022-05-11T00:00:00"/>
    <x v="3"/>
    <x v="1"/>
    <s v="Product E"/>
    <n v="20"/>
    <n v="268"/>
    <n v="201000"/>
    <n v="44220"/>
    <n v="20"/>
    <d v="2022-04-01T00:00:00"/>
    <n v="1.01248810893163E-3"/>
  </r>
  <r>
    <n v="11228"/>
    <n v="2022"/>
    <s v="maio"/>
    <d v="2022-05-12T00:00:00"/>
    <x v="2"/>
    <x v="0"/>
    <s v="Product E"/>
    <n v="2"/>
    <n v="34"/>
    <n v="25500"/>
    <n v="9945"/>
    <n v="20"/>
    <d v="2022-04-01T00:00:00"/>
    <n v="1.28449983968938E-4"/>
  </r>
  <r>
    <n v="11229"/>
    <n v="2022"/>
    <s v="maio"/>
    <d v="2022-05-13T00:00:00"/>
    <x v="4"/>
    <x v="2"/>
    <s v="Product A"/>
    <n v="13"/>
    <n v="181"/>
    <n v="90500"/>
    <n v="33485"/>
    <n v="20"/>
    <d v="2022-04-01T00:00:00"/>
    <n v="4.55871511732899E-4"/>
  </r>
  <r>
    <n v="11230"/>
    <n v="2022"/>
    <s v="maio"/>
    <d v="2022-05-14T00:00:00"/>
    <x v="2"/>
    <x v="1"/>
    <s v="Product B"/>
    <n v="4"/>
    <n v="135"/>
    <n v="33750"/>
    <n v="13162.5"/>
    <n v="20"/>
    <d v="2022-04-01T00:00:00"/>
    <n v="1.70007331723595E-4"/>
  </r>
  <r>
    <n v="11231"/>
    <n v="2022"/>
    <s v="maio"/>
    <d v="2022-05-15T00:00:00"/>
    <x v="0"/>
    <x v="3"/>
    <s v="Product C"/>
    <n v="30"/>
    <n v="404"/>
    <n v="141400"/>
    <n v="15554"/>
    <n v="21"/>
    <d v="2022-04-01T00:00:00"/>
    <n v="7.1226775424344595E-4"/>
  </r>
  <r>
    <n v="11232"/>
    <n v="2022"/>
    <s v="maio"/>
    <d v="2022-05-16T00:00:00"/>
    <x v="4"/>
    <x v="4"/>
    <s v="Product B"/>
    <n v="16"/>
    <n v="267"/>
    <n v="66750"/>
    <n v="18022.5"/>
    <n v="21"/>
    <d v="2022-04-01T00:00:00"/>
    <n v="3.3623672274222101E-4"/>
  </r>
  <r>
    <n v="11233"/>
    <n v="2022"/>
    <s v="maio"/>
    <d v="2022-05-17T00:00:00"/>
    <x v="4"/>
    <x v="0"/>
    <s v="Product B"/>
    <n v="5"/>
    <n v="241"/>
    <n v="60250"/>
    <n v="17472.5"/>
    <n v="21"/>
    <d v="2022-04-01T00:00:00"/>
    <n v="3.0349456996582499E-4"/>
  </r>
  <r>
    <n v="11234"/>
    <n v="2022"/>
    <s v="maio"/>
    <d v="2022-05-18T00:00:00"/>
    <x v="1"/>
    <x v="0"/>
    <s v="Product E"/>
    <n v="27"/>
    <n v="402"/>
    <n v="301500"/>
    <n v="132660"/>
    <n v="21"/>
    <d v="2022-04-01T00:00:00"/>
    <n v="1.5187321633974499E-3"/>
  </r>
  <r>
    <n v="11235"/>
    <n v="2022"/>
    <s v="maio"/>
    <d v="2022-05-19T00:00:00"/>
    <x v="4"/>
    <x v="2"/>
    <s v="Product D"/>
    <n v="32"/>
    <n v="396"/>
    <n v="336600"/>
    <n v="144738"/>
    <n v="21"/>
    <d v="2022-04-01T00:00:00"/>
    <n v="1.69553978838999E-3"/>
  </r>
  <r>
    <n v="11236"/>
    <n v="2022"/>
    <s v="maio"/>
    <d v="2022-05-20T00:00:00"/>
    <x v="2"/>
    <x v="0"/>
    <s v="Product C"/>
    <n v="18"/>
    <n v="409"/>
    <n v="143150"/>
    <n v="47239.5"/>
    <n v="21"/>
    <d v="2022-04-01T00:00:00"/>
    <n v="7.2108294922170596E-4"/>
  </r>
  <r>
    <n v="11237"/>
    <n v="2022"/>
    <s v="maio"/>
    <d v="2022-05-21T00:00:00"/>
    <x v="0"/>
    <x v="0"/>
    <s v="Product D"/>
    <n v="2"/>
    <n v="44"/>
    <n v="37400"/>
    <n v="12716.000000000002"/>
    <n v="21"/>
    <d v="2022-04-01T00:00:00"/>
    <n v="1.88393309821109E-4"/>
  </r>
  <r>
    <n v="11238"/>
    <n v="2022"/>
    <s v="maio"/>
    <d v="2022-05-22T00:00:00"/>
    <x v="0"/>
    <x v="4"/>
    <s v="Product A"/>
    <n v="31"/>
    <n v="467"/>
    <n v="233500"/>
    <n v="86395"/>
    <n v="22"/>
    <d v="2022-04-01T00:00:00"/>
    <n v="1.1761988728136101E-3"/>
  </r>
  <r>
    <n v="11239"/>
    <n v="2022"/>
    <s v="maio"/>
    <d v="2022-05-23T00:00:00"/>
    <x v="1"/>
    <x v="1"/>
    <s v="Product B"/>
    <n v="11"/>
    <n v="321"/>
    <n v="80250"/>
    <n v="9630"/>
    <n v="22"/>
    <d v="2022-04-01T00:00:00"/>
    <n v="4.0423965543165901E-4"/>
  </r>
  <r>
    <n v="11240"/>
    <n v="2022"/>
    <s v="maio"/>
    <d v="2022-05-24T00:00:00"/>
    <x v="3"/>
    <x v="0"/>
    <s v="Product C"/>
    <n v="22"/>
    <n v="247"/>
    <n v="86450"/>
    <n v="26799.5"/>
    <n v="22"/>
    <d v="2022-04-01T00:00:00"/>
    <n v="4.3547063192606701E-4"/>
  </r>
  <r>
    <n v="11241"/>
    <n v="2022"/>
    <s v="maio"/>
    <d v="2022-05-25T00:00:00"/>
    <x v="4"/>
    <x v="3"/>
    <s v="Product C"/>
    <n v="27"/>
    <n v="489"/>
    <n v="171150"/>
    <n v="18826.5"/>
    <n v="22"/>
    <d v="2022-04-01T00:00:00"/>
    <n v="8.62126068873874E-4"/>
  </r>
  <r>
    <n v="11242"/>
    <n v="2022"/>
    <s v="maio"/>
    <d v="2022-05-26T00:00:00"/>
    <x v="4"/>
    <x v="3"/>
    <s v="Product B"/>
    <n v="12"/>
    <n v="214"/>
    <n v="53500"/>
    <n v="7490.0000000000009"/>
    <n v="22"/>
    <d v="2022-04-01T00:00:00"/>
    <n v="2.6949310362110599E-4"/>
  </r>
  <r>
    <n v="11243"/>
    <n v="2022"/>
    <s v="maio"/>
    <d v="2022-05-27T00:00:00"/>
    <x v="0"/>
    <x v="3"/>
    <s v="Product B"/>
    <n v="5"/>
    <n v="269"/>
    <n v="67250"/>
    <n v="8742.5"/>
    <n v="22"/>
    <d v="2022-04-01T00:00:00"/>
    <n v="3.3875534987886703E-4"/>
  </r>
  <r>
    <n v="11244"/>
    <n v="2022"/>
    <s v="maio"/>
    <d v="2022-05-28T00:00:00"/>
    <x v="1"/>
    <x v="1"/>
    <s v="Product B"/>
    <n v="30"/>
    <n v="491"/>
    <n v="122750"/>
    <n v="33142.5"/>
    <n v="22"/>
    <d v="2022-04-01T00:00:00"/>
    <n v="6.1832296204655595E-4"/>
  </r>
  <r>
    <n v="11245"/>
    <n v="2022"/>
    <s v="maio"/>
    <d v="2022-05-29T00:00:00"/>
    <x v="2"/>
    <x v="1"/>
    <s v="Product C"/>
    <n v="13"/>
    <n v="289"/>
    <n v="101150"/>
    <n v="15172.5"/>
    <n v="23"/>
    <d v="2022-04-01T00:00:00"/>
    <n v="5.0951826974345504E-4"/>
  </r>
  <r>
    <n v="11246"/>
    <n v="2022"/>
    <s v="maio"/>
    <d v="2022-05-30T00:00:00"/>
    <x v="3"/>
    <x v="1"/>
    <s v="Product C"/>
    <n v="2"/>
    <n v="58"/>
    <n v="20300"/>
    <n v="5887"/>
    <n v="23"/>
    <d v="2022-04-01T00:00:00"/>
    <n v="1.02256261747821E-4"/>
  </r>
  <r>
    <n v="11247"/>
    <n v="2022"/>
    <s v="maio"/>
    <d v="2022-05-31T00:00:00"/>
    <x v="2"/>
    <x v="2"/>
    <s v="Product A"/>
    <n v="10"/>
    <n v="321"/>
    <n v="160500"/>
    <n v="20865"/>
    <n v="23"/>
    <d v="2022-04-01T00:00:00"/>
    <n v="8.0847931086331704E-4"/>
  </r>
  <r>
    <n v="11248"/>
    <n v="2022"/>
    <s v="junho"/>
    <d v="2022-06-01T00:00:00"/>
    <x v="0"/>
    <x v="0"/>
    <s v="Product A"/>
    <n v="26"/>
    <n v="407"/>
    <n v="203500"/>
    <n v="36630"/>
    <n v="23"/>
    <d v="2022-04-01T00:00:00"/>
    <n v="1.02508124461486E-3"/>
  </r>
  <r>
    <n v="11249"/>
    <n v="2022"/>
    <s v="junho"/>
    <d v="2022-06-02T00:00:00"/>
    <x v="0"/>
    <x v="1"/>
    <s v="Product E"/>
    <n v="16"/>
    <n v="477"/>
    <n v="357750"/>
    <n v="114480"/>
    <n v="23"/>
    <d v="2022-04-01T00:00:00"/>
    <n v="1.8020777162700999E-3"/>
  </r>
  <r>
    <n v="11250"/>
    <n v="2022"/>
    <s v="junho"/>
    <d v="2022-06-03T00:00:00"/>
    <x v="0"/>
    <x v="2"/>
    <s v="Product C"/>
    <n v="5"/>
    <n v="252"/>
    <n v="88200"/>
    <n v="22932"/>
    <n v="23"/>
    <d v="2022-04-01T00:00:00"/>
    <n v="4.4428582690432799E-4"/>
  </r>
  <r>
    <n v="11251"/>
    <n v="2022"/>
    <s v="junho"/>
    <d v="2022-06-04T00:00:00"/>
    <x v="1"/>
    <x v="2"/>
    <s v="Product B"/>
    <n v="8"/>
    <n v="118"/>
    <n v="29500"/>
    <n v="10915"/>
    <n v="23"/>
    <d v="2022-04-01T00:00:00"/>
    <n v="1.4859900106210501E-4"/>
  </r>
  <r>
    <n v="11252"/>
    <n v="2022"/>
    <s v="junho"/>
    <d v="2022-06-05T00:00:00"/>
    <x v="3"/>
    <x v="1"/>
    <s v="Product D"/>
    <n v="13"/>
    <n v="159"/>
    <n v="135150"/>
    <n v="39193.5"/>
    <n v="24"/>
    <d v="2022-04-01T00:00:00"/>
    <n v="6.8078491503537303E-4"/>
  </r>
  <r>
    <n v="11253"/>
    <n v="2022"/>
    <s v="junho"/>
    <d v="2022-06-06T00:00:00"/>
    <x v="0"/>
    <x v="3"/>
    <s v="Product C"/>
    <n v="7"/>
    <n v="241"/>
    <n v="84350"/>
    <n v="21931"/>
    <n v="24"/>
    <d v="2022-04-01T00:00:00"/>
    <n v="4.2489239795215502E-4"/>
  </r>
  <r>
    <n v="11254"/>
    <n v="2022"/>
    <s v="junho"/>
    <d v="2022-06-07T00:00:00"/>
    <x v="0"/>
    <x v="3"/>
    <s v="Product D"/>
    <n v="34"/>
    <n v="445"/>
    <n v="378250"/>
    <n v="79432.5"/>
    <n v="24"/>
    <d v="2022-04-01T00:00:00"/>
    <n v="1.9053414288725801E-3"/>
  </r>
  <r>
    <n v="11255"/>
    <n v="2022"/>
    <s v="junho"/>
    <d v="2022-06-08T00:00:00"/>
    <x v="2"/>
    <x v="2"/>
    <s v="Product A"/>
    <n v="21"/>
    <n v="250"/>
    <n v="125000"/>
    <n v="27500"/>
    <n v="24"/>
    <d v="2022-04-01T00:00:00"/>
    <n v="6.2965678416146203E-4"/>
  </r>
  <r>
    <n v="11256"/>
    <n v="2022"/>
    <s v="junho"/>
    <d v="2022-06-09T00:00:00"/>
    <x v="2"/>
    <x v="0"/>
    <s v="Product E"/>
    <n v="14"/>
    <n v="350"/>
    <n v="262500"/>
    <n v="55125"/>
    <n v="24"/>
    <d v="2022-04-01T00:00:00"/>
    <n v="1.3222792467390699E-3"/>
  </r>
  <r>
    <n v="11257"/>
    <n v="2022"/>
    <s v="junho"/>
    <d v="2022-06-10T00:00:00"/>
    <x v="4"/>
    <x v="0"/>
    <s v="Product D"/>
    <n v="8"/>
    <n v="80"/>
    <n v="68000"/>
    <n v="27200"/>
    <n v="24"/>
    <d v="2022-04-01T00:00:00"/>
    <n v="3.42533290583835E-4"/>
  </r>
  <r>
    <n v="11258"/>
    <n v="2022"/>
    <s v="junho"/>
    <d v="2022-06-11T00:00:00"/>
    <x v="3"/>
    <x v="1"/>
    <s v="Product A"/>
    <n v="21"/>
    <n v="242"/>
    <n v="121000"/>
    <n v="24200"/>
    <n v="24"/>
    <d v="2022-04-01T00:00:00"/>
    <n v="6.0950776706829497E-4"/>
  </r>
  <r>
    <n v="11259"/>
    <n v="2022"/>
    <s v="junho"/>
    <d v="2022-06-12T00:00:00"/>
    <x v="1"/>
    <x v="2"/>
    <s v="Product E"/>
    <n v="4"/>
    <n v="48"/>
    <n v="36000"/>
    <n v="13680"/>
    <n v="25"/>
    <d v="2022-04-01T00:00:00"/>
    <n v="1.81341153838501E-4"/>
  </r>
  <r>
    <n v="11260"/>
    <n v="2022"/>
    <s v="junho"/>
    <d v="2022-06-13T00:00:00"/>
    <x v="2"/>
    <x v="2"/>
    <s v="Product C"/>
    <n v="29"/>
    <n v="309"/>
    <n v="108150"/>
    <n v="31363.499999999996"/>
    <n v="25"/>
    <d v="2022-04-01T00:00:00"/>
    <n v="5.4477904965649702E-4"/>
  </r>
  <r>
    <n v="11261"/>
    <n v="2022"/>
    <s v="junho"/>
    <d v="2022-06-14T00:00:00"/>
    <x v="3"/>
    <x v="3"/>
    <s v="Product B"/>
    <n v="10"/>
    <n v="109"/>
    <n v="27250"/>
    <n v="7357.5000000000009"/>
    <n v="25"/>
    <d v="2022-04-01T00:00:00"/>
    <n v="1.3726517894719901E-4"/>
  </r>
  <r>
    <n v="11262"/>
    <n v="2022"/>
    <s v="junho"/>
    <d v="2022-06-15T00:00:00"/>
    <x v="1"/>
    <x v="2"/>
    <s v="Product B"/>
    <n v="6"/>
    <n v="99"/>
    <n v="24750"/>
    <n v="3960"/>
    <n v="25"/>
    <d v="2022-04-01T00:00:00"/>
    <n v="1.24672043263969E-4"/>
  </r>
  <r>
    <n v="11263"/>
    <n v="2022"/>
    <s v="junho"/>
    <d v="2022-06-16T00:00:00"/>
    <x v="2"/>
    <x v="1"/>
    <s v="Product C"/>
    <n v="17"/>
    <n v="389"/>
    <n v="136150"/>
    <n v="40845"/>
    <n v="25"/>
    <d v="2022-04-01T00:00:00"/>
    <n v="6.8582216930866398E-4"/>
  </r>
  <r>
    <n v="11264"/>
    <n v="2022"/>
    <s v="junho"/>
    <d v="2022-06-17T00:00:00"/>
    <x v="3"/>
    <x v="4"/>
    <s v="Product B"/>
    <n v="37"/>
    <n v="385"/>
    <n v="96250"/>
    <n v="27912.499999999996"/>
    <n v="25"/>
    <d v="2022-04-01T00:00:00"/>
    <n v="4.8483572380432602E-4"/>
  </r>
  <r>
    <n v="11265"/>
    <n v="2022"/>
    <s v="junho"/>
    <d v="2022-06-18T00:00:00"/>
    <x v="3"/>
    <x v="0"/>
    <s v="Product C"/>
    <n v="10"/>
    <n v="227"/>
    <n v="79450"/>
    <n v="23835"/>
    <n v="25"/>
    <d v="2022-04-01T00:00:00"/>
    <n v="4.0020985201302502E-4"/>
  </r>
  <r>
    <n v="11266"/>
    <n v="2022"/>
    <s v="junho"/>
    <d v="2022-06-19T00:00:00"/>
    <x v="1"/>
    <x v="2"/>
    <s v="Product C"/>
    <n v="19"/>
    <n v="391"/>
    <n v="136850"/>
    <n v="53371.5"/>
    <n v="26"/>
    <d v="2022-04-01T00:00:00"/>
    <n v="6.8934824729996902E-4"/>
  </r>
  <r>
    <n v="11267"/>
    <n v="2022"/>
    <s v="junho"/>
    <d v="2022-06-20T00:00:00"/>
    <x v="0"/>
    <x v="3"/>
    <s v="Product A"/>
    <n v="6"/>
    <n v="157"/>
    <n v="78500"/>
    <n v="7850"/>
    <n v="26"/>
    <d v="2022-04-01T00:00:00"/>
    <n v="3.9542446045339803E-4"/>
  </r>
  <r>
    <n v="11268"/>
    <n v="2022"/>
    <s v="junho"/>
    <d v="2022-06-21T00:00:00"/>
    <x v="1"/>
    <x v="4"/>
    <s v="Product C"/>
    <n v="44"/>
    <n v="452"/>
    <n v="158200"/>
    <n v="15820"/>
    <n v="26"/>
    <d v="2022-04-01T00:00:00"/>
    <n v="7.9689362603474598E-4"/>
  </r>
  <r>
    <n v="11269"/>
    <n v="2022"/>
    <s v="junho"/>
    <d v="2022-06-22T00:00:00"/>
    <x v="4"/>
    <x v="0"/>
    <s v="Product A"/>
    <n v="16"/>
    <n v="178"/>
    <n v="89000"/>
    <n v="18690"/>
    <n v="26"/>
    <d v="2022-04-01T00:00:00"/>
    <n v="4.48315630322961E-4"/>
  </r>
  <r>
    <n v="11270"/>
    <n v="2022"/>
    <s v="junho"/>
    <d v="2022-06-23T00:00:00"/>
    <x v="1"/>
    <x v="4"/>
    <s v="Product C"/>
    <n v="18"/>
    <n v="234"/>
    <n v="81900"/>
    <n v="34398"/>
    <n v="26"/>
    <d v="2022-04-01T00:00:00"/>
    <n v="4.1255112498259002E-4"/>
  </r>
  <r>
    <n v="11271"/>
    <n v="2022"/>
    <s v="junho"/>
    <d v="2022-06-24T00:00:00"/>
    <x v="4"/>
    <x v="4"/>
    <s v="Product C"/>
    <n v="9"/>
    <n v="279"/>
    <n v="97650"/>
    <n v="21483"/>
    <n v="26"/>
    <d v="2022-04-01T00:00:00"/>
    <n v="4.9188787978693405E-4"/>
  </r>
  <r>
    <n v="11272"/>
    <n v="2022"/>
    <s v="junho"/>
    <d v="2022-06-25T00:00:00"/>
    <x v="0"/>
    <x v="4"/>
    <s v="Product E"/>
    <n v="22"/>
    <n v="222"/>
    <n v="166500"/>
    <n v="63270"/>
    <n v="26"/>
    <d v="2022-04-01T00:00:00"/>
    <n v="8.3870283650306797E-4"/>
  </r>
  <r>
    <n v="11273"/>
    <n v="2022"/>
    <s v="junho"/>
    <d v="2022-06-26T00:00:00"/>
    <x v="4"/>
    <x v="0"/>
    <s v="Product B"/>
    <n v="38"/>
    <n v="500"/>
    <n v="125000"/>
    <n v="51250"/>
    <n v="27"/>
    <d v="2022-04-01T00:00:00"/>
    <n v="6.2965678416146203E-4"/>
  </r>
  <r>
    <n v="11274"/>
    <n v="2022"/>
    <s v="junho"/>
    <d v="2022-06-27T00:00:00"/>
    <x v="3"/>
    <x v="3"/>
    <s v="Product B"/>
    <n v="7"/>
    <n v="275"/>
    <n v="68750"/>
    <n v="13062.5"/>
    <n v="27"/>
    <d v="2022-04-01T00:00:00"/>
    <n v="3.46311231288804E-4"/>
  </r>
  <r>
    <n v="11275"/>
    <n v="2022"/>
    <s v="junho"/>
    <d v="2022-06-28T00:00:00"/>
    <x v="2"/>
    <x v="4"/>
    <s v="Product B"/>
    <n v="17"/>
    <n v="193"/>
    <n v="48250"/>
    <n v="6755.0000000000009"/>
    <n v="27"/>
    <d v="2022-04-01T00:00:00"/>
    <n v="2.4304751868632401E-4"/>
  </r>
  <r>
    <n v="11276"/>
    <n v="2022"/>
    <s v="junho"/>
    <d v="2022-06-29T00:00:00"/>
    <x v="3"/>
    <x v="4"/>
    <s v="Product C"/>
    <n v="20"/>
    <n v="259"/>
    <n v="90650"/>
    <n v="40792.5"/>
    <n v="27"/>
    <d v="2022-04-01T00:00:00"/>
    <n v="4.5662709987389201E-4"/>
  </r>
  <r>
    <n v="11277"/>
    <n v="2022"/>
    <s v="junho"/>
    <d v="2022-06-30T00:00:00"/>
    <x v="0"/>
    <x v="0"/>
    <s v="Product A"/>
    <n v="6"/>
    <n v="123"/>
    <n v="61500"/>
    <n v="17835"/>
    <n v="27"/>
    <d v="2022-04-01T00:00:00"/>
    <n v="3.0979113780743898E-4"/>
  </r>
  <r>
    <n v="11278"/>
    <n v="2022"/>
    <s v="julho"/>
    <d v="2022-07-01T00:00:00"/>
    <x v="0"/>
    <x v="1"/>
    <s v="Product B"/>
    <n v="2"/>
    <n v="112"/>
    <n v="28000"/>
    <n v="10360"/>
    <n v="27"/>
    <d v="2022-07-01T00:00:00"/>
    <n v="1.4104311965216799E-4"/>
  </r>
  <r>
    <n v="11279"/>
    <n v="2022"/>
    <s v="julho"/>
    <d v="2022-07-02T00:00:00"/>
    <x v="3"/>
    <x v="4"/>
    <s v="Product D"/>
    <n v="6"/>
    <n v="356"/>
    <n v="302600"/>
    <n v="111962"/>
    <n v="27"/>
    <d v="2022-07-01T00:00:00"/>
    <n v="1.5242731430980701E-3"/>
  </r>
  <r>
    <n v="11280"/>
    <n v="2022"/>
    <s v="julho"/>
    <d v="2022-07-03T00:00:00"/>
    <x v="0"/>
    <x v="0"/>
    <s v="Product C"/>
    <n v="28"/>
    <n v="417"/>
    <n v="145950"/>
    <n v="30649.5"/>
    <n v="28"/>
    <d v="2022-07-01T00:00:00"/>
    <n v="7.3518726118692299E-4"/>
  </r>
  <r>
    <n v="11281"/>
    <n v="2022"/>
    <s v="julho"/>
    <d v="2022-07-04T00:00:00"/>
    <x v="1"/>
    <x v="0"/>
    <s v="Product C"/>
    <n v="23"/>
    <n v="234"/>
    <n v="81900"/>
    <n v="19656"/>
    <n v="28"/>
    <d v="2022-07-01T00:00:00"/>
    <n v="4.1255112498259002E-4"/>
  </r>
  <r>
    <n v="11282"/>
    <n v="2022"/>
    <s v="julho"/>
    <d v="2022-07-05T00:00:00"/>
    <x v="0"/>
    <x v="1"/>
    <s v="Product C"/>
    <n v="34"/>
    <n v="454"/>
    <n v="158900"/>
    <n v="20657"/>
    <n v="28"/>
    <d v="2022-07-01T00:00:00"/>
    <n v="8.0041970402605102E-4"/>
  </r>
  <r>
    <n v="11283"/>
    <n v="2022"/>
    <s v="julho"/>
    <d v="2022-07-06T00:00:00"/>
    <x v="2"/>
    <x v="2"/>
    <s v="Product B"/>
    <n v="10"/>
    <n v="309"/>
    <n v="77250"/>
    <n v="28582.5"/>
    <n v="28"/>
    <d v="2022-07-01T00:00:00"/>
    <n v="3.8912789261178398E-4"/>
  </r>
  <r>
    <n v="11284"/>
    <n v="2022"/>
    <s v="julho"/>
    <d v="2022-07-07T00:00:00"/>
    <x v="0"/>
    <x v="0"/>
    <s v="Product E"/>
    <n v="14"/>
    <n v="318"/>
    <n v="238500"/>
    <n v="78705"/>
    <n v="28"/>
    <d v="2022-07-01T00:00:00"/>
    <n v="1.2013851441800699E-3"/>
  </r>
  <r>
    <n v="11285"/>
    <n v="2022"/>
    <s v="julho"/>
    <d v="2022-07-08T00:00:00"/>
    <x v="3"/>
    <x v="0"/>
    <s v="Product B"/>
    <n v="7"/>
    <n v="142"/>
    <n v="35500"/>
    <n v="11360"/>
    <n v="28"/>
    <d v="2022-07-01T00:00:00"/>
    <n v="1.7882252670185501E-4"/>
  </r>
  <r>
    <n v="11286"/>
    <n v="2022"/>
    <s v="julho"/>
    <d v="2022-07-09T00:00:00"/>
    <x v="4"/>
    <x v="1"/>
    <s v="Product C"/>
    <n v="7"/>
    <n v="489"/>
    <n v="171150"/>
    <n v="17115"/>
    <n v="28"/>
    <d v="2022-07-01T00:00:00"/>
    <n v="8.62126068873874E-4"/>
  </r>
  <r>
    <n v="11287"/>
    <n v="2022"/>
    <s v="julho"/>
    <d v="2022-07-10T00:00:00"/>
    <x v="1"/>
    <x v="3"/>
    <s v="Product C"/>
    <n v="38"/>
    <n v="486"/>
    <n v="170100"/>
    <n v="56133"/>
    <n v="29"/>
    <d v="2022-07-01T00:00:00"/>
    <n v="8.5683695188691796E-4"/>
  </r>
  <r>
    <n v="11288"/>
    <n v="2022"/>
    <s v="julho"/>
    <d v="2022-07-11T00:00:00"/>
    <x v="4"/>
    <x v="1"/>
    <s v="Product A"/>
    <n v="24"/>
    <n v="369"/>
    <n v="184500"/>
    <n v="40590"/>
    <n v="29"/>
    <d v="2022-07-01T00:00:00"/>
    <n v="9.2937341342231802E-4"/>
  </r>
  <r>
    <n v="11289"/>
    <n v="2022"/>
    <s v="julho"/>
    <d v="2022-07-12T00:00:00"/>
    <x v="2"/>
    <x v="4"/>
    <s v="Product E"/>
    <n v="4"/>
    <n v="123"/>
    <n v="92250"/>
    <n v="16605"/>
    <n v="29"/>
    <d v="2022-07-01T00:00:00"/>
    <n v="4.6468670671115901E-4"/>
  </r>
  <r>
    <n v="11290"/>
    <n v="2022"/>
    <s v="julho"/>
    <d v="2022-07-13T00:00:00"/>
    <x v="1"/>
    <x v="2"/>
    <s v="Product E"/>
    <n v="14"/>
    <n v="277"/>
    <n v="207750"/>
    <n v="93487.5"/>
    <n v="29"/>
    <d v="2022-07-01T00:00:00"/>
    <n v="1.0464895752763501E-3"/>
  </r>
  <r>
    <n v="11291"/>
    <n v="2022"/>
    <s v="julho"/>
    <d v="2022-07-14T00:00:00"/>
    <x v="3"/>
    <x v="0"/>
    <s v="Product B"/>
    <n v="7"/>
    <n v="451"/>
    <n v="112750"/>
    <n v="36080"/>
    <n v="29"/>
    <d v="2022-07-01T00:00:00"/>
    <n v="5.6795041931363905E-4"/>
  </r>
  <r>
    <n v="11292"/>
    <n v="2022"/>
    <s v="julho"/>
    <d v="2022-07-15T00:00:00"/>
    <x v="4"/>
    <x v="2"/>
    <s v="Product D"/>
    <n v="4"/>
    <n v="42"/>
    <n v="35700"/>
    <n v="7854"/>
    <n v="29"/>
    <d v="2022-07-01T00:00:00"/>
    <n v="1.7982997755651401E-4"/>
  </r>
  <r>
    <n v="11293"/>
    <n v="2022"/>
    <s v="julho"/>
    <d v="2022-07-16T00:00:00"/>
    <x v="3"/>
    <x v="3"/>
    <s v="Product E"/>
    <n v="43"/>
    <n v="445"/>
    <n v="333750"/>
    <n v="120150"/>
    <n v="29"/>
    <d v="2022-07-01T00:00:00"/>
    <n v="1.6811836137111001E-3"/>
  </r>
  <r>
    <n v="11294"/>
    <n v="2022"/>
    <s v="julho"/>
    <d v="2022-07-17T00:00:00"/>
    <x v="0"/>
    <x v="4"/>
    <s v="Product B"/>
    <n v="21"/>
    <n v="352"/>
    <n v="88000"/>
    <n v="27280"/>
    <n v="30"/>
    <d v="2022-07-01T00:00:00"/>
    <n v="4.4327837604966902E-4"/>
  </r>
  <r>
    <n v="11295"/>
    <n v="2022"/>
    <s v="julho"/>
    <d v="2022-07-18T00:00:00"/>
    <x v="2"/>
    <x v="1"/>
    <s v="Product B"/>
    <n v="24"/>
    <n v="452"/>
    <n v="113000"/>
    <n v="45200"/>
    <n v="30"/>
    <d v="2022-07-01T00:00:00"/>
    <n v="5.6920973288196203E-4"/>
  </r>
  <r>
    <n v="11296"/>
    <n v="2022"/>
    <s v="julho"/>
    <d v="2022-07-19T00:00:00"/>
    <x v="1"/>
    <x v="3"/>
    <s v="Product A"/>
    <n v="5"/>
    <n v="315"/>
    <n v="157500"/>
    <n v="64574.999999999993"/>
    <n v="30"/>
    <d v="2022-07-01T00:00:00"/>
    <n v="7.9336754804344202E-4"/>
  </r>
  <r>
    <n v="11297"/>
    <n v="2022"/>
    <s v="julho"/>
    <d v="2022-07-20T00:00:00"/>
    <x v="4"/>
    <x v="3"/>
    <s v="Product C"/>
    <n v="13"/>
    <n v="429"/>
    <n v="150150"/>
    <n v="36036"/>
    <n v="30"/>
    <d v="2022-07-01T00:00:00"/>
    <n v="7.5634372913474805E-4"/>
  </r>
  <r>
    <n v="11298"/>
    <n v="2022"/>
    <s v="julho"/>
    <d v="2022-07-21T00:00:00"/>
    <x v="2"/>
    <x v="2"/>
    <s v="Product A"/>
    <n v="4"/>
    <n v="40"/>
    <n v="20000"/>
    <n v="8400"/>
    <n v="30"/>
    <d v="2022-07-01T00:00:00"/>
    <n v="1.0074508546583399E-4"/>
  </r>
  <r>
    <n v="11299"/>
    <n v="2022"/>
    <s v="julho"/>
    <d v="2022-07-22T00:00:00"/>
    <x v="3"/>
    <x v="1"/>
    <s v="Product A"/>
    <n v="2"/>
    <n v="101"/>
    <n v="50500"/>
    <n v="8585"/>
    <n v="30"/>
    <d v="2022-07-01T00:00:00"/>
    <n v="2.5438134080123102E-4"/>
  </r>
  <r>
    <n v="11300"/>
    <n v="2022"/>
    <s v="julho"/>
    <d v="2022-07-23T00:00:00"/>
    <x v="2"/>
    <x v="4"/>
    <s v="Product C"/>
    <n v="6"/>
    <n v="211"/>
    <n v="73850"/>
    <n v="7385"/>
    <n v="30"/>
    <d v="2022-07-01T00:00:00"/>
    <n v="3.7200122808259199E-4"/>
  </r>
  <r>
    <n v="11301"/>
    <n v="2022"/>
    <s v="julho"/>
    <d v="2022-07-24T00:00:00"/>
    <x v="4"/>
    <x v="4"/>
    <s v="Product C"/>
    <n v="3"/>
    <n v="217"/>
    <n v="75950"/>
    <n v="19747"/>
    <n v="31"/>
    <d v="2022-07-01T00:00:00"/>
    <n v="3.8257946205650398E-4"/>
  </r>
  <r>
    <n v="11302"/>
    <n v="2022"/>
    <s v="julho"/>
    <d v="2022-07-25T00:00:00"/>
    <x v="3"/>
    <x v="1"/>
    <s v="Product B"/>
    <n v="34"/>
    <n v="441"/>
    <n v="110250"/>
    <n v="30870.000000000004"/>
    <n v="31"/>
    <d v="2022-07-01T00:00:00"/>
    <n v="5.5535728363040999E-4"/>
  </r>
  <r>
    <n v="11303"/>
    <n v="2022"/>
    <s v="julho"/>
    <d v="2022-07-26T00:00:00"/>
    <x v="3"/>
    <x v="1"/>
    <s v="Product C"/>
    <n v="12"/>
    <n v="134"/>
    <n v="46900"/>
    <n v="8911"/>
    <n v="31"/>
    <d v="2022-07-01T00:00:00"/>
    <n v="2.36247225417381E-4"/>
  </r>
  <r>
    <n v="11304"/>
    <n v="2022"/>
    <s v="julho"/>
    <d v="2022-07-27T00:00:00"/>
    <x v="2"/>
    <x v="2"/>
    <s v="Product C"/>
    <n v="20"/>
    <n v="434"/>
    <n v="151900"/>
    <n v="51646.000000000007"/>
    <n v="31"/>
    <d v="2022-07-01T00:00:00"/>
    <n v="7.6515892411300904E-4"/>
  </r>
  <r>
    <n v="11305"/>
    <n v="2022"/>
    <s v="julho"/>
    <d v="2022-07-28T00:00:00"/>
    <x v="3"/>
    <x v="1"/>
    <s v="Product C"/>
    <n v="11"/>
    <n v="414"/>
    <n v="144900"/>
    <n v="52164"/>
    <n v="31"/>
    <d v="2022-07-01T00:00:00"/>
    <n v="7.2989814419996695E-4"/>
  </r>
  <r>
    <n v="11306"/>
    <n v="2022"/>
    <s v="julho"/>
    <d v="2022-07-29T00:00:00"/>
    <x v="1"/>
    <x v="3"/>
    <s v="Product A"/>
    <n v="6"/>
    <n v="108"/>
    <n v="54000"/>
    <n v="7560.0000000000009"/>
    <n v="31"/>
    <d v="2022-07-01T00:00:00"/>
    <n v="2.7201173075775201E-4"/>
  </r>
  <r>
    <n v="11307"/>
    <n v="2022"/>
    <s v="julho"/>
    <d v="2022-07-30T00:00:00"/>
    <x v="1"/>
    <x v="3"/>
    <s v="Product A"/>
    <n v="4"/>
    <n v="178"/>
    <n v="89000"/>
    <n v="16910"/>
    <n v="31"/>
    <d v="2022-07-01T00:00:00"/>
    <n v="4.48315630322961E-4"/>
  </r>
  <r>
    <n v="11308"/>
    <n v="2022"/>
    <s v="julho"/>
    <d v="2022-07-31T00:00:00"/>
    <x v="2"/>
    <x v="0"/>
    <s v="Product D"/>
    <n v="7"/>
    <n v="238"/>
    <n v="202300"/>
    <n v="24276"/>
    <n v="32"/>
    <d v="2022-07-01T00:00:00"/>
    <n v="1.0190365394869101E-3"/>
  </r>
  <r>
    <n v="11309"/>
    <n v="2022"/>
    <s v="agosto"/>
    <d v="2022-08-01T00:00:00"/>
    <x v="3"/>
    <x v="0"/>
    <s v="Product B"/>
    <n v="2"/>
    <n v="131"/>
    <n v="32750"/>
    <n v="5567.5"/>
    <n v="32"/>
    <d v="2022-07-01T00:00:00"/>
    <n v="1.6497007745030299E-4"/>
  </r>
  <r>
    <n v="11310"/>
    <n v="2022"/>
    <s v="agosto"/>
    <d v="2022-08-02T00:00:00"/>
    <x v="0"/>
    <x v="1"/>
    <s v="Product B"/>
    <n v="5"/>
    <n v="150"/>
    <n v="37500"/>
    <n v="6750"/>
    <n v="32"/>
    <d v="2022-07-01T00:00:00"/>
    <n v="1.8889703524843901E-4"/>
  </r>
  <r>
    <n v="11311"/>
    <n v="2022"/>
    <s v="agosto"/>
    <d v="2022-08-03T00:00:00"/>
    <x v="2"/>
    <x v="3"/>
    <s v="Product C"/>
    <n v="15"/>
    <n v="206"/>
    <n v="72100"/>
    <n v="13699"/>
    <n v="32"/>
    <d v="2022-07-01T00:00:00"/>
    <n v="3.6318603310433101E-4"/>
  </r>
  <r>
    <n v="11312"/>
    <n v="2022"/>
    <s v="agosto"/>
    <d v="2022-08-04T00:00:00"/>
    <x v="4"/>
    <x v="2"/>
    <s v="Product A"/>
    <n v="8"/>
    <n v="263"/>
    <n v="131500"/>
    <n v="51285"/>
    <n v="32"/>
    <d v="2022-07-01T00:00:00"/>
    <n v="6.6239893693785805E-4"/>
  </r>
  <r>
    <n v="11313"/>
    <n v="2022"/>
    <s v="agosto"/>
    <d v="2022-08-05T00:00:00"/>
    <x v="3"/>
    <x v="2"/>
    <s v="Product D"/>
    <n v="3"/>
    <n v="36"/>
    <n v="30600"/>
    <n v="8262"/>
    <n v="32"/>
    <d v="2022-07-01T00:00:00"/>
    <n v="1.5413998076272599E-4"/>
  </r>
  <r>
    <n v="11314"/>
    <n v="2022"/>
    <s v="agosto"/>
    <d v="2022-08-06T00:00:00"/>
    <x v="1"/>
    <x v="2"/>
    <s v="Product B"/>
    <n v="28"/>
    <n v="426"/>
    <n v="106500"/>
    <n v="46860"/>
    <n v="32"/>
    <d v="2022-07-01T00:00:00"/>
    <n v="5.3646758010556601E-4"/>
  </r>
  <r>
    <n v="11315"/>
    <n v="2022"/>
    <s v="agosto"/>
    <d v="2022-08-07T00:00:00"/>
    <x v="1"/>
    <x v="4"/>
    <s v="Product B"/>
    <n v="3"/>
    <n v="162"/>
    <n v="40500"/>
    <n v="10125"/>
    <n v="33"/>
    <d v="2022-07-01T00:00:00"/>
    <n v="2.0400879806831401E-4"/>
  </r>
  <r>
    <n v="11316"/>
    <n v="2022"/>
    <s v="agosto"/>
    <d v="2022-08-08T00:00:00"/>
    <x v="2"/>
    <x v="4"/>
    <s v="Product C"/>
    <n v="3"/>
    <n v="188"/>
    <n v="65800"/>
    <n v="16450"/>
    <n v="33"/>
    <d v="2022-07-01T00:00:00"/>
    <n v="3.3145133118259401E-4"/>
  </r>
  <r>
    <n v="11317"/>
    <n v="2022"/>
    <s v="agosto"/>
    <d v="2022-08-09T00:00:00"/>
    <x v="2"/>
    <x v="1"/>
    <s v="Product D"/>
    <n v="33"/>
    <n v="366"/>
    <n v="311100"/>
    <n v="62220"/>
    <n v="33"/>
    <d v="2022-07-01T00:00:00"/>
    <n v="1.56708980442105E-3"/>
  </r>
  <r>
    <n v="11318"/>
    <n v="2022"/>
    <s v="agosto"/>
    <d v="2022-08-10T00:00:00"/>
    <x v="1"/>
    <x v="3"/>
    <s v="Product E"/>
    <n v="10"/>
    <n v="173"/>
    <n v="129750"/>
    <n v="28545"/>
    <n v="33"/>
    <d v="2022-07-01T00:00:00"/>
    <n v="6.5358374195959804E-4"/>
  </r>
  <r>
    <n v="11319"/>
    <n v="2022"/>
    <s v="agosto"/>
    <d v="2022-08-11T00:00:00"/>
    <x v="3"/>
    <x v="0"/>
    <s v="Product D"/>
    <n v="19"/>
    <n v="290"/>
    <n v="246500"/>
    <n v="83810"/>
    <n v="33"/>
    <d v="2022-07-01T00:00:00"/>
    <n v="1.2416831783663999E-3"/>
  </r>
  <r>
    <n v="11320"/>
    <n v="2022"/>
    <s v="agosto"/>
    <d v="2022-08-12T00:00:00"/>
    <x v="2"/>
    <x v="3"/>
    <s v="Product D"/>
    <n v="8"/>
    <n v="257"/>
    <n v="218450"/>
    <n v="96118"/>
    <n v="33"/>
    <d v="2022-07-01T00:00:00"/>
    <n v="1.10038819600057E-3"/>
  </r>
  <r>
    <n v="11321"/>
    <n v="2022"/>
    <s v="agosto"/>
    <d v="2022-08-13T00:00:00"/>
    <x v="2"/>
    <x v="4"/>
    <s v="Product C"/>
    <n v="4"/>
    <n v="133"/>
    <n v="46550"/>
    <n v="16292.499999999998"/>
    <n v="33"/>
    <d v="2022-07-01T00:00:00"/>
    <n v="2.3448418642172799E-4"/>
  </r>
  <r>
    <n v="11322"/>
    <n v="2022"/>
    <s v="agosto"/>
    <d v="2022-08-14T00:00:00"/>
    <x v="4"/>
    <x v="4"/>
    <s v="Product A"/>
    <n v="6"/>
    <n v="348"/>
    <n v="174000"/>
    <n v="27840"/>
    <n v="34"/>
    <d v="2022-07-01T00:00:00"/>
    <n v="8.7648224355275505E-4"/>
  </r>
  <r>
    <n v="11323"/>
    <n v="2022"/>
    <s v="agosto"/>
    <d v="2022-08-15T00:00:00"/>
    <x v="0"/>
    <x v="1"/>
    <s v="Product C"/>
    <n v="13"/>
    <n v="454"/>
    <n v="158900"/>
    <n v="69916"/>
    <n v="34"/>
    <d v="2022-07-01T00:00:00"/>
    <n v="8.0041970402605102E-4"/>
  </r>
  <r>
    <n v="11324"/>
    <n v="2022"/>
    <s v="agosto"/>
    <d v="2022-08-16T00:00:00"/>
    <x v="3"/>
    <x v="2"/>
    <s v="Product B"/>
    <n v="41"/>
    <n v="495"/>
    <n v="123750"/>
    <n v="14850"/>
    <n v="34"/>
    <d v="2022-07-01T00:00:00"/>
    <n v="6.2336021631984799E-4"/>
  </r>
  <r>
    <n v="11325"/>
    <n v="2022"/>
    <s v="agosto"/>
    <d v="2022-08-17T00:00:00"/>
    <x v="2"/>
    <x v="0"/>
    <s v="Product A"/>
    <n v="26"/>
    <n v="374"/>
    <n v="187000"/>
    <n v="26180.000000000004"/>
    <n v="34"/>
    <d v="2022-07-01T00:00:00"/>
    <n v="9.4196654910554698E-4"/>
  </r>
  <r>
    <n v="11326"/>
    <n v="2022"/>
    <s v="agosto"/>
    <d v="2022-08-18T00:00:00"/>
    <x v="3"/>
    <x v="0"/>
    <s v="Product A"/>
    <n v="2"/>
    <n v="119"/>
    <n v="59500"/>
    <n v="20230"/>
    <n v="34"/>
    <d v="2022-07-01T00:00:00"/>
    <n v="2.9971662926085599E-4"/>
  </r>
  <r>
    <n v="11327"/>
    <n v="2022"/>
    <s v="agosto"/>
    <d v="2022-08-19T00:00:00"/>
    <x v="2"/>
    <x v="0"/>
    <s v="Product E"/>
    <n v="6"/>
    <n v="144"/>
    <n v="108000"/>
    <n v="19440"/>
    <n v="34"/>
    <d v="2022-07-01T00:00:00"/>
    <n v="5.4402346151550304E-4"/>
  </r>
  <r>
    <n v="11328"/>
    <n v="2022"/>
    <s v="agosto"/>
    <d v="2022-08-20T00:00:00"/>
    <x v="1"/>
    <x v="4"/>
    <s v="Product D"/>
    <n v="41"/>
    <n v="435"/>
    <n v="369750"/>
    <n v="166387.5"/>
    <n v="34"/>
    <d v="2022-07-01T00:00:00"/>
    <n v="1.8625247675496E-3"/>
  </r>
  <r>
    <n v="11329"/>
    <n v="2022"/>
    <s v="agosto"/>
    <d v="2022-08-21T00:00:00"/>
    <x v="3"/>
    <x v="3"/>
    <s v="Product E"/>
    <n v="10"/>
    <n v="159"/>
    <n v="119250"/>
    <n v="41737.5"/>
    <n v="35"/>
    <d v="2022-07-01T00:00:00"/>
    <n v="6.0069257209003496E-4"/>
  </r>
  <r>
    <n v="11330"/>
    <n v="2022"/>
    <s v="agosto"/>
    <d v="2022-08-22T00:00:00"/>
    <x v="1"/>
    <x v="3"/>
    <s v="Product D"/>
    <n v="2"/>
    <n v="36"/>
    <n v="30600"/>
    <n v="7956"/>
    <n v="35"/>
    <d v="2022-07-01T00:00:00"/>
    <n v="1.5413998076272599E-4"/>
  </r>
  <r>
    <n v="11331"/>
    <n v="2022"/>
    <s v="agosto"/>
    <d v="2022-08-23T00:00:00"/>
    <x v="0"/>
    <x v="1"/>
    <s v="Product D"/>
    <n v="33"/>
    <n v="402"/>
    <n v="341700"/>
    <n v="61506"/>
    <n v="35"/>
    <d v="2022-07-01T00:00:00"/>
    <n v="1.7212297851837699E-3"/>
  </r>
  <r>
    <n v="11332"/>
    <n v="2022"/>
    <s v="agosto"/>
    <d v="2022-08-24T00:00:00"/>
    <x v="0"/>
    <x v="4"/>
    <s v="Product C"/>
    <n v="42"/>
    <n v="452"/>
    <n v="158200"/>
    <n v="30058"/>
    <n v="35"/>
    <d v="2022-07-01T00:00:00"/>
    <n v="7.9689362603474598E-4"/>
  </r>
  <r>
    <n v="11333"/>
    <n v="2022"/>
    <s v="agosto"/>
    <d v="2022-08-25T00:00:00"/>
    <x v="0"/>
    <x v="4"/>
    <s v="Product E"/>
    <n v="29"/>
    <n v="411"/>
    <n v="308250"/>
    <n v="43155.000000000007"/>
    <n v="35"/>
    <d v="2022-07-01T00:00:00"/>
    <n v="1.55273362974217E-3"/>
  </r>
  <r>
    <n v="11334"/>
    <n v="2022"/>
    <s v="agosto"/>
    <d v="2022-08-26T00:00:00"/>
    <x v="3"/>
    <x v="3"/>
    <s v="Product E"/>
    <n v="2"/>
    <n v="37"/>
    <n v="27750"/>
    <n v="11655"/>
    <n v="35"/>
    <d v="2022-07-01T00:00:00"/>
    <n v="1.39783806083845E-4"/>
  </r>
  <r>
    <n v="11335"/>
    <n v="2022"/>
    <s v="agosto"/>
    <d v="2022-08-27T00:00:00"/>
    <x v="3"/>
    <x v="3"/>
    <s v="Product D"/>
    <n v="7"/>
    <n v="75"/>
    <n v="63750"/>
    <n v="21675"/>
    <n v="35"/>
    <d v="2022-07-01T00:00:00"/>
    <n v="3.2112495992234598E-4"/>
  </r>
  <r>
    <n v="11336"/>
    <n v="2022"/>
    <s v="agosto"/>
    <d v="2022-08-28T00:00:00"/>
    <x v="1"/>
    <x v="1"/>
    <s v="Product A"/>
    <n v="6"/>
    <n v="97"/>
    <n v="48500"/>
    <n v="21825"/>
    <n v="36"/>
    <d v="2022-07-01T00:00:00"/>
    <n v="2.44306832254647E-4"/>
  </r>
  <r>
    <n v="11337"/>
    <n v="2022"/>
    <s v="agosto"/>
    <d v="2022-08-29T00:00:00"/>
    <x v="2"/>
    <x v="4"/>
    <s v="Product D"/>
    <n v="41"/>
    <n v="467"/>
    <n v="396950"/>
    <n v="134963"/>
    <n v="36"/>
    <d v="2022-07-01T00:00:00"/>
    <n v="1.9995380837831401E-3"/>
  </r>
  <r>
    <n v="11338"/>
    <n v="2022"/>
    <s v="agosto"/>
    <d v="2022-08-30T00:00:00"/>
    <x v="4"/>
    <x v="0"/>
    <s v="Product D"/>
    <n v="3"/>
    <n v="72"/>
    <n v="61200"/>
    <n v="15912"/>
    <n v="36"/>
    <d v="2022-07-01T00:00:00"/>
    <n v="3.0827996152545199E-4"/>
  </r>
  <r>
    <n v="11339"/>
    <n v="2022"/>
    <s v="agosto"/>
    <d v="2022-08-31T00:00:00"/>
    <x v="1"/>
    <x v="0"/>
    <s v="Product C"/>
    <n v="13"/>
    <n v="328"/>
    <n v="114800"/>
    <n v="43624"/>
    <n v="36"/>
    <d v="2022-07-01T00:00:00"/>
    <n v="5.7827679057388703E-4"/>
  </r>
  <r>
    <n v="11340"/>
    <n v="2022"/>
    <s v="setembro"/>
    <d v="2022-09-01T00:00:00"/>
    <x v="4"/>
    <x v="0"/>
    <s v="Product E"/>
    <n v="9"/>
    <n v="142"/>
    <n v="106500"/>
    <n v="14910.000000000002"/>
    <n v="36"/>
    <d v="2022-07-01T00:00:00"/>
    <n v="5.3646758010556601E-4"/>
  </r>
  <r>
    <n v="11341"/>
    <n v="2022"/>
    <s v="setembro"/>
    <d v="2022-09-02T00:00:00"/>
    <x v="2"/>
    <x v="0"/>
    <s v="Product E"/>
    <n v="7"/>
    <n v="89"/>
    <n v="66750"/>
    <n v="24697.5"/>
    <n v="36"/>
    <d v="2022-07-01T00:00:00"/>
    <n v="3.3623672274222101E-4"/>
  </r>
  <r>
    <n v="11342"/>
    <n v="2022"/>
    <s v="setembro"/>
    <d v="2022-09-03T00:00:00"/>
    <x v="2"/>
    <x v="0"/>
    <s v="Product B"/>
    <n v="2"/>
    <n v="51"/>
    <n v="12750"/>
    <n v="2550"/>
    <n v="36"/>
    <d v="2022-07-01T00:00:00"/>
    <n v="6.4224991984469096E-5"/>
  </r>
  <r>
    <n v="11343"/>
    <n v="2022"/>
    <s v="setembro"/>
    <d v="2022-09-04T00:00:00"/>
    <x v="3"/>
    <x v="0"/>
    <s v="Product A"/>
    <n v="8"/>
    <n v="259"/>
    <n v="129500"/>
    <n v="53095"/>
    <n v="37"/>
    <d v="2022-07-01T00:00:00"/>
    <n v="6.5232442839127495E-4"/>
  </r>
  <r>
    <n v="11344"/>
    <n v="2022"/>
    <s v="setembro"/>
    <d v="2022-09-05T00:00:00"/>
    <x v="3"/>
    <x v="4"/>
    <s v="Product E"/>
    <n v="2"/>
    <n v="64"/>
    <n v="48000"/>
    <n v="4800"/>
    <n v="37"/>
    <d v="2022-07-01T00:00:00"/>
    <n v="2.41788205118001E-4"/>
  </r>
  <r>
    <n v="11345"/>
    <n v="2022"/>
    <s v="setembro"/>
    <d v="2022-09-06T00:00:00"/>
    <x v="1"/>
    <x v="3"/>
    <s v="Product E"/>
    <n v="4"/>
    <n v="126"/>
    <n v="94500"/>
    <n v="13230.000000000002"/>
    <n v="37"/>
    <d v="2022-07-01T00:00:00"/>
    <n v="4.7602052882606498E-4"/>
  </r>
  <r>
    <n v="11346"/>
    <n v="2022"/>
    <s v="setembro"/>
    <d v="2022-09-07T00:00:00"/>
    <x v="4"/>
    <x v="3"/>
    <s v="Product D"/>
    <n v="4"/>
    <n v="95"/>
    <n v="80750"/>
    <n v="20995"/>
    <n v="37"/>
    <d v="2022-07-01T00:00:00"/>
    <n v="4.0675828256830497E-4"/>
  </r>
  <r>
    <n v="11347"/>
    <n v="2022"/>
    <s v="setembro"/>
    <d v="2022-09-08T00:00:00"/>
    <x v="2"/>
    <x v="1"/>
    <s v="Product A"/>
    <n v="5"/>
    <n v="190"/>
    <n v="95000"/>
    <n v="18050"/>
    <n v="37"/>
    <d v="2022-07-01T00:00:00"/>
    <n v="4.78539155962711E-4"/>
  </r>
  <r>
    <n v="11348"/>
    <n v="2022"/>
    <s v="setembro"/>
    <d v="2022-09-09T00:00:00"/>
    <x v="2"/>
    <x v="3"/>
    <s v="Product D"/>
    <n v="26"/>
    <n v="497"/>
    <n v="422450"/>
    <n v="42245"/>
    <n v="37"/>
    <d v="2022-07-01T00:00:00"/>
    <n v="2.1279880677520799E-3"/>
  </r>
  <r>
    <n v="11349"/>
    <n v="2022"/>
    <s v="setembro"/>
    <d v="2022-09-10T00:00:00"/>
    <x v="4"/>
    <x v="0"/>
    <s v="Product A"/>
    <n v="12"/>
    <n v="257"/>
    <n v="128500"/>
    <n v="33410"/>
    <n v="37"/>
    <d v="2022-07-01T00:00:00"/>
    <n v="6.4728717411798302E-4"/>
  </r>
  <r>
    <n v="11350"/>
    <n v="2022"/>
    <s v="setembro"/>
    <d v="2022-09-11T00:00:00"/>
    <x v="4"/>
    <x v="3"/>
    <s v="Product B"/>
    <n v="23"/>
    <n v="415"/>
    <n v="103750"/>
    <n v="25937.5"/>
    <n v="38"/>
    <d v="2022-07-01T00:00:00"/>
    <n v="5.2261513085401397E-4"/>
  </r>
  <r>
    <n v="11351"/>
    <n v="2022"/>
    <s v="setembro"/>
    <d v="2022-09-12T00:00:00"/>
    <x v="3"/>
    <x v="0"/>
    <s v="Product E"/>
    <n v="29"/>
    <n v="362"/>
    <n v="271500"/>
    <n v="97740"/>
    <n v="38"/>
    <d v="2022-07-01T00:00:00"/>
    <n v="1.3676145351987001E-3"/>
  </r>
  <r>
    <n v="11352"/>
    <n v="2022"/>
    <s v="setembro"/>
    <d v="2022-09-13T00:00:00"/>
    <x v="4"/>
    <x v="0"/>
    <s v="Product E"/>
    <n v="2"/>
    <n v="150"/>
    <n v="112500"/>
    <n v="49500"/>
    <n v="38"/>
    <d v="2022-07-01T00:00:00"/>
    <n v="5.6669110574531596E-4"/>
  </r>
  <r>
    <n v="11353"/>
    <n v="2022"/>
    <s v="setembro"/>
    <d v="2022-09-14T00:00:00"/>
    <x v="0"/>
    <x v="2"/>
    <s v="Product A"/>
    <n v="2"/>
    <n v="142"/>
    <n v="71000"/>
    <n v="29110"/>
    <n v="38"/>
    <d v="2022-07-01T00:00:00"/>
    <n v="3.5764505340371002E-4"/>
  </r>
  <r>
    <n v="11354"/>
    <n v="2022"/>
    <s v="setembro"/>
    <d v="2022-09-15T00:00:00"/>
    <x v="2"/>
    <x v="3"/>
    <s v="Product C"/>
    <n v="6"/>
    <n v="183"/>
    <n v="64050"/>
    <n v="14091"/>
    <n v="38"/>
    <d v="2022-07-01T00:00:00"/>
    <n v="3.2263613620433297E-4"/>
  </r>
  <r>
    <n v="11355"/>
    <n v="2022"/>
    <s v="setembro"/>
    <d v="2022-09-16T00:00:00"/>
    <x v="1"/>
    <x v="3"/>
    <s v="Product E"/>
    <n v="45"/>
    <n v="474"/>
    <n v="355500"/>
    <n v="63990"/>
    <n v="38"/>
    <d v="2022-07-01T00:00:00"/>
    <n v="1.7907438941552E-3"/>
  </r>
  <r>
    <n v="11356"/>
    <n v="2022"/>
    <s v="setembro"/>
    <d v="2022-09-17T00:00:00"/>
    <x v="3"/>
    <x v="2"/>
    <s v="Product A"/>
    <n v="20"/>
    <n v="224"/>
    <n v="112000"/>
    <n v="21280"/>
    <n v="38"/>
    <d v="2022-07-01T00:00:00"/>
    <n v="5.6417247860866999E-4"/>
  </r>
  <r>
    <n v="11357"/>
    <n v="2022"/>
    <s v="setembro"/>
    <d v="2022-09-18T00:00:00"/>
    <x v="3"/>
    <x v="2"/>
    <s v="Product E"/>
    <n v="1"/>
    <n v="26"/>
    <n v="19500"/>
    <n v="7994.9999999999991"/>
    <n v="39"/>
    <d v="2022-07-01T00:00:00"/>
    <n v="9.8226458329188097E-5"/>
  </r>
  <r>
    <n v="11358"/>
    <n v="2022"/>
    <s v="setembro"/>
    <d v="2022-09-19T00:00:00"/>
    <x v="1"/>
    <x v="2"/>
    <s v="Product A"/>
    <n v="25"/>
    <n v="292"/>
    <n v="146000"/>
    <n v="54020"/>
    <n v="39"/>
    <d v="2022-07-01T00:00:00"/>
    <n v="7.3543912390058798E-4"/>
  </r>
  <r>
    <n v="11359"/>
    <n v="2022"/>
    <s v="setembro"/>
    <d v="2022-09-20T00:00:00"/>
    <x v="3"/>
    <x v="3"/>
    <s v="Product D"/>
    <n v="13"/>
    <n v="137"/>
    <n v="116450"/>
    <n v="38428.5"/>
    <n v="39"/>
    <d v="2022-07-01T00:00:00"/>
    <n v="5.8658826012481804E-4"/>
  </r>
  <r>
    <n v="11360"/>
    <n v="2022"/>
    <s v="setembro"/>
    <d v="2022-09-21T00:00:00"/>
    <x v="4"/>
    <x v="2"/>
    <s v="Product B"/>
    <n v="5"/>
    <n v="365"/>
    <n v="91250"/>
    <n v="38325"/>
    <n v="39"/>
    <d v="2022-07-01T00:00:00"/>
    <n v="4.5964945243786697E-4"/>
  </r>
  <r>
    <n v="11361"/>
    <n v="2022"/>
    <s v="setembro"/>
    <d v="2022-09-22T00:00:00"/>
    <x v="3"/>
    <x v="2"/>
    <s v="Product A"/>
    <n v="18"/>
    <n v="239"/>
    <n v="119500"/>
    <n v="22705"/>
    <n v="39"/>
    <d v="2022-07-01T00:00:00"/>
    <n v="6.0195188565835805E-4"/>
  </r>
  <r>
    <n v="11362"/>
    <n v="2022"/>
    <s v="setembro"/>
    <d v="2022-09-23T00:00:00"/>
    <x v="0"/>
    <x v="3"/>
    <s v="Product C"/>
    <n v="25"/>
    <n v="279"/>
    <n v="97650"/>
    <n v="22459.5"/>
    <n v="39"/>
    <d v="2022-07-01T00:00:00"/>
    <n v="4.9188787978693405E-4"/>
  </r>
  <r>
    <n v="11363"/>
    <n v="2022"/>
    <s v="setembro"/>
    <d v="2022-09-24T00:00:00"/>
    <x v="4"/>
    <x v="4"/>
    <s v="Product A"/>
    <n v="11"/>
    <n v="301"/>
    <n v="150500"/>
    <n v="15050"/>
    <n v="39"/>
    <d v="2022-07-01T00:00:00"/>
    <n v="7.5810676813040003E-4"/>
  </r>
  <r>
    <n v="11364"/>
    <n v="2022"/>
    <s v="setembro"/>
    <d v="2022-09-25T00:00:00"/>
    <x v="2"/>
    <x v="4"/>
    <s v="Product A"/>
    <n v="2"/>
    <n v="34"/>
    <n v="17000"/>
    <n v="1700"/>
    <n v="40"/>
    <d v="2022-07-01T00:00:00"/>
    <n v="8.5633322645958804E-5"/>
  </r>
  <r>
    <n v="11365"/>
    <n v="2022"/>
    <s v="setembro"/>
    <d v="2022-09-26T00:00:00"/>
    <x v="3"/>
    <x v="0"/>
    <s v="Product B"/>
    <n v="25"/>
    <n v="451"/>
    <n v="112750"/>
    <n v="43972.5"/>
    <n v="40"/>
    <d v="2022-07-01T00:00:00"/>
    <n v="5.6795041931363905E-4"/>
  </r>
  <r>
    <n v="11366"/>
    <n v="2022"/>
    <s v="setembro"/>
    <d v="2022-09-27T00:00:00"/>
    <x v="4"/>
    <x v="0"/>
    <s v="Product E"/>
    <n v="4"/>
    <n v="92"/>
    <n v="69000"/>
    <n v="17250"/>
    <n v="40"/>
    <d v="2022-07-01T00:00:00"/>
    <n v="3.4757054485712698E-4"/>
  </r>
  <r>
    <n v="11367"/>
    <n v="2022"/>
    <s v="setembro"/>
    <d v="2022-09-28T00:00:00"/>
    <x v="4"/>
    <x v="1"/>
    <s v="Product E"/>
    <n v="15"/>
    <n v="185"/>
    <n v="138750"/>
    <n v="22200"/>
    <n v="40"/>
    <d v="2022-07-01T00:00:00"/>
    <n v="6.9891903041922302E-4"/>
  </r>
  <r>
    <n v="11368"/>
    <n v="2022"/>
    <s v="setembro"/>
    <d v="2022-09-29T00:00:00"/>
    <x v="4"/>
    <x v="2"/>
    <s v="Product C"/>
    <n v="11"/>
    <n v="290"/>
    <n v="101500"/>
    <n v="33495"/>
    <n v="40"/>
    <d v="2022-07-01T00:00:00"/>
    <n v="5.1128130873910702E-4"/>
  </r>
  <r>
    <n v="11369"/>
    <n v="2022"/>
    <s v="setembro"/>
    <d v="2022-09-30T00:00:00"/>
    <x v="3"/>
    <x v="0"/>
    <s v="Product D"/>
    <n v="2"/>
    <n v="20"/>
    <n v="17000"/>
    <n v="6120"/>
    <n v="40"/>
    <d v="2022-07-01T00:00:00"/>
    <n v="8.5633322645958804E-5"/>
  </r>
  <r>
    <n v="11370"/>
    <n v="2022"/>
    <s v="outubro"/>
    <d v="2022-10-01T00:00:00"/>
    <x v="4"/>
    <x v="2"/>
    <s v="Product A"/>
    <n v="30"/>
    <n v="341"/>
    <n v="170500"/>
    <n v="57970.000000000007"/>
    <n v="40"/>
    <d v="2022-10-01T00:00:00"/>
    <n v="8.5885185359623395E-4"/>
  </r>
  <r>
    <n v="11371"/>
    <n v="2022"/>
    <s v="outubro"/>
    <d v="2022-10-02T00:00:00"/>
    <x v="1"/>
    <x v="0"/>
    <s v="Product D"/>
    <n v="29"/>
    <n v="393"/>
    <n v="334050"/>
    <n v="73491"/>
    <n v="41"/>
    <d v="2022-10-01T00:00:00"/>
    <n v="1.68269478999309E-3"/>
  </r>
  <r>
    <n v="11372"/>
    <n v="2022"/>
    <s v="outubro"/>
    <d v="2022-10-03T00:00:00"/>
    <x v="2"/>
    <x v="4"/>
    <s v="Product B"/>
    <n v="9"/>
    <n v="464"/>
    <n v="116000"/>
    <n v="48720"/>
    <n v="41"/>
    <d v="2022-10-01T00:00:00"/>
    <n v="5.8432149570183695E-4"/>
  </r>
  <r>
    <n v="11373"/>
    <n v="2022"/>
    <s v="outubro"/>
    <d v="2022-10-04T00:00:00"/>
    <x v="4"/>
    <x v="4"/>
    <s v="Product D"/>
    <n v="3"/>
    <n v="158"/>
    <n v="134300"/>
    <n v="55063"/>
    <n v="41"/>
    <d v="2022-10-01T00:00:00"/>
    <n v="6.7650324890307497E-4"/>
  </r>
  <r>
    <n v="11374"/>
    <n v="2022"/>
    <s v="outubro"/>
    <d v="2022-10-05T00:00:00"/>
    <x v="4"/>
    <x v="0"/>
    <s v="Product D"/>
    <n v="25"/>
    <n v="367"/>
    <n v="311950"/>
    <n v="124780"/>
    <n v="41"/>
    <d v="2022-10-01T00:00:00"/>
    <n v="1.57137147055334E-3"/>
  </r>
  <r>
    <n v="11375"/>
    <n v="2022"/>
    <s v="outubro"/>
    <d v="2022-10-06T00:00:00"/>
    <x v="3"/>
    <x v="0"/>
    <s v="Product C"/>
    <n v="3"/>
    <n v="158"/>
    <n v="55300"/>
    <n v="18249"/>
    <n v="41"/>
    <d v="2022-10-01T00:00:00"/>
    <n v="2.7856016131303098E-4"/>
  </r>
  <r>
    <n v="11376"/>
    <n v="2022"/>
    <s v="outubro"/>
    <d v="2022-10-07T00:00:00"/>
    <x v="3"/>
    <x v="0"/>
    <s v="Product B"/>
    <n v="19"/>
    <n v="329"/>
    <n v="82250"/>
    <n v="33722.5"/>
    <n v="41"/>
    <d v="2022-10-01T00:00:00"/>
    <n v="4.14314163978242E-4"/>
  </r>
  <r>
    <n v="11377"/>
    <n v="2022"/>
    <s v="outubro"/>
    <d v="2022-10-08T00:00:00"/>
    <x v="0"/>
    <x v="2"/>
    <s v="Product E"/>
    <n v="24"/>
    <n v="265"/>
    <n v="198750"/>
    <n v="39750"/>
    <n v="41"/>
    <d v="2022-10-01T00:00:00"/>
    <n v="1.0011542868167201E-3"/>
  </r>
  <r>
    <n v="11378"/>
    <n v="2022"/>
    <s v="outubro"/>
    <d v="2022-10-09T00:00:00"/>
    <x v="2"/>
    <x v="4"/>
    <s v="Product D"/>
    <n v="17"/>
    <n v="186"/>
    <n v="158100"/>
    <n v="25296"/>
    <n v="42"/>
    <d v="2022-10-01T00:00:00"/>
    <n v="7.9638990060741698E-4"/>
  </r>
  <r>
    <n v="11379"/>
    <n v="2022"/>
    <s v="outubro"/>
    <d v="2022-10-10T00:00:00"/>
    <x v="3"/>
    <x v="0"/>
    <s v="Product A"/>
    <n v="15"/>
    <n v="219"/>
    <n v="109500"/>
    <n v="32850"/>
    <n v="42"/>
    <d v="2022-10-01T00:00:00"/>
    <n v="5.5157934292544104E-4"/>
  </r>
  <r>
    <n v="11380"/>
    <n v="2022"/>
    <s v="outubro"/>
    <d v="2022-10-11T00:00:00"/>
    <x v="1"/>
    <x v="2"/>
    <s v="Product E"/>
    <n v="14"/>
    <n v="174"/>
    <n v="130500"/>
    <n v="56115"/>
    <n v="42"/>
    <d v="2022-10-01T00:00:00"/>
    <n v="6.5736168266456601E-4"/>
  </r>
  <r>
    <n v="11381"/>
    <n v="2022"/>
    <s v="outubro"/>
    <d v="2022-10-12T00:00:00"/>
    <x v="4"/>
    <x v="2"/>
    <s v="Product D"/>
    <n v="6"/>
    <n v="68"/>
    <n v="57800"/>
    <n v="16184.000000000002"/>
    <n v="42"/>
    <d v="2022-10-01T00:00:00"/>
    <n v="2.9115329699625999E-4"/>
  </r>
  <r>
    <n v="11382"/>
    <n v="2022"/>
    <s v="outubro"/>
    <d v="2022-10-13T00:00:00"/>
    <x v="4"/>
    <x v="3"/>
    <s v="Product C"/>
    <n v="19"/>
    <n v="395"/>
    <n v="138250"/>
    <n v="51152.5"/>
    <n v="42"/>
    <d v="2022-10-01T00:00:00"/>
    <n v="6.9640040328257705E-4"/>
  </r>
  <r>
    <n v="11383"/>
    <n v="2022"/>
    <s v="outubro"/>
    <d v="2022-10-14T00:00:00"/>
    <x v="3"/>
    <x v="3"/>
    <s v="Product A"/>
    <n v="10"/>
    <n v="164"/>
    <n v="82000"/>
    <n v="15580"/>
    <n v="42"/>
    <d v="2022-10-01T00:00:00"/>
    <n v="4.1305485040991902E-4"/>
  </r>
  <r>
    <n v="11384"/>
    <n v="2022"/>
    <s v="outubro"/>
    <d v="2022-10-15T00:00:00"/>
    <x v="4"/>
    <x v="2"/>
    <s v="Product B"/>
    <n v="19"/>
    <n v="212"/>
    <n v="53000"/>
    <n v="15369.999999999998"/>
    <n v="42"/>
    <d v="2022-10-01T00:00:00"/>
    <n v="2.6697447648446002E-4"/>
  </r>
  <r>
    <n v="11385"/>
    <n v="2022"/>
    <s v="outubro"/>
    <d v="2022-10-16T00:00:00"/>
    <x v="3"/>
    <x v="0"/>
    <s v="Product E"/>
    <n v="40"/>
    <n v="400"/>
    <n v="300000"/>
    <n v="81000"/>
    <n v="43"/>
    <d v="2022-10-01T00:00:00"/>
    <n v="1.5111762819875101E-3"/>
  </r>
  <r>
    <n v="11386"/>
    <n v="2022"/>
    <s v="outubro"/>
    <d v="2022-10-17T00:00:00"/>
    <x v="4"/>
    <x v="2"/>
    <s v="Product A"/>
    <n v="33"/>
    <n v="392"/>
    <n v="196000"/>
    <n v="39200"/>
    <n v="43"/>
    <d v="2022-10-01T00:00:00"/>
    <n v="9.8730183756517292E-4"/>
  </r>
  <r>
    <n v="11387"/>
    <n v="2022"/>
    <s v="outubro"/>
    <d v="2022-10-18T00:00:00"/>
    <x v="0"/>
    <x v="4"/>
    <s v="Product D"/>
    <n v="38"/>
    <n v="432"/>
    <n v="367200"/>
    <n v="143208"/>
    <n v="43"/>
    <d v="2022-10-01T00:00:00"/>
    <n v="1.84967976915271E-3"/>
  </r>
  <r>
    <n v="11388"/>
    <n v="2022"/>
    <s v="outubro"/>
    <d v="2022-10-19T00:00:00"/>
    <x v="3"/>
    <x v="4"/>
    <s v="Product A"/>
    <n v="13"/>
    <n v="384"/>
    <n v="192000"/>
    <n v="26880.000000000004"/>
    <n v="43"/>
    <d v="2022-10-01T00:00:00"/>
    <n v="9.6715282047200597E-4"/>
  </r>
  <r>
    <n v="11389"/>
    <n v="2022"/>
    <s v="outubro"/>
    <d v="2022-10-20T00:00:00"/>
    <x v="2"/>
    <x v="1"/>
    <s v="Product E"/>
    <n v="5"/>
    <n v="257"/>
    <n v="192750"/>
    <n v="46260"/>
    <n v="43"/>
    <d v="2022-10-01T00:00:00"/>
    <n v="9.7093076117697502E-4"/>
  </r>
  <r>
    <n v="11390"/>
    <n v="2022"/>
    <s v="outubro"/>
    <d v="2022-10-21T00:00:00"/>
    <x v="4"/>
    <x v="1"/>
    <s v="Product D"/>
    <n v="3"/>
    <n v="176"/>
    <n v="149600"/>
    <n v="64328"/>
    <n v="43"/>
    <d v="2022-10-01T00:00:00"/>
    <n v="7.5357323928443797E-4"/>
  </r>
  <r>
    <n v="11391"/>
    <n v="2022"/>
    <s v="outubro"/>
    <d v="2022-10-22T00:00:00"/>
    <x v="4"/>
    <x v="0"/>
    <s v="Product D"/>
    <n v="7"/>
    <n v="96"/>
    <n v="81600"/>
    <n v="11424.000000000002"/>
    <n v="43"/>
    <d v="2022-10-01T00:00:00"/>
    <n v="4.11039948700602E-4"/>
  </r>
  <r>
    <n v="11392"/>
    <n v="2022"/>
    <s v="outubro"/>
    <d v="2022-10-23T00:00:00"/>
    <x v="4"/>
    <x v="2"/>
    <s v="Product B"/>
    <n v="1"/>
    <n v="26"/>
    <n v="6500"/>
    <n v="2015"/>
    <n v="44"/>
    <d v="2022-10-01T00:00:00"/>
    <n v="3.2742152776395998E-5"/>
  </r>
  <r>
    <n v="11393"/>
    <n v="2022"/>
    <s v="outubro"/>
    <d v="2022-10-24T00:00:00"/>
    <x v="4"/>
    <x v="1"/>
    <s v="Product C"/>
    <n v="7"/>
    <n v="197"/>
    <n v="68950"/>
    <n v="17927"/>
    <n v="44"/>
    <d v="2022-10-01T00:00:00"/>
    <n v="3.4731868214346302E-4"/>
  </r>
  <r>
    <n v="11394"/>
    <n v="2022"/>
    <s v="outubro"/>
    <d v="2022-10-25T00:00:00"/>
    <x v="1"/>
    <x v="4"/>
    <s v="Product E"/>
    <n v="13"/>
    <n v="312"/>
    <n v="234000"/>
    <n v="35100"/>
    <n v="44"/>
    <d v="2022-10-01T00:00:00"/>
    <n v="1.1787174999502599E-3"/>
  </r>
  <r>
    <n v="11395"/>
    <n v="2022"/>
    <s v="outubro"/>
    <d v="2022-10-26T00:00:00"/>
    <x v="2"/>
    <x v="3"/>
    <s v="Product C"/>
    <n v="6"/>
    <n v="179"/>
    <n v="62650"/>
    <n v="16289"/>
    <n v="44"/>
    <d v="2022-10-01T00:00:00"/>
    <n v="3.15583980221725E-4"/>
  </r>
  <r>
    <n v="11396"/>
    <n v="2022"/>
    <s v="outubro"/>
    <d v="2022-10-27T00:00:00"/>
    <x v="1"/>
    <x v="4"/>
    <s v="Product E"/>
    <n v="14"/>
    <n v="254"/>
    <n v="190500"/>
    <n v="30480"/>
    <n v="44"/>
    <d v="2022-10-01T00:00:00"/>
    <n v="9.5959693906206797E-4"/>
  </r>
  <r>
    <n v="11397"/>
    <n v="2022"/>
    <s v="outubro"/>
    <d v="2022-10-28T00:00:00"/>
    <x v="3"/>
    <x v="2"/>
    <s v="Product C"/>
    <n v="13"/>
    <n v="242"/>
    <n v="84700"/>
    <n v="11011"/>
    <n v="44"/>
    <d v="2022-10-01T00:00:00"/>
    <n v="4.26655436947807E-4"/>
  </r>
  <r>
    <n v="11398"/>
    <n v="2022"/>
    <s v="outubro"/>
    <d v="2022-10-29T00:00:00"/>
    <x v="0"/>
    <x v="4"/>
    <s v="Product B"/>
    <n v="5"/>
    <n v="96"/>
    <n v="24000"/>
    <n v="4560"/>
    <n v="44"/>
    <d v="2022-10-01T00:00:00"/>
    <n v="1.20894102559001E-4"/>
  </r>
  <r>
    <n v="11399"/>
    <n v="2022"/>
    <s v="outubro"/>
    <d v="2022-10-30T00:00:00"/>
    <x v="1"/>
    <x v="0"/>
    <s v="Product B"/>
    <n v="23"/>
    <n v="337"/>
    <n v="84250"/>
    <n v="26960"/>
    <n v="45"/>
    <d v="2022-10-01T00:00:00"/>
    <n v="4.2438867252482602E-4"/>
  </r>
  <r>
    <n v="11400"/>
    <n v="2022"/>
    <s v="outubro"/>
    <d v="2022-10-31T00:00:00"/>
    <x v="4"/>
    <x v="1"/>
    <s v="Product C"/>
    <n v="28"/>
    <n v="369"/>
    <n v="129150"/>
    <n v="50368.5"/>
    <n v="45"/>
    <d v="2022-10-01T00:00:00"/>
    <n v="6.5056138939562297E-4"/>
  </r>
  <r>
    <n v="11401"/>
    <n v="2022"/>
    <s v="novembro"/>
    <d v="2022-11-01T00:00:00"/>
    <x v="1"/>
    <x v="4"/>
    <s v="Product E"/>
    <n v="10"/>
    <n v="277"/>
    <n v="207750"/>
    <n v="60247.499999999993"/>
    <n v="45"/>
    <d v="2022-10-01T00:00:00"/>
    <n v="1.0464895752763501E-3"/>
  </r>
  <r>
    <n v="11402"/>
    <n v="2022"/>
    <s v="novembro"/>
    <d v="2022-11-02T00:00:00"/>
    <x v="4"/>
    <x v="1"/>
    <s v="Product A"/>
    <n v="13"/>
    <n v="138"/>
    <n v="69000"/>
    <n v="8970"/>
    <n v="45"/>
    <d v="2022-10-01T00:00:00"/>
    <n v="3.4757054485712698E-4"/>
  </r>
  <r>
    <n v="11403"/>
    <n v="2022"/>
    <s v="novembro"/>
    <d v="2022-11-03T00:00:00"/>
    <x v="2"/>
    <x v="0"/>
    <s v="Product E"/>
    <n v="13"/>
    <n v="285"/>
    <n v="213750"/>
    <n v="21375"/>
    <n v="45"/>
    <d v="2022-10-01T00:00:00"/>
    <n v="1.0767131009161001E-3"/>
  </r>
  <r>
    <n v="11404"/>
    <n v="2022"/>
    <s v="novembro"/>
    <d v="2022-11-04T00:00:00"/>
    <x v="4"/>
    <x v="1"/>
    <s v="Product B"/>
    <n v="7"/>
    <n v="223"/>
    <n v="55750"/>
    <n v="18397.5"/>
    <n v="45"/>
    <d v="2022-10-01T00:00:00"/>
    <n v="2.8082692573601202E-4"/>
  </r>
  <r>
    <n v="11405"/>
    <n v="2022"/>
    <s v="novembro"/>
    <d v="2022-11-05T00:00:00"/>
    <x v="3"/>
    <x v="3"/>
    <s v="Product D"/>
    <n v="37"/>
    <n v="378"/>
    <n v="321300"/>
    <n v="61047"/>
    <n v="45"/>
    <d v="2022-10-01T00:00:00"/>
    <n v="1.6184697980086201E-3"/>
  </r>
  <r>
    <n v="11406"/>
    <n v="2022"/>
    <s v="novembro"/>
    <d v="2022-11-06T00:00:00"/>
    <x v="0"/>
    <x v="2"/>
    <s v="Product B"/>
    <n v="15"/>
    <n v="205"/>
    <n v="51250"/>
    <n v="19475"/>
    <n v="46"/>
    <d v="2022-10-01T00:00:00"/>
    <n v="2.5815928150619899E-4"/>
  </r>
  <r>
    <n v="11407"/>
    <n v="2022"/>
    <s v="novembro"/>
    <d v="2022-11-07T00:00:00"/>
    <x v="2"/>
    <x v="3"/>
    <s v="Product D"/>
    <n v="20"/>
    <n v="492"/>
    <n v="418200"/>
    <n v="41820"/>
    <n v="46"/>
    <d v="2022-10-01T00:00:00"/>
    <n v="2.1065797370905899E-3"/>
  </r>
  <r>
    <n v="11408"/>
    <n v="2022"/>
    <s v="novembro"/>
    <d v="2022-11-08T00:00:00"/>
    <x v="2"/>
    <x v="4"/>
    <s v="Product D"/>
    <n v="15"/>
    <n v="251"/>
    <n v="213350"/>
    <n v="21335"/>
    <n v="46"/>
    <d v="2022-10-01T00:00:00"/>
    <n v="1.07469819920678E-3"/>
  </r>
  <r>
    <n v="11409"/>
    <n v="2022"/>
    <s v="novembro"/>
    <d v="2022-11-09T00:00:00"/>
    <x v="1"/>
    <x v="1"/>
    <s v="Product D"/>
    <n v="6"/>
    <n v="98"/>
    <n v="83300"/>
    <n v="9163"/>
    <n v="46"/>
    <d v="2022-10-01T00:00:00"/>
    <n v="4.1960328096519799E-4"/>
  </r>
  <r>
    <n v="11410"/>
    <n v="2022"/>
    <s v="novembro"/>
    <d v="2022-11-10T00:00:00"/>
    <x v="0"/>
    <x v="1"/>
    <s v="Product D"/>
    <n v="1"/>
    <n v="27"/>
    <n v="22950"/>
    <n v="5737.5"/>
    <n v="46"/>
    <d v="2022-10-01T00:00:00"/>
    <n v="1.1560498557204401E-4"/>
  </r>
  <r>
    <n v="11411"/>
    <n v="2022"/>
    <s v="novembro"/>
    <d v="2022-11-11T00:00:00"/>
    <x v="0"/>
    <x v="3"/>
    <s v="Product B"/>
    <n v="5"/>
    <n v="281"/>
    <n v="70250"/>
    <n v="29505"/>
    <n v="46"/>
    <d v="2022-10-01T00:00:00"/>
    <n v="3.53867112698742E-4"/>
  </r>
  <r>
    <n v="11412"/>
    <n v="2022"/>
    <s v="novembro"/>
    <d v="2022-11-12T00:00:00"/>
    <x v="2"/>
    <x v="3"/>
    <s v="Product B"/>
    <n v="19"/>
    <n v="371"/>
    <n v="92750"/>
    <n v="22260"/>
    <n v="46"/>
    <d v="2022-10-01T00:00:00"/>
    <n v="4.6720533384780497E-4"/>
  </r>
  <r>
    <n v="11413"/>
    <n v="2022"/>
    <s v="novembro"/>
    <d v="2022-11-13T00:00:00"/>
    <x v="0"/>
    <x v="0"/>
    <s v="Product D"/>
    <n v="18"/>
    <n v="409"/>
    <n v="347650"/>
    <n v="104295"/>
    <n v="47"/>
    <d v="2022-10-01T00:00:00"/>
    <n v="1.75120144810986E-3"/>
  </r>
  <r>
    <n v="11414"/>
    <n v="2022"/>
    <s v="novembro"/>
    <d v="2022-11-14T00:00:00"/>
    <x v="4"/>
    <x v="3"/>
    <s v="Product C"/>
    <n v="1"/>
    <n v="28"/>
    <n v="9800"/>
    <n v="2058"/>
    <n v="47"/>
    <d v="2022-10-01T00:00:00"/>
    <n v="4.9365091878258601E-5"/>
  </r>
  <r>
    <n v="11415"/>
    <n v="2022"/>
    <s v="novembro"/>
    <d v="2022-11-15T00:00:00"/>
    <x v="3"/>
    <x v="0"/>
    <s v="Product B"/>
    <n v="12"/>
    <n v="402"/>
    <n v="100500"/>
    <n v="10050"/>
    <n v="47"/>
    <d v="2022-10-01T00:00:00"/>
    <n v="5.0624405446581596E-4"/>
  </r>
  <r>
    <n v="11416"/>
    <n v="2022"/>
    <s v="novembro"/>
    <d v="2022-11-16T00:00:00"/>
    <x v="0"/>
    <x v="3"/>
    <s v="Product A"/>
    <n v="10"/>
    <n v="137"/>
    <n v="68500"/>
    <n v="15755"/>
    <n v="47"/>
    <d v="2022-10-01T00:00:00"/>
    <n v="3.4505191772048102E-4"/>
  </r>
  <r>
    <n v="11417"/>
    <n v="2022"/>
    <s v="novembro"/>
    <d v="2022-11-17T00:00:00"/>
    <x v="2"/>
    <x v="0"/>
    <s v="Product B"/>
    <n v="12"/>
    <n v="290"/>
    <n v="72500"/>
    <n v="31900"/>
    <n v="47"/>
    <d v="2022-10-01T00:00:00"/>
    <n v="3.6520093481364803E-4"/>
  </r>
  <r>
    <n v="11418"/>
    <n v="2022"/>
    <s v="novembro"/>
    <d v="2022-11-18T00:00:00"/>
    <x v="1"/>
    <x v="2"/>
    <s v="Product D"/>
    <n v="32"/>
    <n v="442"/>
    <n v="375700"/>
    <n v="131495"/>
    <n v="47"/>
    <d v="2022-10-01T00:00:00"/>
    <n v="1.8924964304756901E-3"/>
  </r>
  <r>
    <n v="11419"/>
    <n v="2022"/>
    <s v="novembro"/>
    <d v="2022-11-19T00:00:00"/>
    <x v="1"/>
    <x v="4"/>
    <s v="Product B"/>
    <n v="31"/>
    <n v="360"/>
    <n v="90000"/>
    <n v="29700"/>
    <n v="47"/>
    <d v="2022-10-01T00:00:00"/>
    <n v="4.5335288459625298E-4"/>
  </r>
  <r>
    <n v="11420"/>
    <n v="2022"/>
    <s v="novembro"/>
    <d v="2022-11-20T00:00:00"/>
    <x v="2"/>
    <x v="1"/>
    <s v="Product D"/>
    <n v="1"/>
    <n v="21"/>
    <n v="17850"/>
    <n v="4641"/>
    <n v="48"/>
    <d v="2022-10-01T00:00:00"/>
    <n v="8.9914988778256802E-5"/>
  </r>
  <r>
    <n v="11421"/>
    <n v="2022"/>
    <s v="novembro"/>
    <d v="2022-11-21T00:00:00"/>
    <x v="2"/>
    <x v="1"/>
    <s v="Product C"/>
    <n v="7"/>
    <n v="107"/>
    <n v="37450"/>
    <n v="16103.5"/>
    <n v="48"/>
    <d v="2022-10-01T00:00:00"/>
    <n v="1.8864517253477399E-4"/>
  </r>
  <r>
    <n v="11422"/>
    <n v="2022"/>
    <s v="novembro"/>
    <d v="2022-11-22T00:00:00"/>
    <x v="3"/>
    <x v="3"/>
    <s v="Product B"/>
    <n v="38"/>
    <n v="490"/>
    <n v="122500"/>
    <n v="47775"/>
    <n v="48"/>
    <d v="2022-10-01T00:00:00"/>
    <n v="6.1706364847823297E-4"/>
  </r>
  <r>
    <n v="11423"/>
    <n v="2022"/>
    <s v="novembro"/>
    <d v="2022-11-23T00:00:00"/>
    <x v="2"/>
    <x v="4"/>
    <s v="Product D"/>
    <n v="15"/>
    <n v="499"/>
    <n v="424150"/>
    <n v="123003.49999999999"/>
    <n v="48"/>
    <d v="2022-10-01T00:00:00"/>
    <n v="2.13655140001667E-3"/>
  </r>
  <r>
    <n v="11424"/>
    <n v="2022"/>
    <s v="novembro"/>
    <d v="2022-11-24T00:00:00"/>
    <x v="1"/>
    <x v="1"/>
    <s v="Product B"/>
    <n v="1"/>
    <n v="88"/>
    <n v="22000"/>
    <n v="5500"/>
    <n v="48"/>
    <d v="2022-10-01T00:00:00"/>
    <n v="1.10819594012417E-4"/>
  </r>
  <r>
    <n v="11425"/>
    <n v="2022"/>
    <s v="novembro"/>
    <d v="2022-11-25T00:00:00"/>
    <x v="3"/>
    <x v="4"/>
    <s v="Product D"/>
    <n v="3"/>
    <n v="57"/>
    <n v="48450"/>
    <n v="10174.5"/>
    <n v="48"/>
    <d v="2022-10-01T00:00:00"/>
    <n v="2.4405496954098301E-4"/>
  </r>
  <r>
    <n v="11426"/>
    <n v="2022"/>
    <s v="novembro"/>
    <d v="2022-11-26T00:00:00"/>
    <x v="1"/>
    <x v="3"/>
    <s v="Product B"/>
    <n v="4"/>
    <n v="90"/>
    <n v="22500"/>
    <n v="9225"/>
    <n v="48"/>
    <d v="2022-10-01T00:00:00"/>
    <n v="1.13338221149063E-4"/>
  </r>
  <r>
    <n v="11427"/>
    <n v="2022"/>
    <s v="novembro"/>
    <d v="2022-11-27T00:00:00"/>
    <x v="3"/>
    <x v="4"/>
    <s v="Product A"/>
    <n v="10"/>
    <n v="115"/>
    <n v="57500"/>
    <n v="9200"/>
    <n v="49"/>
    <d v="2022-10-01T00:00:00"/>
    <n v="2.89642120714273E-4"/>
  </r>
  <r>
    <n v="11428"/>
    <n v="2022"/>
    <s v="novembro"/>
    <d v="2022-11-28T00:00:00"/>
    <x v="3"/>
    <x v="0"/>
    <s v="Product E"/>
    <n v="6"/>
    <n v="457"/>
    <n v="342750"/>
    <n v="147382.5"/>
    <n v="49"/>
    <d v="2022-10-01T00:00:00"/>
    <n v="1.7265189021707301E-3"/>
  </r>
  <r>
    <n v="11429"/>
    <n v="2022"/>
    <s v="novembro"/>
    <d v="2022-11-29T00:00:00"/>
    <x v="1"/>
    <x v="3"/>
    <s v="Product A"/>
    <n v="5"/>
    <n v="70"/>
    <n v="35000"/>
    <n v="12950"/>
    <n v="49"/>
    <d v="2022-10-01T00:00:00"/>
    <n v="1.7630389956520899E-4"/>
  </r>
  <r>
    <n v="11430"/>
    <n v="2022"/>
    <s v="novembro"/>
    <d v="2022-11-30T00:00:00"/>
    <x v="0"/>
    <x v="2"/>
    <s v="Product C"/>
    <n v="16"/>
    <n v="344"/>
    <n v="120400"/>
    <n v="19264"/>
    <n v="49"/>
    <d v="2022-10-01T00:00:00"/>
    <n v="6.0648541450432001E-4"/>
  </r>
  <r>
    <n v="11431"/>
    <n v="2022"/>
    <s v="dezembro"/>
    <d v="2022-12-01T00:00:00"/>
    <x v="2"/>
    <x v="2"/>
    <s v="Product E"/>
    <n v="5"/>
    <n v="88"/>
    <n v="66000"/>
    <n v="12540"/>
    <n v="49"/>
    <d v="2022-10-01T00:00:00"/>
    <n v="3.3245878203725201E-4"/>
  </r>
  <r>
    <n v="11432"/>
    <n v="2022"/>
    <s v="dezembro"/>
    <d v="2022-12-02T00:00:00"/>
    <x v="4"/>
    <x v="1"/>
    <s v="Product A"/>
    <n v="4"/>
    <n v="294"/>
    <n v="147000"/>
    <n v="42630"/>
    <n v="49"/>
    <d v="2022-10-01T00:00:00"/>
    <n v="7.4047637817388002E-4"/>
  </r>
  <r>
    <n v="11433"/>
    <n v="2022"/>
    <s v="dezembro"/>
    <d v="2022-12-03T00:00:00"/>
    <x v="2"/>
    <x v="0"/>
    <s v="Product E"/>
    <n v="10"/>
    <n v="336"/>
    <n v="252000"/>
    <n v="75600"/>
    <n v="49"/>
    <d v="2022-10-01T00:00:00"/>
    <n v="1.2693880768695101E-3"/>
  </r>
  <r>
    <n v="11434"/>
    <n v="2022"/>
    <s v="dezembro"/>
    <d v="2022-12-04T00:00:00"/>
    <x v="2"/>
    <x v="1"/>
    <s v="Product B"/>
    <n v="26"/>
    <n v="271"/>
    <n v="67750"/>
    <n v="25745"/>
    <n v="50"/>
    <d v="2022-10-01T00:00:00"/>
    <n v="3.4127397701551202E-4"/>
  </r>
  <r>
    <n v="11435"/>
    <n v="2022"/>
    <s v="dezembro"/>
    <d v="2022-12-05T00:00:00"/>
    <x v="2"/>
    <x v="1"/>
    <s v="Product B"/>
    <n v="8"/>
    <n v="347"/>
    <n v="86750"/>
    <n v="13012.5"/>
    <n v="50"/>
    <d v="2022-10-01T00:00:00"/>
    <n v="4.3698180820805497E-4"/>
  </r>
  <r>
    <n v="11436"/>
    <n v="2022"/>
    <s v="dezembro"/>
    <d v="2022-12-06T00:00:00"/>
    <x v="0"/>
    <x v="2"/>
    <s v="Product D"/>
    <n v="39"/>
    <n v="450"/>
    <n v="382500"/>
    <n v="42075"/>
    <n v="50"/>
    <d v="2022-10-01T00:00:00"/>
    <n v="1.9267497595340699E-3"/>
  </r>
  <r>
    <n v="11437"/>
    <n v="2022"/>
    <s v="dezembro"/>
    <d v="2022-12-07T00:00:00"/>
    <x v="1"/>
    <x v="0"/>
    <s v="Product B"/>
    <n v="2"/>
    <n v="74"/>
    <n v="18500"/>
    <n v="7585"/>
    <n v="50"/>
    <d v="2022-10-01T00:00:00"/>
    <n v="9.3189204055896398E-5"/>
  </r>
  <r>
    <n v="11438"/>
    <n v="2022"/>
    <s v="dezembro"/>
    <d v="2022-12-08T00:00:00"/>
    <x v="1"/>
    <x v="3"/>
    <s v="Product A"/>
    <n v="18"/>
    <n v="183"/>
    <n v="91500"/>
    <n v="29280"/>
    <n v="50"/>
    <d v="2022-10-01T00:00:00"/>
    <n v="4.6090876600619001E-4"/>
  </r>
  <r>
    <n v="11439"/>
    <n v="2022"/>
    <s v="dezembro"/>
    <d v="2022-12-09T00:00:00"/>
    <x v="1"/>
    <x v="2"/>
    <s v="Product A"/>
    <n v="5"/>
    <n v="55"/>
    <n v="27500"/>
    <n v="4675"/>
    <n v="50"/>
    <d v="2022-10-01T00:00:00"/>
    <n v="1.38524492515522E-4"/>
  </r>
  <r>
    <n v="11440"/>
    <n v="2022"/>
    <s v="dezembro"/>
    <d v="2022-12-10T00:00:00"/>
    <x v="2"/>
    <x v="2"/>
    <s v="Product D"/>
    <n v="37"/>
    <n v="479"/>
    <n v="407150"/>
    <n v="126216.5"/>
    <n v="50"/>
    <d v="2022-10-01T00:00:00"/>
    <n v="2.0509180773707102E-3"/>
  </r>
  <r>
    <n v="11441"/>
    <n v="2022"/>
    <s v="dezembro"/>
    <d v="2022-12-11T00:00:00"/>
    <x v="3"/>
    <x v="1"/>
    <s v="Product C"/>
    <n v="5"/>
    <n v="63"/>
    <n v="22050"/>
    <n v="7717.4999999999991"/>
    <n v="51"/>
    <d v="2022-10-01T00:00:00"/>
    <n v="1.11071456726082E-4"/>
  </r>
  <r>
    <n v="11442"/>
    <n v="2022"/>
    <s v="dezembro"/>
    <d v="2022-12-12T00:00:00"/>
    <x v="4"/>
    <x v="4"/>
    <s v="Product E"/>
    <n v="8"/>
    <n v="166"/>
    <n v="124500"/>
    <n v="56025"/>
    <n v="51"/>
    <d v="2022-10-01T00:00:00"/>
    <n v="6.2713815702481596E-4"/>
  </r>
  <r>
    <n v="11443"/>
    <n v="2022"/>
    <s v="dezembro"/>
    <d v="2022-12-13T00:00:00"/>
    <x v="1"/>
    <x v="2"/>
    <s v="Product A"/>
    <n v="1"/>
    <n v="70"/>
    <n v="35000"/>
    <n v="4550"/>
    <n v="51"/>
    <d v="2022-10-01T00:00:00"/>
    <n v="1.7630389956520899E-4"/>
  </r>
  <r>
    <n v="11444"/>
    <n v="2022"/>
    <s v="dezembro"/>
    <d v="2022-12-14T00:00:00"/>
    <x v="4"/>
    <x v="2"/>
    <s v="Product A"/>
    <n v="19"/>
    <n v="474"/>
    <n v="237000"/>
    <n v="92430"/>
    <n v="51"/>
    <d v="2022-10-01T00:00:00"/>
    <n v="1.1938292627701301E-3"/>
  </r>
  <r>
    <n v="11445"/>
    <n v="2022"/>
    <s v="dezembro"/>
    <d v="2022-12-15T00:00:00"/>
    <x v="3"/>
    <x v="1"/>
    <s v="Product E"/>
    <n v="8"/>
    <n v="166"/>
    <n v="124500"/>
    <n v="43575"/>
    <n v="51"/>
    <d v="2022-10-01T00:00:00"/>
    <n v="6.2713815702481596E-4"/>
  </r>
  <r>
    <n v="11446"/>
    <n v="2022"/>
    <s v="dezembro"/>
    <d v="2022-12-16T00:00:00"/>
    <x v="1"/>
    <x v="3"/>
    <s v="Product A"/>
    <n v="3"/>
    <n v="45"/>
    <n v="22500"/>
    <n v="7200"/>
    <n v="51"/>
    <d v="2022-10-01T00:00:00"/>
    <n v="1.13338221149063E-4"/>
  </r>
  <r>
    <n v="11447"/>
    <n v="2022"/>
    <s v="dezembro"/>
    <d v="2022-12-17T00:00:00"/>
    <x v="1"/>
    <x v="4"/>
    <s v="Product D"/>
    <n v="25"/>
    <n v="255"/>
    <n v="216750"/>
    <n v="49852.5"/>
    <n v="51"/>
    <d v="2022-10-01T00:00:00"/>
    <n v="1.09182486373598E-3"/>
  </r>
  <r>
    <n v="11448"/>
    <n v="2022"/>
    <s v="dezembro"/>
    <d v="2022-12-18T00:00:00"/>
    <x v="3"/>
    <x v="4"/>
    <s v="Product E"/>
    <n v="7"/>
    <n v="288"/>
    <n v="216000"/>
    <n v="66960"/>
    <n v="52"/>
    <d v="2022-10-01T00:00:00"/>
    <n v="1.08804692303101E-3"/>
  </r>
  <r>
    <n v="11449"/>
    <n v="2022"/>
    <s v="dezembro"/>
    <d v="2022-12-19T00:00:00"/>
    <x v="4"/>
    <x v="1"/>
    <s v="Product D"/>
    <n v="8"/>
    <n v="269"/>
    <n v="228650"/>
    <n v="43443.5"/>
    <n v="52"/>
    <d v="2022-10-01T00:00:00"/>
    <n v="1.1517681895881499E-3"/>
  </r>
  <r>
    <n v="11450"/>
    <n v="2022"/>
    <s v="dezembro"/>
    <d v="2022-12-20T00:00:00"/>
    <x v="4"/>
    <x v="2"/>
    <s v="Product C"/>
    <n v="7"/>
    <n v="295"/>
    <n v="103250"/>
    <n v="43365"/>
    <n v="52"/>
    <d v="2022-10-01T00:00:00"/>
    <n v="5.20096503717368E-4"/>
  </r>
  <r>
    <n v="11451"/>
    <n v="2022"/>
    <s v="dezembro"/>
    <d v="2022-12-21T00:00:00"/>
    <x v="4"/>
    <x v="4"/>
    <s v="Product E"/>
    <n v="11"/>
    <n v="114"/>
    <n v="85500"/>
    <n v="34200"/>
    <n v="52"/>
    <d v="2022-10-01T00:00:00"/>
    <n v="4.3068524036644001E-4"/>
  </r>
  <r>
    <n v="11452"/>
    <n v="2022"/>
    <s v="dezembro"/>
    <d v="2022-12-22T00:00:00"/>
    <x v="2"/>
    <x v="4"/>
    <s v="Product C"/>
    <n v="29"/>
    <n v="456"/>
    <n v="159600"/>
    <n v="35112"/>
    <n v="52"/>
    <d v="2022-10-01T00:00:00"/>
    <n v="8.0394578201735498E-4"/>
  </r>
  <r>
    <n v="11453"/>
    <n v="2022"/>
    <s v="dezembro"/>
    <d v="2022-12-23T00:00:00"/>
    <x v="3"/>
    <x v="3"/>
    <s v="Product D"/>
    <n v="4"/>
    <n v="176"/>
    <n v="149600"/>
    <n v="59840"/>
    <n v="52"/>
    <d v="2022-10-01T00:00:00"/>
    <n v="7.5357323928443797E-4"/>
  </r>
  <r>
    <n v="11454"/>
    <n v="2022"/>
    <s v="dezembro"/>
    <d v="2022-12-24T00:00:00"/>
    <x v="4"/>
    <x v="2"/>
    <s v="Product A"/>
    <n v="16"/>
    <n v="301"/>
    <n v="150500"/>
    <n v="61704.999999999993"/>
    <n v="52"/>
    <d v="2022-10-01T00:00:00"/>
    <n v="7.5810676813040003E-4"/>
  </r>
  <r>
    <n v="11455"/>
    <n v="2022"/>
    <s v="dezembro"/>
    <d v="2022-12-25T00:00:00"/>
    <x v="1"/>
    <x v="1"/>
    <s v="Product C"/>
    <n v="14"/>
    <n v="499"/>
    <n v="174650"/>
    <n v="55888"/>
    <n v="53"/>
    <d v="2022-10-01T00:00:00"/>
    <n v="8.7975645883039499E-4"/>
  </r>
  <r>
    <n v="11456"/>
    <n v="2022"/>
    <s v="dezembro"/>
    <d v="2022-12-26T00:00:00"/>
    <x v="2"/>
    <x v="0"/>
    <s v="Product D"/>
    <n v="6"/>
    <n v="284"/>
    <n v="241400"/>
    <n v="79662"/>
    <n v="53"/>
    <d v="2022-10-01T00:00:00"/>
    <n v="1.2159931815726201E-3"/>
  </r>
  <r>
    <n v="11457"/>
    <n v="2022"/>
    <s v="dezembro"/>
    <d v="2022-12-27T00:00:00"/>
    <x v="0"/>
    <x v="1"/>
    <s v="Product A"/>
    <n v="13"/>
    <n v="235"/>
    <n v="117500"/>
    <n v="21150"/>
    <n v="53"/>
    <d v="2022-10-01T00:00:00"/>
    <n v="5.9187737711177398E-4"/>
  </r>
  <r>
    <n v="11458"/>
    <n v="2022"/>
    <s v="dezembro"/>
    <d v="2022-12-28T00:00:00"/>
    <x v="3"/>
    <x v="3"/>
    <s v="Product A"/>
    <n v="39"/>
    <n v="439"/>
    <n v="219500"/>
    <n v="41705"/>
    <n v="53"/>
    <d v="2022-10-01T00:00:00"/>
    <n v="1.10567731298753E-3"/>
  </r>
  <r>
    <n v="11459"/>
    <n v="2022"/>
    <s v="dezembro"/>
    <d v="2022-12-29T00:00:00"/>
    <x v="3"/>
    <x v="2"/>
    <s v="Product D"/>
    <n v="4"/>
    <n v="59"/>
    <n v="50150"/>
    <n v="18555.5"/>
    <n v="53"/>
    <d v="2022-10-01T00:00:00"/>
    <n v="2.5261830180557898E-4"/>
  </r>
  <r>
    <n v="11460"/>
    <n v="2022"/>
    <s v="dezembro"/>
    <d v="2022-12-30T00:00:00"/>
    <x v="3"/>
    <x v="1"/>
    <s v="Product C"/>
    <n v="13"/>
    <n v="294"/>
    <n v="102900"/>
    <n v="45276"/>
    <n v="53"/>
    <d v="2022-10-01T00:00:00"/>
    <n v="5.1833346472171602E-4"/>
  </r>
  <r>
    <n v="11461"/>
    <n v="2022"/>
    <s v="dezembro"/>
    <d v="2022-12-31T00:00:00"/>
    <x v="1"/>
    <x v="0"/>
    <s v="Product D"/>
    <n v="1"/>
    <n v="50"/>
    <n v="42500"/>
    <n v="18275"/>
    <n v="53"/>
    <d v="2022-10-01T00:00:00"/>
    <n v="2.14083306614897E-4"/>
  </r>
  <r>
    <m/>
    <m/>
    <m/>
    <m/>
    <x v="5"/>
    <x v="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4EDDFA-C9D9-4A12-84AB-CCB82E9938C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D16" firstHeaderRow="1" firstDataRow="1" firstDataCol="1"/>
  <pivotFields count="17">
    <pivotField showAll="0"/>
    <pivotField axis="axisRow" showAll="0">
      <items count="5">
        <item x="0"/>
        <item x="1"/>
        <item x="2"/>
        <item x="3"/>
        <item t="default"/>
      </items>
    </pivotField>
    <pivotField showAll="0"/>
    <pivotField numFmtId="14"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showAll="0">
      <items count="6">
        <item x="0"/>
        <item x="1"/>
        <item x="2"/>
        <item x="3"/>
        <item x="4"/>
        <item t="default"/>
      </items>
    </pivotField>
    <pivotField showAll="0">
      <items count="6">
        <item x="1"/>
        <item x="2"/>
        <item x="4"/>
        <item x="3"/>
        <item x="0"/>
        <item t="default"/>
      </items>
    </pivotField>
    <pivotField numFmtId="1" showAll="0"/>
    <pivotField numFmtId="1" showAll="0"/>
    <pivotField dataField="1" numFmtId="44" showAll="0"/>
    <pivotField numFmtId="4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5">
    <i>
      <x/>
    </i>
    <i>
      <x v="1"/>
    </i>
    <i>
      <x v="2"/>
    </i>
    <i>
      <x v="3"/>
    </i>
    <i t="grand">
      <x/>
    </i>
  </rowItems>
  <colItems count="1">
    <i/>
  </colItems>
  <dataFields count="1">
    <dataField name="Total_Revenue" fld="9" baseField="1"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348F6D-7EFD-422C-A13A-AD665EA21F2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2022 Month">
  <location ref="L2:M15" firstHeaderRow="1" firstDataRow="1" firstDataCol="1"/>
  <pivotFields count="17">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numFmtId="14"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showAll="0">
      <items count="6">
        <item x="0"/>
        <item x="1"/>
        <item x="2"/>
        <item x="3"/>
        <item x="4"/>
        <item t="default"/>
      </items>
    </pivotField>
    <pivotField showAll="0">
      <items count="6">
        <item x="1"/>
        <item x="2"/>
        <item x="4"/>
        <item x="3"/>
        <item x="0"/>
        <item t="default"/>
      </items>
    </pivotField>
    <pivotField numFmtId="1" showAll="0"/>
    <pivotField numFmtId="1" showAll="0"/>
    <pivotField dataField="1" numFmtId="44" showAll="0"/>
    <pivotField numFmtId="4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h="1" sd="0" x="1"/>
        <item h="1" sd="0" x="2"/>
        <item h="1" sd="0" x="3"/>
        <item sd="0" x="4"/>
        <item h="1" sd="0" x="5"/>
        <item h="1" sd="0" x="6"/>
        <item t="default"/>
      </items>
    </pivotField>
  </pivotFields>
  <rowFields count="2">
    <field x="14"/>
    <field x="16"/>
  </rowFields>
  <rowItems count="13">
    <i>
      <x v="1"/>
    </i>
    <i>
      <x v="2"/>
    </i>
    <i>
      <x v="3"/>
    </i>
    <i>
      <x v="4"/>
    </i>
    <i>
      <x v="5"/>
    </i>
    <i>
      <x v="6"/>
    </i>
    <i>
      <x v="7"/>
    </i>
    <i>
      <x v="8"/>
    </i>
    <i>
      <x v="9"/>
    </i>
    <i>
      <x v="10"/>
    </i>
    <i>
      <x v="11"/>
    </i>
    <i>
      <x v="12"/>
    </i>
    <i t="grand">
      <x/>
    </i>
  </rowItems>
  <colItems count="1">
    <i/>
  </colItems>
  <dataFields count="1">
    <dataField name="Total_Revenue" fld="9" baseField="14" baseItem="1"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D780E5-B90A-4E0E-A010-9C74C932C9A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8:D34" firstHeaderRow="1" firstDataRow="1" firstDataCol="1"/>
  <pivotFields count="17">
    <pivotField showAll="0"/>
    <pivotField showAll="0">
      <items count="5">
        <item x="0"/>
        <item x="1"/>
        <item x="2"/>
        <item x="3"/>
        <item t="default"/>
      </items>
    </pivotField>
    <pivotField showAll="0"/>
    <pivotField numFmtId="14"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pivotField axis="axisRow" showAll="0">
      <items count="6">
        <item x="0"/>
        <item x="1"/>
        <item x="2"/>
        <item x="3"/>
        <item x="4"/>
        <item t="default"/>
      </items>
    </pivotField>
    <pivotField showAll="0">
      <items count="6">
        <item x="1"/>
        <item x="2"/>
        <item x="4"/>
        <item x="3"/>
        <item x="0"/>
        <item t="default"/>
      </items>
    </pivotField>
    <pivotField numFmtId="1" showAll="0"/>
    <pivotField numFmtId="1" showAll="0"/>
    <pivotField dataField="1" numFmtId="44" showAll="0"/>
    <pivotField numFmtId="44"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5"/>
  </rowFields>
  <rowItems count="6">
    <i>
      <x/>
    </i>
    <i>
      <x v="1"/>
    </i>
    <i>
      <x v="2"/>
    </i>
    <i>
      <x v="3"/>
    </i>
    <i>
      <x v="4"/>
    </i>
    <i t="grand">
      <x/>
    </i>
  </rowItems>
  <colItems count="1">
    <i/>
  </colItems>
  <dataFields count="1">
    <dataField name="Sum of Sales Amount" fld="9"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E770E8-12B2-4B52-A72B-64D3342ACE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19:E25" firstHeaderRow="0" firstDataRow="1" firstDataCol="1"/>
  <pivotFields count="17">
    <pivotField showAll="0"/>
    <pivotField showAll="0">
      <items count="5">
        <item x="0"/>
        <item x="1"/>
        <item x="2"/>
        <item x="3"/>
        <item t="default"/>
      </items>
    </pivotField>
    <pivotField showAll="0"/>
    <pivotField numFmtId="14"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showAll="0">
      <items count="6">
        <item x="0"/>
        <item x="1"/>
        <item x="2"/>
        <item x="3"/>
        <item x="4"/>
        <item t="default"/>
      </items>
    </pivotField>
    <pivotField axis="axisRow" showAll="0">
      <items count="6">
        <item x="1"/>
        <item x="2"/>
        <item x="4"/>
        <item x="3"/>
        <item x="0"/>
        <item t="default"/>
      </items>
    </pivotField>
    <pivotField numFmtId="1" showAll="0"/>
    <pivotField numFmtId="1" showAll="0"/>
    <pivotField dataField="1" numFmtId="44" showAll="0"/>
    <pivotField dataField="1" numFmtId="4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6">
    <i>
      <x/>
    </i>
    <i>
      <x v="1"/>
    </i>
    <i>
      <x v="2"/>
    </i>
    <i>
      <x v="3"/>
    </i>
    <i>
      <x v="4"/>
    </i>
    <i t="grand">
      <x/>
    </i>
  </rowItems>
  <colFields count="1">
    <field x="-2"/>
  </colFields>
  <colItems count="2">
    <i>
      <x/>
    </i>
    <i i="1">
      <x v="1"/>
    </i>
  </colItems>
  <dataFields count="2">
    <dataField name="Total_Revenue" fld="9" baseField="6" baseItem="0" numFmtId="44"/>
    <dataField name="Total_Profit" fld="10" baseField="6"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AF6C10-C82A-4E5E-A283-ED5E2016F4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7">
    <pivotField showAll="0"/>
    <pivotField showAll="0">
      <items count="5">
        <item x="0"/>
        <item x="1"/>
        <item x="2"/>
        <item x="3"/>
        <item t="default"/>
      </items>
    </pivotField>
    <pivotField showAll="0"/>
    <pivotField numFmtId="14"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showAll="0">
      <items count="6">
        <item x="0"/>
        <item x="1"/>
        <item x="2"/>
        <item x="3"/>
        <item x="4"/>
        <item t="default"/>
      </items>
    </pivotField>
    <pivotField showAll="0">
      <items count="6">
        <item x="1"/>
        <item x="2"/>
        <item x="4"/>
        <item x="3"/>
        <item x="0"/>
        <item t="default"/>
      </items>
    </pivotField>
    <pivotField numFmtId="1" showAll="0"/>
    <pivotField numFmtId="1" showAll="0"/>
    <pivotField dataField="1" numFmtId="44" showAll="0"/>
    <pivotField numFmtId="4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Total_Revenue" fld="9" baseField="0" baseItem="0" numFmtId="4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A9E226-35E1-4544-9F79-D6728A343C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I2:J8" firstHeaderRow="1" firstDataRow="1" firstDataCol="1"/>
  <pivotFields count="17">
    <pivotField showAll="0"/>
    <pivotField showAll="0">
      <items count="5">
        <item x="0"/>
        <item x="1"/>
        <item x="2"/>
        <item x="3"/>
        <item t="default"/>
      </items>
    </pivotField>
    <pivotField showAll="0"/>
    <pivotField numFmtId="14"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showAll="0">
      <items count="6">
        <item x="0"/>
        <item x="1"/>
        <item x="2"/>
        <item x="3"/>
        <item x="4"/>
        <item t="default"/>
      </items>
    </pivotField>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44" showAll="0"/>
    <pivotField dataField="1" numFmtId="4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6">
    <i>
      <x v="3"/>
    </i>
    <i>
      <x v="4"/>
    </i>
    <i>
      <x/>
    </i>
    <i>
      <x v="2"/>
    </i>
    <i>
      <x v="1"/>
    </i>
    <i t="grand">
      <x/>
    </i>
  </rowItems>
  <colItems count="1">
    <i/>
  </colItems>
  <dataFields count="1">
    <dataField name="Total_Profit" fld="10" baseField="6" baseItem="3"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B73265-964E-4397-8D98-845030BC54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Region">
  <location ref="E2:F8" firstHeaderRow="1" firstDataRow="1" firstDataCol="1"/>
  <pivotFields count="17">
    <pivotField showAll="0"/>
    <pivotField showAll="0">
      <items count="5">
        <item x="0"/>
        <item x="1"/>
        <item x="2"/>
        <item x="3"/>
        <item t="default"/>
      </items>
    </pivotField>
    <pivotField showAll="0"/>
    <pivotField numFmtId="14"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axis="axisRow" showAll="0" sortType="descending">
      <items count="6">
        <item x="2"/>
        <item x="1"/>
        <item x="3"/>
        <item x="4"/>
        <item x="0"/>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showAll="0">
      <items count="6">
        <item x="1"/>
        <item x="2"/>
        <item x="4"/>
        <item x="3"/>
        <item x="0"/>
        <item t="default"/>
      </items>
    </pivotField>
    <pivotField numFmtId="1" showAll="0"/>
    <pivotField numFmtId="1" showAll="0"/>
    <pivotField dataField="1" numFmtId="44" showAll="0"/>
    <pivotField numFmtId="4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v="2"/>
    </i>
    <i>
      <x v="1"/>
    </i>
    <i>
      <x v="4"/>
    </i>
    <i>
      <x/>
    </i>
    <i>
      <x v="3"/>
    </i>
    <i t="grand">
      <x/>
    </i>
  </rowItems>
  <colItems count="1">
    <i/>
  </colItems>
  <dataFields count="1">
    <dataField name="Total_Revenue" fld="9" showDataAs="percentOfTotal" baseField="4" baseItem="3" numFmtId="10"/>
  </dataFields>
  <chartFormats count="2">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63DB4B-1C30-487F-B0D6-1B030EF7541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7:P33" firstHeaderRow="1" firstDataRow="1" firstDataCol="1"/>
  <pivotFields count="14">
    <pivotField showAll="0"/>
    <pivotField showAll="0"/>
    <pivotField showAll="0"/>
    <pivotField showAll="0"/>
    <pivotField showAll="0">
      <items count="7">
        <item x="2"/>
        <item x="1"/>
        <item x="3"/>
        <item x="4"/>
        <item x="0"/>
        <item h="1" x="5"/>
        <item t="default"/>
      </items>
    </pivotField>
    <pivotField axis="axisRow" showAll="0">
      <items count="7">
        <item x="0"/>
        <item x="1"/>
        <item x="2"/>
        <item x="3"/>
        <item x="4"/>
        <item h="1" x="5"/>
        <item t="default"/>
      </items>
    </pivotField>
    <pivotField showAll="0"/>
    <pivotField showAll="0"/>
    <pivotField showAll="0"/>
    <pivotField showAll="0"/>
    <pivotField showAll="0"/>
    <pivotField showAll="0"/>
    <pivotField showAll="0"/>
    <pivotField dataField="1" showAll="0"/>
  </pivotFields>
  <rowFields count="1">
    <field x="5"/>
  </rowFields>
  <rowItems count="6">
    <i>
      <x/>
    </i>
    <i>
      <x v="1"/>
    </i>
    <i>
      <x v="2"/>
    </i>
    <i>
      <x v="3"/>
    </i>
    <i>
      <x v="4"/>
    </i>
    <i t="grand">
      <x/>
    </i>
  </rowItems>
  <colItems count="1">
    <i/>
  </colItems>
  <dataFields count="1">
    <dataField name="Sales_%" fld="13" baseField="4" baseItem="0" numFmtId="9"/>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62695C-756A-44EC-A168-9B3A6AD9BE1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7:E43" firstHeaderRow="0" firstDataRow="1" firstDataCol="1"/>
  <pivotFields count="17">
    <pivotField showAll="0"/>
    <pivotField showAll="0"/>
    <pivotField showAll="0"/>
    <pivotField numFmtId="14"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pivotField axis="axisRow" showAll="0">
      <items count="6">
        <item x="0"/>
        <item x="1"/>
        <item x="2"/>
        <item x="3"/>
        <item x="4"/>
        <item t="default"/>
      </items>
    </pivotField>
    <pivotField showAll="0"/>
    <pivotField numFmtId="1" showAll="0"/>
    <pivotField numFmtId="1" showAll="0"/>
    <pivotField dataField="1" numFmtId="44" showAll="0"/>
    <pivotField dataField="1" numFmtId="44"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5"/>
  </rowFields>
  <rowItems count="6">
    <i>
      <x/>
    </i>
    <i>
      <x v="1"/>
    </i>
    <i>
      <x v="2"/>
    </i>
    <i>
      <x v="3"/>
    </i>
    <i>
      <x v="4"/>
    </i>
    <i t="grand">
      <x/>
    </i>
  </rowItems>
  <colFields count="1">
    <field x="-2"/>
  </colFields>
  <colItems count="2">
    <i>
      <x/>
    </i>
    <i i="1">
      <x v="1"/>
    </i>
  </colItems>
  <dataFields count="2">
    <dataField name="Total_Sales_Amount" fld="9" baseField="5" baseItem="0" numFmtId="44"/>
    <dataField name="Total_ Profit" fld="10" baseField="5"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5D36F9-3F51-4B30-848A-EC8F1BD203B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8:N23" firstHeaderRow="0" firstDataRow="1" firstDataCol="1"/>
  <pivotFields count="17">
    <pivotField showAll="0"/>
    <pivotField showAll="0">
      <items count="5">
        <item x="0"/>
        <item x="1"/>
        <item x="2"/>
        <item x="3"/>
        <item t="default"/>
      </items>
    </pivotField>
    <pivotField showAll="0"/>
    <pivotField axis="axisRow" numFmtId="14"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6">
        <item x="1"/>
        <item x="2"/>
        <item x="4"/>
        <item x="3"/>
        <item x="0"/>
        <item t="default"/>
      </items>
    </pivotField>
    <pivotField numFmtId="1" showAll="0"/>
    <pivotField numFmtId="1" showAll="0"/>
    <pivotField dataField="1" numFmtId="44" showAll="0"/>
    <pivotField numFmtId="44"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4">
    <field x="16"/>
    <field x="15"/>
    <field x="14"/>
    <field x="3"/>
  </rowFields>
  <rowItems count="5">
    <i>
      <x v="1"/>
    </i>
    <i>
      <x v="2"/>
    </i>
    <i>
      <x v="3"/>
    </i>
    <i>
      <x v="4"/>
    </i>
    <i t="grand">
      <x/>
    </i>
  </rowItems>
  <colFields count="1">
    <field x="-2"/>
  </colFields>
  <colItems count="2">
    <i>
      <x/>
    </i>
    <i i="1">
      <x v="1"/>
    </i>
  </colItems>
  <dataFields count="2">
    <dataField name="Sum of Sales Amount" fld="9" baseField="0" baseItem="0" numFmtId="44"/>
    <dataField name="Sales_%" fld="9" showDataAs="percentOfTotal" baseField="16" baseItem="1" numFmtId="10"/>
  </dataFields>
  <chartFormats count="2">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F43355-D3C7-40F7-812A-52A482247D6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7:M33" firstHeaderRow="1" firstDataRow="1" firstDataCol="1"/>
  <pivotFields count="14">
    <pivotField showAll="0"/>
    <pivotField showAll="0"/>
    <pivotField showAll="0"/>
    <pivotField showAll="0"/>
    <pivotField axis="axisRow" showAll="0">
      <items count="7">
        <item x="2"/>
        <item x="1"/>
        <item x="3"/>
        <item x="4"/>
        <item x="0"/>
        <item h="1" x="5"/>
        <item t="default"/>
      </items>
    </pivotField>
    <pivotField showAll="0"/>
    <pivotField showAll="0"/>
    <pivotField showAll="0"/>
    <pivotField showAll="0"/>
    <pivotField showAll="0"/>
    <pivotField showAll="0"/>
    <pivotField showAll="0"/>
    <pivotField showAll="0"/>
    <pivotField dataField="1" showAll="0"/>
  </pivotFields>
  <rowFields count="1">
    <field x="4"/>
  </rowFields>
  <rowItems count="6">
    <i>
      <x/>
    </i>
    <i>
      <x v="1"/>
    </i>
    <i>
      <x v="2"/>
    </i>
    <i>
      <x v="3"/>
    </i>
    <i>
      <x v="4"/>
    </i>
    <i t="grand">
      <x/>
    </i>
  </rowItems>
  <colItems count="1">
    <i/>
  </colItems>
  <dataFields count="1">
    <dataField name="Sales_%" fld="13" baseField="4" baseItem="0" numFmtId="9"/>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4F79B02-1218-460C-B44B-213480757AB3}" autoFormatId="16" applyNumberFormats="0" applyBorderFormats="0" applyFontFormats="0" applyPatternFormats="0" applyAlignmentFormats="0" applyWidthHeightFormats="0">
  <queryTableRefresh nextId="23" unboundColumnsRight="4">
    <queryTableFields count="18">
      <queryTableField id="1" name="Order ID" tableColumnId="1"/>
      <queryTableField id="2" name="Year" tableColumnId="2"/>
      <queryTableField id="12" name="Month Name" tableColumnId="12"/>
      <queryTableField id="4" name="Date" tableColumnId="4"/>
      <queryTableField id="5" name="Country" tableColumnId="5"/>
      <queryTableField id="6" name="Sales Manager" tableColumnId="6"/>
      <queryTableField id="7" name="Product Name" tableColumnId="7"/>
      <queryTableField id="8" name="Total Transations" tableColumnId="8"/>
      <queryTableField id="9" name="Quantity Sold" tableColumnId="9"/>
      <queryTableField id="10" name="Sales Amount" tableColumnId="10"/>
      <queryTableField id="11" name="Total Profit" tableColumnId="11"/>
      <queryTableField id="20" name="Week of Year" tableColumnId="14"/>
      <queryTableField id="21" name="Start of Quarter" tableColumnId="3"/>
      <queryTableField id="22" name="Custom" tableColumnId="18"/>
      <queryTableField id="17" dataBound="0" tableColumnId="16"/>
      <queryTableField id="18" dataBound="0" tableColumnId="17"/>
      <queryTableField id="14" dataBound="0" tableColumnId="13"/>
      <queryTableField id="16"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57E2BE8-8BA2-46B1-9529-F425CBE84FE2}" sourceName="Year">
  <pivotTables>
    <pivotTable tabId="3" name="PivotTable2"/>
    <pivotTable tabId="3" name="PivotTable1"/>
    <pivotTable tabId="3" name="PivotTable3"/>
    <pivotTable tabId="3" name="PivotTable4"/>
    <pivotTable tabId="3" name="PivotTable5"/>
    <pivotTable tabId="3" name="PivotTable6"/>
    <pivotTable tabId="3" name="PivotTable8"/>
    <pivotTable tabId="3" name="PivotTable7"/>
  </pivotTables>
  <data>
    <tabular pivotCacheId="96898845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B8CC638-EFF5-4FB7-BE26-9DF41D126BFA}" sourceName="Product Name">
  <pivotTables>
    <pivotTable tabId="3" name="PivotTable2"/>
    <pivotTable tabId="3" name="PivotTable1"/>
    <pivotTable tabId="3" name="PivotTable3"/>
    <pivotTable tabId="3" name="PivotTable4"/>
    <pivotTable tabId="3" name="PivotTable5"/>
    <pivotTable tabId="3" name="PivotTable6"/>
    <pivotTable tabId="3" name="PivotTable8"/>
    <pivotTable tabId="3" name="PivotTable7"/>
  </pivotTables>
  <data>
    <tabular pivotCacheId="968988454">
      <items count="5">
        <i x="1" s="1"/>
        <i x="2"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anager" xr10:uid="{D3DB6D3A-28DA-429E-BD62-5D75BBE598B0}" sourceName="Sales Manager">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968988454">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06524CD7-DF04-4E20-BCD1-10908C74CD50}" cache="Slicer_Year1" caption="Year" rowHeight="241300"/>
  <slicer name="Product Name 1" xr10:uid="{E1932A56-D686-402F-B162-CC867A7FD0FA}" cache="Slicer_Product_Name" caption="Product Name" rowHeight="241300"/>
  <slicer name="Sales Manager" xr10:uid="{8C03E5AE-F74F-41A0-9ED2-979BE0199804}" cache="Slicer_Sales_Manager" caption="Sales Manag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82E5DDB-D3B3-4D45-8542-EFAE18E6E7F4}" cache="Slicer_Year1" caption="Year" rowHeight="241300"/>
  <slicer name="Product Name" xr10:uid="{6CF4032A-25C4-47C3-8706-68F080C613DA}" cache="Slicer_Product_Name" caption="Product Name"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DD81A2-E6B3-4E16-90AA-50E3178815BA}" name="Table2" displayName="Table2" ref="A1:E6" totalsRowShown="0">
  <autoFilter ref="A1:E6" xr:uid="{A0DD81A2-E6B3-4E16-90AA-50E3178815BA}"/>
  <tableColumns count="5">
    <tableColumn id="1" xr3:uid="{1AF61149-91E0-47AD-AFF6-66B7709C14DF}" name="YoY Growth"/>
    <tableColumn id="2" xr3:uid="{5A4F2206-E7EA-4996-B6C4-42ABA754068C}" name="Values"/>
    <tableColumn id="3" xr3:uid="{ECD72063-D9DD-4C32-91F1-9A1BAE13FB13}" name="Forecast"/>
    <tableColumn id="4" xr3:uid="{47EFCA0F-2D54-4D8B-895B-1099B722CD7B}" name="Lower Confidence Bound"/>
    <tableColumn id="5" xr3:uid="{7F9C8706-991E-47AE-BB8B-D714F35175A4}" name="Upper Confidence Boun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E95520-7139-4518-8767-AC02E0A72C18}" name="Table3" displayName="Table3" ref="A1:E21" totalsRowShown="0">
  <autoFilter ref="A1:E21" xr:uid="{FBE95520-7139-4518-8767-AC02E0A72C18}"/>
  <tableColumns count="5">
    <tableColumn id="1" xr3:uid="{26A1CFCE-B98E-4DA7-A8F0-4CE617FD157B}" name="Start of Quarter" dataDxfId="18"/>
    <tableColumn id="2" xr3:uid="{C86EDBFF-4433-4130-8DD4-B9F818B193FA}" name=" Sales Amount "/>
    <tableColumn id="3" xr3:uid="{D5A2251F-E3F4-4433-B7B3-4EBE82B29730}" name="Forecast( Sales Amount )" dataDxfId="17">
      <calculatedColumnFormula>_xlfn.FORECAST.ETS(A2,$B$2:$B$17,$A$2:$A$17,2,1)</calculatedColumnFormula>
    </tableColumn>
    <tableColumn id="4" xr3:uid="{FC3B663D-C7C9-4DB2-83CE-356BF4CAC836}" name="Lower Confidence Bound( Sales Amount )" dataDxfId="16">
      <calculatedColumnFormula>C2-_xlfn.FORECAST.ETS.CONFINT(A2,$B$2:$B$17,$A$2:$A$17,0.95,2,1)</calculatedColumnFormula>
    </tableColumn>
    <tableColumn id="5" xr3:uid="{27810E3B-3FC3-4111-B9FD-95E65495A9A4}" name="Upper Confidence Bound( Sales Amount )" dataDxfId="15">
      <calculatedColumnFormula>C2+_xlfn.FORECAST.ETS.CONFINT(A2,$B$2:$B$17,$A$2:$A$17,0.95,2,1)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634414-A67F-46D9-ADC7-A0D93C78B016}" name="Sales_Data" displayName="Sales_Data" ref="A1:R1462" tableType="queryTable" totalsRowShown="0">
  <autoFilter ref="A1:R1462" xr:uid="{2E634414-A67F-46D9-ADC7-A0D93C78B016}">
    <filterColumn colId="1">
      <filters>
        <filter val="2022"/>
      </filters>
    </filterColumn>
  </autoFilter>
  <tableColumns count="18">
    <tableColumn id="1" xr3:uid="{B46F3A8C-6A8A-4FA9-9FD6-547302EE7A48}" uniqueName="1" name="Order ID" queryTableFieldId="1"/>
    <tableColumn id="2" xr3:uid="{0B67C3D0-B759-4354-9926-1D637A286500}" uniqueName="2" name="Year" queryTableFieldId="2"/>
    <tableColumn id="12" xr3:uid="{07BE8831-D807-4872-B511-EE200C8BD1CC}" uniqueName="12" name="Month Name" queryTableFieldId="12" dataDxfId="14"/>
    <tableColumn id="4" xr3:uid="{1DAA0033-D7B7-4A7B-B664-0CA3ACBB6F7F}" uniqueName="4" name="Date" queryTableFieldId="4" dataDxfId="13"/>
    <tableColumn id="5" xr3:uid="{4E0EF6FD-D857-4BC6-AE39-DDBBCD980C49}" uniqueName="5" name="Country" queryTableFieldId="5" dataDxfId="12"/>
    <tableColumn id="6" xr3:uid="{4539B8CA-1C03-427F-BDCF-68B59F18CF88}" uniqueName="6" name="Sales Manager" queryTableFieldId="6" dataDxfId="11"/>
    <tableColumn id="7" xr3:uid="{68D2EEBF-AB1A-4A4A-9740-85C7DF1CCF33}" uniqueName="7" name="Product Name" queryTableFieldId="7" dataDxfId="10"/>
    <tableColumn id="8" xr3:uid="{6391220A-5273-4AB9-B4E7-B3C75BDAFA81}" uniqueName="8" name="Total Transations" queryTableFieldId="8" dataDxfId="9"/>
    <tableColumn id="9" xr3:uid="{3281F93E-BC10-480F-BEF3-075A31727F45}" uniqueName="9" name="Quantity Sold" queryTableFieldId="9" dataDxfId="8"/>
    <tableColumn id="10" xr3:uid="{0C51C77A-635B-4FF7-AC1D-24D738ADA602}" uniqueName="10" name="Sales Amount" queryTableFieldId="10" dataDxfId="7"/>
    <tableColumn id="11" xr3:uid="{F184423F-822F-475F-A874-E4269A8755FE}" uniqueName="11" name="Total Profit" queryTableFieldId="11" dataDxfId="6"/>
    <tableColumn id="14" xr3:uid="{F29D2235-A929-41E6-B990-47912297356D}" uniqueName="14" name="Week of Year" queryTableFieldId="20"/>
    <tableColumn id="3" xr3:uid="{6ECA3FE2-0004-4FFC-9494-90A679CACE87}" uniqueName="3" name="Start of Quarter" queryTableFieldId="21" dataDxfId="5"/>
    <tableColumn id="18" xr3:uid="{FE2C1DFF-D06A-4840-B57E-71A58CD3B24E}" uniqueName="18" name="Sales_amount_%" queryTableFieldId="22" dataDxfId="4" dataCellStyle="Percent"/>
    <tableColumn id="16" xr3:uid="{8ECC55B6-A417-42C3-8DED-E5523BB715FB}" uniqueName="16" name="Profitable_Flag" queryTableFieldId="17" dataDxfId="3">
      <calculatedColumnFormula>IF(Sales_Data[[#This Row],[Total Profit]]&gt;0,"Profitable","Loss")</calculatedColumnFormula>
    </tableColumn>
    <tableColumn id="17" xr3:uid="{E46173BA-CCBE-4A77-9B0B-F0720225EB76}" uniqueName="17" name="Profit_Value_Flag" queryTableFieldId="18" dataDxfId="2">
      <calculatedColumnFormula>IF(Sales_Data[[#This Row],[Total Profit]]&gt;100000,"High Value",IF(Sales_Data[[#This Row],[Total Profit]]&gt;60000,"Medium","Low"))</calculatedColumnFormula>
    </tableColumn>
    <tableColumn id="13" xr3:uid="{0712D7D4-8798-477C-B9C6-54F07643B3EA}" uniqueName="13" name="Month_name_clean" queryTableFieldId="14" dataDxfId="1">
      <calculatedColumnFormula>PROPER(Sales_Data[[#This Row],[Month Name]])</calculatedColumnFormula>
    </tableColumn>
    <tableColumn id="15" xr3:uid="{83DAF779-EE65-48B1-88BB-00A05523A4E6}" uniqueName="15" name="Manager_clean" queryTableFieldId="16" dataDxfId="0">
      <calculatedColumnFormula>PROPER(Sales_Data[[#This Row],[Sales Manager]])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4EE79-E36B-4130-AA45-B284C344F528}">
  <dimension ref="A1"/>
  <sheetViews>
    <sheetView showGridLines="0" tabSelected="1" zoomScale="85" zoomScaleNormal="85" workbookViewId="0">
      <selection activeCell="K48" sqref="K48"/>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074-D4DB-4FFF-B6ED-A84D69D83873}">
  <dimension ref="B12:AA32"/>
  <sheetViews>
    <sheetView showGridLines="0" zoomScaleNormal="100" workbookViewId="0">
      <selection activeCell="K53" sqref="K53"/>
    </sheetView>
  </sheetViews>
  <sheetFormatPr defaultRowHeight="15" x14ac:dyDescent="0.25"/>
  <cols>
    <col min="1" max="1" width="4" customWidth="1"/>
    <col min="3" max="3" width="14.5703125" customWidth="1"/>
    <col min="4" max="4" width="6.140625" customWidth="1"/>
    <col min="15" max="15" width="3.28515625" customWidth="1"/>
    <col min="17" max="17" width="7.140625" customWidth="1"/>
    <col min="18" max="18" width="2.7109375" customWidth="1"/>
    <col min="24" max="24" width="1.7109375" customWidth="1"/>
    <col min="27" max="27" width="3.140625" customWidth="1"/>
  </cols>
  <sheetData>
    <row r="12" spans="2:27" ht="18.75" x14ac:dyDescent="0.3">
      <c r="B12" s="32" t="s">
        <v>86</v>
      </c>
      <c r="C12" s="32"/>
      <c r="D12" s="28"/>
      <c r="E12" s="32" t="s">
        <v>94</v>
      </c>
      <c r="F12" s="32"/>
      <c r="G12" s="32"/>
      <c r="H12" s="32"/>
      <c r="I12" s="32"/>
      <c r="J12" s="32"/>
      <c r="K12" s="32"/>
      <c r="L12" s="32"/>
      <c r="M12" s="32"/>
      <c r="N12" s="32"/>
      <c r="O12" s="32"/>
      <c r="P12" s="32"/>
      <c r="Q12" s="32"/>
      <c r="R12" s="28"/>
      <c r="S12" s="32" t="s">
        <v>89</v>
      </c>
      <c r="T12" s="32"/>
      <c r="U12" s="32"/>
      <c r="V12" s="32"/>
      <c r="W12" s="32"/>
      <c r="X12" s="32"/>
      <c r="Y12" s="32"/>
      <c r="Z12" s="32"/>
      <c r="AA12" s="28"/>
    </row>
    <row r="32" spans="5:26" ht="18.75" x14ac:dyDescent="0.3">
      <c r="E32" s="32" t="s">
        <v>87</v>
      </c>
      <c r="F32" s="32"/>
      <c r="G32" s="32"/>
      <c r="H32" s="32"/>
      <c r="I32" s="32"/>
      <c r="J32" s="32"/>
      <c r="K32" s="32"/>
      <c r="L32" s="32"/>
      <c r="M32" s="32"/>
      <c r="N32" s="32"/>
      <c r="P32" s="32" t="s">
        <v>106</v>
      </c>
      <c r="Q32" s="32"/>
      <c r="R32" s="32"/>
      <c r="S32" s="32"/>
      <c r="T32" s="32"/>
      <c r="U32" s="32"/>
      <c r="V32" s="32"/>
      <c r="W32" s="32"/>
      <c r="X32" s="32"/>
      <c r="Y32" s="32"/>
      <c r="Z32" s="32"/>
    </row>
  </sheetData>
  <mergeCells count="5">
    <mergeCell ref="B12:C12"/>
    <mergeCell ref="E32:N32"/>
    <mergeCell ref="P32:Z32"/>
    <mergeCell ref="E12:Q12"/>
    <mergeCell ref="S12:Z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68DC-E66C-4349-BA5A-FA1E5BF84424}">
  <dimension ref="B2:I4"/>
  <sheetViews>
    <sheetView workbookViewId="0">
      <selection activeCell="E4" sqref="E4"/>
    </sheetView>
  </sheetViews>
  <sheetFormatPr defaultRowHeight="15" x14ac:dyDescent="0.25"/>
  <cols>
    <col min="1" max="1" width="9.140625" customWidth="1"/>
    <col min="2" max="2" width="13.85546875" bestFit="1" customWidth="1"/>
    <col min="3" max="4" width="15.42578125" bestFit="1" customWidth="1"/>
    <col min="5" max="5" width="12.5703125" bestFit="1" customWidth="1"/>
  </cols>
  <sheetData>
    <row r="2" spans="2:9" x14ac:dyDescent="0.25">
      <c r="B2" s="33" t="s">
        <v>101</v>
      </c>
      <c r="C2" s="33"/>
      <c r="D2" s="33"/>
      <c r="E2" s="33"/>
      <c r="F2" s="33"/>
      <c r="G2" s="33"/>
      <c r="H2" s="33"/>
      <c r="I2" s="33"/>
    </row>
    <row r="3" spans="2:9" x14ac:dyDescent="0.25">
      <c r="B3" s="7" t="s">
        <v>5</v>
      </c>
      <c r="C3" s="7" t="s">
        <v>29</v>
      </c>
      <c r="D3" s="7" t="s">
        <v>10</v>
      </c>
      <c r="E3" s="7" t="s">
        <v>104</v>
      </c>
      <c r="F3" s="7" t="s">
        <v>105</v>
      </c>
    </row>
    <row r="4" spans="2:9" x14ac:dyDescent="0.25">
      <c r="B4" s="30" t="s">
        <v>21</v>
      </c>
      <c r="C4" s="29">
        <f>_xlfn.XLOOKUP(B4,Pivot_Tables!C38:C42,Pivot_Tables!D38:D42,"Not Found")</f>
        <v>42195150</v>
      </c>
      <c r="D4" s="29">
        <f>_xlfn.XLOOKUP(B4,Pivot_Tables!C38:C42,Pivot_Tables!E38:E42,"Not Found")</f>
        <v>11307144.5</v>
      </c>
      <c r="E4" s="18">
        <f>D4/C4</f>
        <v>0.2679726105962415</v>
      </c>
      <c r="F4" s="31">
        <f>RANK(C4,Pivot_Tables!D38:D42,0)</f>
        <v>1</v>
      </c>
    </row>
  </sheetData>
  <mergeCells count="1">
    <mergeCell ref="B2:I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BD29481-025A-40E5-B2B6-11D43209642E}">
          <x14:formula1>
            <xm:f>Cleaned_Sales_Data!$F$1098:$F$1462</xm:f>
          </x14:formula1>
          <xm:sqref>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EE35F-00D6-4FC5-AF66-CBFF2AE476FE}">
  <dimension ref="A1:Q14"/>
  <sheetViews>
    <sheetView workbookViewId="0">
      <selection activeCell="N1" sqref="N1:Q3"/>
    </sheetView>
  </sheetViews>
  <sheetFormatPr defaultRowHeight="15" x14ac:dyDescent="0.25"/>
  <cols>
    <col min="1" max="1" width="16.42578125" bestFit="1" customWidth="1"/>
    <col min="2" max="3" width="15.42578125" bestFit="1" customWidth="1"/>
    <col min="4" max="4" width="20" customWidth="1"/>
    <col min="5" max="7" width="15.42578125" bestFit="1" customWidth="1"/>
    <col min="9" max="12" width="15.42578125" bestFit="1" customWidth="1"/>
    <col min="14" max="14" width="18.28515625" bestFit="1" customWidth="1"/>
    <col min="15" max="17" width="15.42578125" bestFit="1" customWidth="1"/>
  </cols>
  <sheetData>
    <row r="1" spans="1:17" x14ac:dyDescent="0.25">
      <c r="A1" s="20" t="s">
        <v>29</v>
      </c>
      <c r="C1" s="33" t="s">
        <v>55</v>
      </c>
      <c r="D1" s="33"/>
      <c r="E1" s="33"/>
      <c r="F1" s="33"/>
      <c r="G1" s="33"/>
      <c r="I1" s="33" t="s">
        <v>58</v>
      </c>
      <c r="J1" s="33"/>
      <c r="K1" s="33"/>
      <c r="L1" s="33"/>
      <c r="N1" s="33" t="s">
        <v>80</v>
      </c>
      <c r="O1" s="33"/>
      <c r="P1" s="33"/>
      <c r="Q1" s="33"/>
    </row>
    <row r="2" spans="1:17" x14ac:dyDescent="0.25">
      <c r="A2" s="10">
        <f>SUM(Cleaned_Sales_Data!J:J)</f>
        <v>198520850</v>
      </c>
      <c r="C2" s="20" t="s">
        <v>14</v>
      </c>
      <c r="D2" s="20" t="s">
        <v>22</v>
      </c>
      <c r="E2" s="20" t="s">
        <v>25</v>
      </c>
      <c r="F2" s="20" t="s">
        <v>19</v>
      </c>
      <c r="G2" s="20" t="s">
        <v>11</v>
      </c>
      <c r="I2" s="20">
        <v>2019</v>
      </c>
      <c r="J2" s="20">
        <v>2020</v>
      </c>
      <c r="K2" s="20">
        <v>2021</v>
      </c>
      <c r="L2" s="20">
        <v>2022</v>
      </c>
      <c r="N2" s="20">
        <v>2019</v>
      </c>
      <c r="O2" s="20">
        <v>2020</v>
      </c>
      <c r="P2" s="20">
        <v>2021</v>
      </c>
      <c r="Q2" s="20">
        <v>2022</v>
      </c>
    </row>
    <row r="3" spans="1:17" x14ac:dyDescent="0.25">
      <c r="C3" s="10">
        <f>SUMIFS(Sales_Data[Sales Amount],Sales_Data[Country],"Canada")</f>
        <v>40570250</v>
      </c>
      <c r="D3" s="10">
        <f>SUMIFS(Sales_Data[Sales Amount],Sales_Data[Country],"New Zealand")</f>
        <v>42704700</v>
      </c>
      <c r="E3" s="10">
        <f>SUMIFS(Sales_Data[Sales Amount],Sales_Data[Country],"UK")</f>
        <v>36261800</v>
      </c>
      <c r="F3" s="10">
        <f>SUMIFS(Sales_Data[Sales Amount],Sales_Data[Country],"Australia")</f>
        <v>39320800</v>
      </c>
      <c r="G3" s="10">
        <f>SUMIFS(Sales_Data[Sales Amount],Sales_Data[Country],"USA")</f>
        <v>39663300</v>
      </c>
      <c r="I3" s="10">
        <f>SUM(Cleaned_Sales_Data!J2:J366)</f>
        <v>50449050</v>
      </c>
      <c r="J3" s="10">
        <f>SUM(Cleaned_Sales_Data!J367:J732)</f>
        <v>48060500</v>
      </c>
      <c r="K3" s="10">
        <f>SUM(Cleaned_Sales_Data!J733:J1097)</f>
        <v>50464650</v>
      </c>
      <c r="L3" s="10">
        <f>SUM(Cleaned_Sales_Data!J1098:J1462)</f>
        <v>49546650</v>
      </c>
      <c r="N3" s="24">
        <f>SUMIFS(Sales_Data[Total Profit], Sales_Data[Year],2019)</f>
        <v>14200362.5</v>
      </c>
      <c r="O3" s="24">
        <f>SUMIFS(Sales_Data[Total Profit], Sales_Data[Year],2020)</f>
        <v>12946365.5</v>
      </c>
      <c r="P3" s="24">
        <f>SUMIFS(Sales_Data[Total Profit], Sales_Data[Year],2021)</f>
        <v>13187943.5</v>
      </c>
      <c r="Q3" s="24">
        <f>SUMIFS(Sales_Data[Total Profit], Sales_Data[Year],2022)</f>
        <v>13557557.5</v>
      </c>
    </row>
    <row r="4" spans="1:17" x14ac:dyDescent="0.25">
      <c r="A4" s="20" t="s">
        <v>10</v>
      </c>
      <c r="J4" s="23">
        <f>(J3-I3)/I3</f>
        <v>-4.7345787482618605E-2</v>
      </c>
      <c r="K4" s="23">
        <f>(K3-J3)/J3</f>
        <v>5.0023407996171491E-2</v>
      </c>
      <c r="L4" s="23">
        <f>(L3-K3)/K3</f>
        <v>-1.8190951487823653E-2</v>
      </c>
    </row>
    <row r="5" spans="1:17" x14ac:dyDescent="0.25">
      <c r="A5" s="10">
        <f>SUM(Cleaned_Sales_Data!K:K)</f>
        <v>53892229</v>
      </c>
      <c r="C5" s="33" t="s">
        <v>56</v>
      </c>
      <c r="D5" s="33"/>
      <c r="E5" s="14"/>
      <c r="F5" s="33" t="s">
        <v>61</v>
      </c>
      <c r="G5" s="33"/>
    </row>
    <row r="6" spans="1:17" x14ac:dyDescent="0.25">
      <c r="C6" s="35">
        <f>COUNTIFS(Sales_Data[Total Profit], "&gt;100000")</f>
        <v>83</v>
      </c>
      <c r="D6" s="35"/>
      <c r="F6" s="35">
        <f>COUNTIFS(Sales_Data[Profitable_Flag],"Profitable")</f>
        <v>1461</v>
      </c>
      <c r="G6" s="35"/>
    </row>
    <row r="7" spans="1:17" x14ac:dyDescent="0.25">
      <c r="A7" s="20" t="s">
        <v>54</v>
      </c>
    </row>
    <row r="8" spans="1:17" x14ac:dyDescent="0.25">
      <c r="A8">
        <f>COUNTA(Sales_Data[Order ID])</f>
        <v>1461</v>
      </c>
    </row>
    <row r="9" spans="1:17" x14ac:dyDescent="0.25">
      <c r="E9" s="21"/>
      <c r="F9" s="21"/>
    </row>
    <row r="10" spans="1:17" x14ac:dyDescent="0.25">
      <c r="A10" s="33" t="s">
        <v>60</v>
      </c>
      <c r="B10" s="33"/>
      <c r="D10" s="20" t="s">
        <v>63</v>
      </c>
      <c r="F10" s="33" t="s">
        <v>64</v>
      </c>
      <c r="G10" s="33"/>
      <c r="I10" s="33" t="s">
        <v>88</v>
      </c>
      <c r="J10" s="33"/>
    </row>
    <row r="11" spans="1:17" x14ac:dyDescent="0.25">
      <c r="A11" s="34">
        <f>A2/A8</f>
        <v>135880.11635865844</v>
      </c>
      <c r="B11" s="34"/>
      <c r="D11" s="10">
        <f>SUM(Cleaned_Sales_Data!J1098:J1462)</f>
        <v>49546650</v>
      </c>
      <c r="F11" s="37">
        <f>SUM(Cleaned_Sales_Data!K1098:K1462)</f>
        <v>13557557.5</v>
      </c>
      <c r="G11" s="37"/>
      <c r="I11" s="36">
        <f>Q3/L3</f>
        <v>0.2736321729117912</v>
      </c>
      <c r="J11" s="36"/>
    </row>
    <row r="13" spans="1:17" x14ac:dyDescent="0.25">
      <c r="D13" s="20" t="s">
        <v>79</v>
      </c>
    </row>
    <row r="14" spans="1:17" x14ac:dyDescent="0.25">
      <c r="D14" s="7">
        <f>COUNTIF(Sales_Data[[#All],[Year]],"2022")</f>
        <v>365</v>
      </c>
    </row>
  </sheetData>
  <mergeCells count="13">
    <mergeCell ref="N1:Q1"/>
    <mergeCell ref="I1:L1"/>
    <mergeCell ref="A10:B10"/>
    <mergeCell ref="A11:B11"/>
    <mergeCell ref="C1:G1"/>
    <mergeCell ref="C5:D5"/>
    <mergeCell ref="F5:G5"/>
    <mergeCell ref="C6:D6"/>
    <mergeCell ref="F6:G6"/>
    <mergeCell ref="I10:J10"/>
    <mergeCell ref="I11:J11"/>
    <mergeCell ref="F10:G10"/>
    <mergeCell ref="F11: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5036A-22FE-40F1-B57E-C946589DBBAE}">
  <dimension ref="B1:P43"/>
  <sheetViews>
    <sheetView workbookViewId="0">
      <selection activeCell="F19" sqref="F19"/>
    </sheetView>
  </sheetViews>
  <sheetFormatPr defaultRowHeight="15" x14ac:dyDescent="0.25"/>
  <cols>
    <col min="3" max="3" width="16.42578125" bestFit="1" customWidth="1"/>
    <col min="4" max="4" width="19.42578125" bestFit="1" customWidth="1"/>
    <col min="5" max="5" width="15.42578125" bestFit="1" customWidth="1"/>
    <col min="6" max="6" width="14.42578125" bestFit="1" customWidth="1"/>
    <col min="7" max="7" width="20" bestFit="1" customWidth="1"/>
    <col min="8" max="8" width="17" customWidth="1"/>
    <col min="9" max="9" width="11.28515625" bestFit="1" customWidth="1"/>
    <col min="10" max="10" width="15.42578125" bestFit="1" customWidth="1"/>
    <col min="11" max="11" width="12.42578125" customWidth="1"/>
    <col min="12" max="12" width="13.140625" bestFit="1" customWidth="1"/>
    <col min="13" max="13" width="20" bestFit="1" customWidth="1"/>
    <col min="14" max="14" width="8.140625" bestFit="1" customWidth="1"/>
    <col min="15" max="15" width="13.140625" bestFit="1" customWidth="1"/>
    <col min="16" max="16" width="8.140625" bestFit="1" customWidth="1"/>
    <col min="17" max="17" width="16.42578125" bestFit="1" customWidth="1"/>
  </cols>
  <sheetData>
    <row r="1" spans="2:13" x14ac:dyDescent="0.25">
      <c r="B1" s="38" t="s">
        <v>29</v>
      </c>
      <c r="C1" s="38"/>
      <c r="E1" s="38" t="s">
        <v>32</v>
      </c>
      <c r="F1" s="38"/>
      <c r="I1" t="s">
        <v>36</v>
      </c>
      <c r="J1" s="14"/>
      <c r="L1" s="38" t="s">
        <v>52</v>
      </c>
      <c r="M1" s="38"/>
    </row>
    <row r="2" spans="2:13" x14ac:dyDescent="0.25">
      <c r="C2" t="s">
        <v>59</v>
      </c>
      <c r="E2" s="15" t="s">
        <v>34</v>
      </c>
      <c r="F2" t="s">
        <v>59</v>
      </c>
      <c r="I2" s="15" t="s">
        <v>35</v>
      </c>
      <c r="J2" t="s">
        <v>33</v>
      </c>
      <c r="L2" s="15" t="s">
        <v>53</v>
      </c>
      <c r="M2" t="s">
        <v>59</v>
      </c>
    </row>
    <row r="3" spans="2:13" x14ac:dyDescent="0.25">
      <c r="C3" s="10">
        <v>198520850</v>
      </c>
      <c r="E3" s="16" t="s">
        <v>22</v>
      </c>
      <c r="F3" s="27">
        <v>0.21511443256463994</v>
      </c>
      <c r="H3" s="27"/>
      <c r="I3" s="16" t="s">
        <v>20</v>
      </c>
      <c r="J3" s="10">
        <v>16134300.5</v>
      </c>
      <c r="L3" s="16" t="s">
        <v>37</v>
      </c>
      <c r="M3" s="10">
        <v>5110500</v>
      </c>
    </row>
    <row r="4" spans="2:13" x14ac:dyDescent="0.25">
      <c r="E4" s="16" t="s">
        <v>14</v>
      </c>
      <c r="F4" s="27">
        <v>0.20436266518101248</v>
      </c>
      <c r="H4" s="27"/>
      <c r="I4" s="16" t="s">
        <v>13</v>
      </c>
      <c r="J4" s="10">
        <v>14778292.5</v>
      </c>
      <c r="L4" s="16" t="s">
        <v>38</v>
      </c>
      <c r="M4" s="10">
        <v>3392600</v>
      </c>
    </row>
    <row r="5" spans="2:13" x14ac:dyDescent="0.25">
      <c r="E5" s="16" t="s">
        <v>11</v>
      </c>
      <c r="F5" s="27">
        <v>0.19979412741785058</v>
      </c>
      <c r="H5" s="27"/>
      <c r="I5" s="16" t="s">
        <v>15</v>
      </c>
      <c r="J5" s="10">
        <v>10219915</v>
      </c>
      <c r="L5" s="16" t="s">
        <v>39</v>
      </c>
      <c r="M5" s="10">
        <v>4517900</v>
      </c>
    </row>
    <row r="6" spans="2:13" x14ac:dyDescent="0.25">
      <c r="E6" s="16" t="s">
        <v>19</v>
      </c>
      <c r="F6" s="27">
        <v>0.19806886782924815</v>
      </c>
      <c r="H6" s="27"/>
      <c r="I6" s="16" t="s">
        <v>23</v>
      </c>
      <c r="J6" s="10">
        <v>7564886</v>
      </c>
      <c r="L6" s="16" t="s">
        <v>40</v>
      </c>
      <c r="M6" s="10">
        <v>4032500</v>
      </c>
    </row>
    <row r="7" spans="2:13" x14ac:dyDescent="0.25">
      <c r="E7" s="16" t="s">
        <v>25</v>
      </c>
      <c r="F7" s="27">
        <v>0.18265990700724885</v>
      </c>
      <c r="H7" s="27"/>
      <c r="I7" s="16" t="s">
        <v>17</v>
      </c>
      <c r="J7" s="10">
        <v>5194835</v>
      </c>
      <c r="L7" s="16" t="s">
        <v>41</v>
      </c>
      <c r="M7" s="10">
        <v>4229600</v>
      </c>
    </row>
    <row r="8" spans="2:13" x14ac:dyDescent="0.25">
      <c r="E8" s="16" t="s">
        <v>31</v>
      </c>
      <c r="F8" s="27">
        <v>1</v>
      </c>
      <c r="H8" s="27"/>
      <c r="I8" s="16" t="s">
        <v>31</v>
      </c>
      <c r="J8" s="10">
        <v>53892229</v>
      </c>
      <c r="L8" s="16" t="s">
        <v>42</v>
      </c>
      <c r="M8" s="10">
        <v>3563950</v>
      </c>
    </row>
    <row r="9" spans="2:13" x14ac:dyDescent="0.25">
      <c r="L9" s="16" t="s">
        <v>43</v>
      </c>
      <c r="M9" s="10">
        <v>3904750</v>
      </c>
    </row>
    <row r="10" spans="2:13" x14ac:dyDescent="0.25">
      <c r="C10" s="14" t="s">
        <v>49</v>
      </c>
      <c r="L10" s="16" t="s">
        <v>44</v>
      </c>
      <c r="M10" s="10">
        <v>4321450</v>
      </c>
    </row>
    <row r="11" spans="2:13" x14ac:dyDescent="0.25">
      <c r="C11" s="15" t="s">
        <v>30</v>
      </c>
      <c r="D11" t="s">
        <v>59</v>
      </c>
      <c r="E11" s="17" t="s">
        <v>50</v>
      </c>
      <c r="L11" s="16" t="s">
        <v>45</v>
      </c>
      <c r="M11" s="10">
        <v>3471850</v>
      </c>
    </row>
    <row r="12" spans="2:13" x14ac:dyDescent="0.25">
      <c r="C12" s="16">
        <v>2019</v>
      </c>
      <c r="D12" s="10">
        <v>50449050</v>
      </c>
      <c r="L12" s="16" t="s">
        <v>46</v>
      </c>
      <c r="M12" s="10">
        <v>4496100</v>
      </c>
    </row>
    <row r="13" spans="2:13" x14ac:dyDescent="0.25">
      <c r="C13" s="16">
        <v>2020</v>
      </c>
      <c r="D13" s="10">
        <v>48060500</v>
      </c>
      <c r="E13" s="18">
        <f>(GETPIVOTDATA("Sales Amount",$C$11,"Year",2020)-GETPIVOTDATA("Sales Amount",$C$11,"Year",2019))/GETPIVOTDATA("Sales Amount",$C$11,"Year",2019)</f>
        <v>-4.7345787482618605E-2</v>
      </c>
      <c r="L13" s="16" t="s">
        <v>47</v>
      </c>
      <c r="M13" s="10">
        <v>4134800</v>
      </c>
    </row>
    <row r="14" spans="2:13" x14ac:dyDescent="0.25">
      <c r="C14" s="16">
        <v>2021</v>
      </c>
      <c r="D14" s="10">
        <v>50464650</v>
      </c>
      <c r="E14" s="18">
        <f>(GETPIVOTDATA("Sales Amount",$C$11,"Year",2021)-GETPIVOTDATA("Sales Amount",$C$11,"Year",2020))/GETPIVOTDATA("Sales Amount",$C$11,"Year",2020)</f>
        <v>5.0023407996171491E-2</v>
      </c>
      <c r="L14" s="16" t="s">
        <v>48</v>
      </c>
      <c r="M14" s="10">
        <v>4370650</v>
      </c>
    </row>
    <row r="15" spans="2:13" x14ac:dyDescent="0.25">
      <c r="C15" s="16">
        <v>2022</v>
      </c>
      <c r="D15" s="10">
        <v>49546650</v>
      </c>
      <c r="E15" s="18">
        <f>(GETPIVOTDATA("Sales Amount",$C$11,"Year",2022)-GETPIVOTDATA("Sales Amount",$C$11,"Year",2021))/GETPIVOTDATA("Sales Amount",$C$11,"Year",2021)</f>
        <v>-1.8190951487823653E-2</v>
      </c>
      <c r="L15" s="16" t="s">
        <v>31</v>
      </c>
      <c r="M15" s="10">
        <v>49546650</v>
      </c>
    </row>
    <row r="16" spans="2:13" x14ac:dyDescent="0.25">
      <c r="C16" s="16" t="s">
        <v>31</v>
      </c>
      <c r="D16" s="10">
        <v>198520850</v>
      </c>
    </row>
    <row r="18" spans="3:16" x14ac:dyDescent="0.25">
      <c r="C18" s="14" t="s">
        <v>51</v>
      </c>
      <c r="L18" s="15" t="s">
        <v>30</v>
      </c>
      <c r="M18" t="s">
        <v>78</v>
      </c>
      <c r="N18" t="s">
        <v>100</v>
      </c>
    </row>
    <row r="19" spans="3:16" x14ac:dyDescent="0.25">
      <c r="C19" s="15" t="s">
        <v>35</v>
      </c>
      <c r="D19" t="s">
        <v>59</v>
      </c>
      <c r="E19" t="s">
        <v>33</v>
      </c>
      <c r="F19" s="19" t="s">
        <v>51</v>
      </c>
      <c r="L19" s="16" t="s">
        <v>95</v>
      </c>
      <c r="M19" s="10">
        <v>50449050</v>
      </c>
      <c r="N19" s="27">
        <v>0.25412469269600652</v>
      </c>
    </row>
    <row r="20" spans="3:16" x14ac:dyDescent="0.25">
      <c r="C20" s="16" t="s">
        <v>15</v>
      </c>
      <c r="D20" s="10">
        <v>37810000</v>
      </c>
      <c r="E20" s="10">
        <v>10219915</v>
      </c>
      <c r="F20" s="18" cm="1">
        <f t="array" ref="F20:F24">E20:E24/D20:D24</f>
        <v>0.27029661465220839</v>
      </c>
      <c r="L20" s="16" t="s">
        <v>96</v>
      </c>
      <c r="M20" s="10">
        <v>48060500</v>
      </c>
      <c r="N20" s="27">
        <v>0.2420929590015356</v>
      </c>
    </row>
    <row r="21" spans="3:16" x14ac:dyDescent="0.25">
      <c r="C21" s="16" t="s">
        <v>17</v>
      </c>
      <c r="D21" s="10">
        <v>18683000</v>
      </c>
      <c r="E21" s="10">
        <v>5194835</v>
      </c>
      <c r="F21" s="18">
        <v>0.27805143713536368</v>
      </c>
      <c r="L21" s="16" t="s">
        <v>97</v>
      </c>
      <c r="M21" s="10">
        <v>50464650</v>
      </c>
      <c r="N21" s="27">
        <v>0.25420327386266983</v>
      </c>
    </row>
    <row r="22" spans="3:16" x14ac:dyDescent="0.25">
      <c r="C22" s="16" t="s">
        <v>23</v>
      </c>
      <c r="D22" s="10">
        <v>28120750</v>
      </c>
      <c r="E22" s="10">
        <v>7564886</v>
      </c>
      <c r="F22" s="18">
        <v>0.26901437550563195</v>
      </c>
      <c r="L22" s="16" t="s">
        <v>98</v>
      </c>
      <c r="M22" s="10">
        <v>49546650</v>
      </c>
      <c r="N22" s="27">
        <v>0.24957907443978805</v>
      </c>
    </row>
    <row r="23" spans="3:16" x14ac:dyDescent="0.25">
      <c r="C23" s="16" t="s">
        <v>20</v>
      </c>
      <c r="D23" s="10">
        <v>58268350</v>
      </c>
      <c r="E23" s="10">
        <v>16134300.5</v>
      </c>
      <c r="F23" s="18">
        <v>0.27689647124039035</v>
      </c>
      <c r="L23" s="16" t="s">
        <v>31</v>
      </c>
      <c r="M23" s="10">
        <v>198520850</v>
      </c>
      <c r="N23" s="27">
        <v>1</v>
      </c>
    </row>
    <row r="24" spans="3:16" x14ac:dyDescent="0.25">
      <c r="C24" s="16" t="s">
        <v>13</v>
      </c>
      <c r="D24" s="10">
        <v>55638750</v>
      </c>
      <c r="E24" s="10">
        <v>14778292.5</v>
      </c>
      <c r="F24" s="18">
        <v>0.26561151176113768</v>
      </c>
    </row>
    <row r="25" spans="3:16" x14ac:dyDescent="0.25">
      <c r="C25" s="16" t="s">
        <v>31</v>
      </c>
      <c r="D25" s="10">
        <v>198520850</v>
      </c>
      <c r="E25" s="10">
        <v>53892229</v>
      </c>
    </row>
    <row r="27" spans="3:16" x14ac:dyDescent="0.25">
      <c r="L27" s="15" t="s">
        <v>30</v>
      </c>
      <c r="M27" t="s">
        <v>100</v>
      </c>
      <c r="O27" s="15" t="s">
        <v>30</v>
      </c>
      <c r="P27" t="s">
        <v>100</v>
      </c>
    </row>
    <row r="28" spans="3:16" x14ac:dyDescent="0.25">
      <c r="C28" s="15" t="s">
        <v>30</v>
      </c>
      <c r="D28" t="s">
        <v>78</v>
      </c>
      <c r="L28" s="16" t="s">
        <v>19</v>
      </c>
      <c r="M28" s="26">
        <v>0.19806886782924804</v>
      </c>
      <c r="O28" s="16" t="s">
        <v>12</v>
      </c>
      <c r="P28" s="26">
        <v>0.2027998570427238</v>
      </c>
    </row>
    <row r="29" spans="3:16" x14ac:dyDescent="0.25">
      <c r="C29" s="16" t="s">
        <v>12</v>
      </c>
      <c r="D29" s="10">
        <v>40260000</v>
      </c>
      <c r="L29" s="16" t="s">
        <v>14</v>
      </c>
      <c r="M29" s="26">
        <v>0.20436266518101234</v>
      </c>
      <c r="O29" s="16" t="s">
        <v>16</v>
      </c>
      <c r="P29" s="26">
        <v>0.19462514894531224</v>
      </c>
    </row>
    <row r="30" spans="3:16" x14ac:dyDescent="0.25">
      <c r="C30" s="16" t="s">
        <v>16</v>
      </c>
      <c r="D30" s="10">
        <v>38637150</v>
      </c>
      <c r="L30" s="16" t="s">
        <v>22</v>
      </c>
      <c r="M30" s="26">
        <v>0.21511443256464005</v>
      </c>
      <c r="O30" s="16" t="s">
        <v>18</v>
      </c>
      <c r="P30" s="26">
        <v>0.20003087836869521</v>
      </c>
    </row>
    <row r="31" spans="3:16" x14ac:dyDescent="0.25">
      <c r="C31" s="16" t="s">
        <v>18</v>
      </c>
      <c r="D31" s="10">
        <v>39710300</v>
      </c>
      <c r="L31" s="16" t="s">
        <v>25</v>
      </c>
      <c r="M31" s="26">
        <v>0.18265990700724877</v>
      </c>
      <c r="O31" s="16" t="s">
        <v>21</v>
      </c>
      <c r="P31" s="26">
        <v>0.21254769964968406</v>
      </c>
    </row>
    <row r="32" spans="3:16" x14ac:dyDescent="0.25">
      <c r="C32" s="16" t="s">
        <v>21</v>
      </c>
      <c r="D32" s="10">
        <v>42195150</v>
      </c>
      <c r="L32" s="16" t="s">
        <v>11</v>
      </c>
      <c r="M32" s="26">
        <v>0.19979412741785058</v>
      </c>
      <c r="O32" s="16" t="s">
        <v>24</v>
      </c>
      <c r="P32" s="26">
        <v>0.18999641599358461</v>
      </c>
    </row>
    <row r="33" spans="3:16" x14ac:dyDescent="0.25">
      <c r="C33" s="16" t="s">
        <v>24</v>
      </c>
      <c r="D33" s="10">
        <v>37718250</v>
      </c>
      <c r="L33" s="16" t="s">
        <v>31</v>
      </c>
      <c r="M33" s="26">
        <v>0.99999999999999978</v>
      </c>
      <c r="O33" s="16" t="s">
        <v>31</v>
      </c>
      <c r="P33" s="26">
        <v>0.99999999999999989</v>
      </c>
    </row>
    <row r="34" spans="3:16" x14ac:dyDescent="0.25">
      <c r="C34" s="16" t="s">
        <v>31</v>
      </c>
      <c r="D34" s="10">
        <v>198520850</v>
      </c>
    </row>
    <row r="37" spans="3:16" x14ac:dyDescent="0.25">
      <c r="C37" s="15" t="s">
        <v>30</v>
      </c>
      <c r="D37" t="s">
        <v>103</v>
      </c>
      <c r="E37" t="s">
        <v>102</v>
      </c>
    </row>
    <row r="38" spans="3:16" x14ac:dyDescent="0.25">
      <c r="C38" s="16" t="s">
        <v>12</v>
      </c>
      <c r="D38" s="10">
        <v>40260000</v>
      </c>
      <c r="E38" s="10">
        <v>10874169.5</v>
      </c>
    </row>
    <row r="39" spans="3:16" x14ac:dyDescent="0.25">
      <c r="C39" s="16" t="s">
        <v>16</v>
      </c>
      <c r="D39" s="10">
        <v>38637150</v>
      </c>
      <c r="E39" s="10">
        <v>10121145</v>
      </c>
    </row>
    <row r="40" spans="3:16" x14ac:dyDescent="0.25">
      <c r="C40" s="16" t="s">
        <v>18</v>
      </c>
      <c r="D40" s="10">
        <v>39710300</v>
      </c>
      <c r="E40" s="10">
        <v>11268737</v>
      </c>
    </row>
    <row r="41" spans="3:16" x14ac:dyDescent="0.25">
      <c r="C41" s="16" t="s">
        <v>21</v>
      </c>
      <c r="D41" s="10">
        <v>42195150</v>
      </c>
      <c r="E41" s="10">
        <v>11307144.5</v>
      </c>
    </row>
    <row r="42" spans="3:16" x14ac:dyDescent="0.25">
      <c r="C42" s="16" t="s">
        <v>24</v>
      </c>
      <c r="D42" s="10">
        <v>37718250</v>
      </c>
      <c r="E42" s="10">
        <v>10321033</v>
      </c>
    </row>
    <row r="43" spans="3:16" x14ac:dyDescent="0.25">
      <c r="C43" s="16" t="s">
        <v>31</v>
      </c>
      <c r="D43" s="10">
        <v>198520850</v>
      </c>
      <c r="E43" s="10">
        <v>53892229</v>
      </c>
    </row>
  </sheetData>
  <mergeCells count="3">
    <mergeCell ref="E1:F1"/>
    <mergeCell ref="L1:M1"/>
    <mergeCell ref="B1:C1"/>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56F0-54D2-48C5-BFD3-1610B2B39BC9}">
  <dimension ref="A1:E6"/>
  <sheetViews>
    <sheetView workbookViewId="0"/>
  </sheetViews>
  <sheetFormatPr defaultRowHeight="15" x14ac:dyDescent="0.25"/>
  <cols>
    <col min="1" max="1" width="13.7109375" customWidth="1"/>
    <col min="2" max="2" width="9.28515625" bestFit="1" customWidth="1"/>
    <col min="3" max="3" width="10.5703125" customWidth="1"/>
    <col min="4" max="4" width="25.28515625" customWidth="1"/>
    <col min="5" max="5" width="25.42578125" customWidth="1"/>
  </cols>
  <sheetData>
    <row r="1" spans="1:5" x14ac:dyDescent="0.25">
      <c r="A1" t="s">
        <v>49</v>
      </c>
      <c r="B1" t="s">
        <v>90</v>
      </c>
      <c r="C1" t="s">
        <v>91</v>
      </c>
      <c r="D1" t="s">
        <v>92</v>
      </c>
      <c r="E1" t="s">
        <v>93</v>
      </c>
    </row>
    <row r="2" spans="1:5" x14ac:dyDescent="0.25">
      <c r="A2">
        <v>2019</v>
      </c>
      <c r="B2">
        <v>50449050</v>
      </c>
    </row>
    <row r="3" spans="1:5" x14ac:dyDescent="0.25">
      <c r="A3">
        <v>2020</v>
      </c>
      <c r="B3">
        <v>48060500</v>
      </c>
    </row>
    <row r="4" spans="1:5" x14ac:dyDescent="0.25">
      <c r="A4">
        <v>2021</v>
      </c>
      <c r="B4">
        <v>50464650</v>
      </c>
    </row>
    <row r="5" spans="1:5" x14ac:dyDescent="0.25">
      <c r="A5">
        <v>2022</v>
      </c>
      <c r="B5">
        <v>49546650</v>
      </c>
      <c r="C5">
        <v>49546650</v>
      </c>
      <c r="D5" s="25">
        <v>49546650</v>
      </c>
      <c r="E5" s="25">
        <v>49546650</v>
      </c>
    </row>
    <row r="6" spans="1:5" x14ac:dyDescent="0.25">
      <c r="A6">
        <v>2023</v>
      </c>
      <c r="C6">
        <f>_xlfn.FORECAST.ETS(A6,$B$2:$B$5,$A$2:$A$5,1,1)</f>
        <v>49503850.274766594</v>
      </c>
      <c r="D6" s="25">
        <f>C6-_xlfn.FORECAST.ETS.CONFINT(A6,$B$2:$B$5,$A$2:$A$5,0.95,1,1)</f>
        <v>47124306.848634623</v>
      </c>
      <c r="E6" s="25">
        <f>C6+_xlfn.FORECAST.ETS.CONFINT(A6,$B$2:$B$5,$A$2:$A$5,0.95,1,1)</f>
        <v>51883393.700898565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3010-BD43-43B4-A44D-CF454326A77B}">
  <dimension ref="A1:E21"/>
  <sheetViews>
    <sheetView workbookViewId="0">
      <selection activeCell="A21" sqref="A2:E21"/>
    </sheetView>
  </sheetViews>
  <sheetFormatPr defaultRowHeight="15" x14ac:dyDescent="0.25"/>
  <cols>
    <col min="1" max="1" width="16.85546875" customWidth="1"/>
    <col min="2" max="2" width="16.140625" customWidth="1"/>
    <col min="3" max="3" width="25" customWidth="1"/>
    <col min="4" max="4" width="39.7109375" customWidth="1"/>
    <col min="5" max="5" width="39.85546875" customWidth="1"/>
  </cols>
  <sheetData>
    <row r="1" spans="1:5" x14ac:dyDescent="0.25">
      <c r="A1" t="s">
        <v>85</v>
      </c>
      <c r="B1" t="s">
        <v>81</v>
      </c>
      <c r="C1" t="s">
        <v>82</v>
      </c>
      <c r="D1" t="s">
        <v>83</v>
      </c>
      <c r="E1" t="s">
        <v>84</v>
      </c>
    </row>
    <row r="2" spans="1:5" x14ac:dyDescent="0.25">
      <c r="A2" s="8">
        <v>43466</v>
      </c>
      <c r="B2" s="10">
        <v>128288.33333333333</v>
      </c>
    </row>
    <row r="3" spans="1:5" x14ac:dyDescent="0.25">
      <c r="A3" s="8">
        <v>43556</v>
      </c>
      <c r="B3" s="10">
        <v>156161.53846153847</v>
      </c>
    </row>
    <row r="4" spans="1:5" x14ac:dyDescent="0.25">
      <c r="A4" s="8">
        <v>43647</v>
      </c>
      <c r="B4" s="10">
        <v>138032.0652173913</v>
      </c>
    </row>
    <row r="5" spans="1:5" x14ac:dyDescent="0.25">
      <c r="A5" s="8">
        <v>43739</v>
      </c>
      <c r="B5" s="10">
        <v>130363.58695652174</v>
      </c>
    </row>
    <row r="6" spans="1:5" x14ac:dyDescent="0.25">
      <c r="A6" s="8">
        <v>43831</v>
      </c>
      <c r="B6" s="10">
        <v>114774.72527472528</v>
      </c>
    </row>
    <row r="7" spans="1:5" x14ac:dyDescent="0.25">
      <c r="A7" s="8">
        <v>43922</v>
      </c>
      <c r="B7" s="10">
        <v>144482.96703296702</v>
      </c>
    </row>
    <row r="8" spans="1:5" x14ac:dyDescent="0.25">
      <c r="A8" s="8">
        <v>44013</v>
      </c>
      <c r="B8" s="10">
        <v>136421.73913043478</v>
      </c>
    </row>
    <row r="9" spans="1:5" x14ac:dyDescent="0.25">
      <c r="A9" s="8">
        <v>44105</v>
      </c>
      <c r="B9" s="10">
        <v>129535.32608695653</v>
      </c>
    </row>
    <row r="10" spans="1:5" x14ac:dyDescent="0.25">
      <c r="A10" s="8">
        <v>44197</v>
      </c>
      <c r="B10" s="10">
        <v>136283.33333333334</v>
      </c>
    </row>
    <row r="11" spans="1:5" x14ac:dyDescent="0.25">
      <c r="A11" s="8">
        <v>44287</v>
      </c>
      <c r="B11" s="10">
        <v>147620.32967032967</v>
      </c>
    </row>
    <row r="12" spans="1:5" x14ac:dyDescent="0.25">
      <c r="A12" s="8">
        <v>44378</v>
      </c>
      <c r="B12" s="10">
        <v>138054.89130434784</v>
      </c>
    </row>
    <row r="13" spans="1:5" x14ac:dyDescent="0.25">
      <c r="A13" s="8">
        <v>44470</v>
      </c>
      <c r="B13" s="10">
        <v>131137.5</v>
      </c>
    </row>
    <row r="14" spans="1:5" x14ac:dyDescent="0.25">
      <c r="A14" s="8">
        <v>44562</v>
      </c>
      <c r="B14" s="10">
        <v>144677.77777777778</v>
      </c>
    </row>
    <row r="15" spans="1:5" x14ac:dyDescent="0.25">
      <c r="A15" s="8">
        <v>44652</v>
      </c>
      <c r="B15" s="10">
        <v>129956.59340659341</v>
      </c>
    </row>
    <row r="16" spans="1:5" x14ac:dyDescent="0.25">
      <c r="A16" s="8">
        <v>44743</v>
      </c>
      <c r="B16" s="10">
        <v>127152.71739130435</v>
      </c>
    </row>
    <row r="17" spans="1:5" x14ac:dyDescent="0.25">
      <c r="A17" s="8">
        <v>44835</v>
      </c>
      <c r="B17" s="10">
        <v>141321.19565217392</v>
      </c>
      <c r="C17" s="10">
        <v>141321.19565217392</v>
      </c>
      <c r="D17" s="10">
        <v>141321.19565217392</v>
      </c>
      <c r="E17" s="10">
        <v>141321.19565217392</v>
      </c>
    </row>
    <row r="18" spans="1:5" x14ac:dyDescent="0.25">
      <c r="A18" s="8">
        <v>44927</v>
      </c>
      <c r="C18" s="10">
        <f>_xlfn.FORECAST.ETS(A18,$B$2:$B$17,$A$2:$A$17,2,1)</f>
        <v>129648.75467745715</v>
      </c>
      <c r="D18" s="10">
        <f>C18-_xlfn.FORECAST.ETS.CONFINT(A18,$B$2:$B$17,$A$2:$A$17,0.95,2,1)</f>
        <v>109851.70853730604</v>
      </c>
      <c r="E18" s="10">
        <f>C18+_xlfn.FORECAST.ETS.CONFINT(A18,$B$2:$B$17,$A$2:$A$17,0.95,2,1)</f>
        <v>149445.80081760828</v>
      </c>
    </row>
    <row r="19" spans="1:5" x14ac:dyDescent="0.25">
      <c r="A19" s="8">
        <v>45017</v>
      </c>
      <c r="C19" s="10">
        <f>_xlfn.FORECAST.ETS(A19,$B$2:$B$17,$A$2:$A$17,2,1)</f>
        <v>137894.82587907676</v>
      </c>
      <c r="D19" s="10">
        <f>C19-_xlfn.FORECAST.ETS.CONFINT(A19,$B$2:$B$17,$A$2:$A$17,0.95,2,1)</f>
        <v>118097.69065241845</v>
      </c>
      <c r="E19" s="10">
        <f>C19+_xlfn.FORECAST.ETS.CONFINT(A19,$B$2:$B$17,$A$2:$A$17,0.95,2,1)</f>
        <v>157691.96110573507</v>
      </c>
    </row>
    <row r="20" spans="1:5" x14ac:dyDescent="0.25">
      <c r="A20" s="8">
        <v>45108</v>
      </c>
      <c r="C20" s="10">
        <f>_xlfn.FORECAST.ETS(A20,$B$2:$B$17,$A$2:$A$17,2,1)</f>
        <v>129241.847549214</v>
      </c>
      <c r="D20" s="10">
        <f>C20-_xlfn.FORECAST.ETS.CONFINT(A20,$B$2:$B$17,$A$2:$A$17,0.95,2,1)</f>
        <v>109280.67137087733</v>
      </c>
      <c r="E20" s="10">
        <f>C20+_xlfn.FORECAST.ETS.CONFINT(A20,$B$2:$B$17,$A$2:$A$17,0.95,2,1)</f>
        <v>149203.02372755067</v>
      </c>
    </row>
    <row r="21" spans="1:5" x14ac:dyDescent="0.25">
      <c r="A21" s="8">
        <v>45200</v>
      </c>
      <c r="C21" s="10">
        <f>_xlfn.FORECAST.ETS(A21,$B$2:$B$17,$A$2:$A$17,2,1)</f>
        <v>137487.91875083363</v>
      </c>
      <c r="D21" s="10">
        <f>C21-_xlfn.FORECAST.ETS.CONFINT(A21,$B$2:$B$17,$A$2:$A$17,0.95,2,1)</f>
        <v>117526.49714568505</v>
      </c>
      <c r="E21" s="10">
        <f>C21+_xlfn.FORECAST.ETS.CONFINT(A21,$B$2:$B$17,$A$2:$A$17,0.95,2,1)</f>
        <v>157449.34035598222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4B5-8A93-47AD-941E-0FD14C4BD2CB}">
  <dimension ref="A1:R1462"/>
  <sheetViews>
    <sheetView workbookViewId="0">
      <selection activeCell="R1428" sqref="R1428"/>
    </sheetView>
  </sheetViews>
  <sheetFormatPr defaultRowHeight="15" x14ac:dyDescent="0.25"/>
  <cols>
    <col min="1" max="1" width="10.7109375" bestFit="1" customWidth="1"/>
    <col min="2" max="2" width="7.28515625" bestFit="1" customWidth="1"/>
    <col min="3" max="3" width="15" style="8" bestFit="1" customWidth="1"/>
    <col min="4" max="4" width="10.7109375" bestFit="1" customWidth="1"/>
    <col min="5" max="5" width="12.5703125" bestFit="1" customWidth="1"/>
    <col min="6" max="6" width="16.28515625" bestFit="1" customWidth="1"/>
    <col min="7" max="7" width="16" bestFit="1" customWidth="1"/>
    <col min="8" max="8" width="18.42578125" style="9" bestFit="1" customWidth="1"/>
    <col min="9" max="9" width="15.42578125" style="9" bestFit="1" customWidth="1"/>
    <col min="10" max="10" width="17" style="10" bestFit="1" customWidth="1"/>
    <col min="11" max="11" width="14.5703125" style="10" bestFit="1" customWidth="1"/>
    <col min="12" max="12" width="15.42578125" style="10" bestFit="1" customWidth="1"/>
    <col min="13" max="13" width="17.140625" style="10" bestFit="1" customWidth="1"/>
    <col min="14" max="14" width="18.42578125" style="23" bestFit="1" customWidth="1"/>
    <col min="15" max="15" width="18.28515625" style="10" bestFit="1" customWidth="1"/>
    <col min="16" max="16" width="20.7109375" style="10" bestFit="1" customWidth="1"/>
    <col min="17" max="17" width="21.28515625" style="13" bestFit="1" customWidth="1"/>
    <col min="18" max="18" width="17" style="11" bestFit="1" customWidth="1"/>
  </cols>
  <sheetData>
    <row r="1" spans="1:18" x14ac:dyDescent="0.25">
      <c r="A1" t="s">
        <v>0</v>
      </c>
      <c r="B1" t="s">
        <v>1</v>
      </c>
      <c r="C1" t="s">
        <v>26</v>
      </c>
      <c r="D1" t="s">
        <v>3</v>
      </c>
      <c r="E1" t="s">
        <v>4</v>
      </c>
      <c r="F1" t="s">
        <v>5</v>
      </c>
      <c r="G1" t="s">
        <v>6</v>
      </c>
      <c r="H1" s="9" t="s">
        <v>7</v>
      </c>
      <c r="I1" s="9" t="s">
        <v>8</v>
      </c>
      <c r="J1" s="10" t="s">
        <v>9</v>
      </c>
      <c r="K1" s="10" t="s">
        <v>10</v>
      </c>
      <c r="L1" t="s">
        <v>65</v>
      </c>
      <c r="M1" t="s">
        <v>85</v>
      </c>
      <c r="N1" s="23" t="s">
        <v>99</v>
      </c>
      <c r="O1" s="22" t="s">
        <v>57</v>
      </c>
      <c r="P1" s="22" t="s">
        <v>62</v>
      </c>
      <c r="Q1" s="11" t="s">
        <v>27</v>
      </c>
      <c r="R1" s="12" t="s">
        <v>28</v>
      </c>
    </row>
    <row r="2" spans="1:18" hidden="1" x14ac:dyDescent="0.25">
      <c r="A2">
        <v>10001</v>
      </c>
      <c r="B2">
        <v>2019</v>
      </c>
      <c r="C2" t="s">
        <v>66</v>
      </c>
      <c r="D2" s="8">
        <v>43466</v>
      </c>
      <c r="E2" t="s">
        <v>11</v>
      </c>
      <c r="F2" t="s">
        <v>12</v>
      </c>
      <c r="G2" t="s">
        <v>13</v>
      </c>
      <c r="H2" s="9">
        <v>34</v>
      </c>
      <c r="I2" s="9">
        <v>348</v>
      </c>
      <c r="J2" s="10">
        <v>261000</v>
      </c>
      <c r="K2" s="10">
        <v>60030</v>
      </c>
      <c r="L2">
        <v>1</v>
      </c>
      <c r="M2" s="8">
        <v>43466</v>
      </c>
      <c r="N2" s="23">
        <v>1.3147233653291301E-3</v>
      </c>
      <c r="O2" s="10" t="str">
        <f>IF(Sales_Data[[#This Row],[Total Profit]]&gt;0,"Profitable","Loss")</f>
        <v>Profitable</v>
      </c>
      <c r="P2" s="10" t="str">
        <f>IF(Sales_Data[[#This Row],[Total Profit]]&gt;100000,"High Value",IF(Sales_Data[[#This Row],[Total Profit]]&gt;60000,"Medium","Low"))</f>
        <v>Medium</v>
      </c>
      <c r="Q2" s="11" t="str">
        <f>PROPER(Sales_Data[[#This Row],[Month Name]])</f>
        <v>Janeiro</v>
      </c>
      <c r="R2" s="11" t="str">
        <f>PROPER(Sales_Data[[#This Row],[Sales Manager]])</f>
        <v>Emily White</v>
      </c>
    </row>
    <row r="3" spans="1:18" hidden="1" x14ac:dyDescent="0.25">
      <c r="A3">
        <v>10002</v>
      </c>
      <c r="B3">
        <v>2019</v>
      </c>
      <c r="C3" t="s">
        <v>66</v>
      </c>
      <c r="D3" s="8">
        <v>43467</v>
      </c>
      <c r="E3" t="s">
        <v>14</v>
      </c>
      <c r="F3" t="s">
        <v>12</v>
      </c>
      <c r="G3" t="s">
        <v>15</v>
      </c>
      <c r="H3" s="9">
        <v>4</v>
      </c>
      <c r="I3" s="9">
        <v>145</v>
      </c>
      <c r="J3" s="10">
        <v>72500</v>
      </c>
      <c r="K3" s="10">
        <v>13775</v>
      </c>
      <c r="L3">
        <v>1</v>
      </c>
      <c r="M3" s="8">
        <v>43466</v>
      </c>
      <c r="N3" s="23">
        <v>3.6520093481364803E-4</v>
      </c>
      <c r="O3" s="10" t="str">
        <f>IF(Sales_Data[[#This Row],[Total Profit]]&gt;0,"Profitable","Loss")</f>
        <v>Profitable</v>
      </c>
      <c r="P3" s="10" t="str">
        <f>IF(Sales_Data[[#This Row],[Total Profit]]&gt;100000,"High Value",IF(Sales_Data[[#This Row],[Total Profit]]&gt;60000,"Medium","Low"))</f>
        <v>Low</v>
      </c>
      <c r="Q3" s="11" t="str">
        <f>PROPER(Sales_Data[[#This Row],[Month Name]])</f>
        <v>Janeiro</v>
      </c>
      <c r="R3" s="11" t="str">
        <f>PROPER(Sales_Data[[#This Row],[Sales Manager]])</f>
        <v>Emily White</v>
      </c>
    </row>
    <row r="4" spans="1:18" hidden="1" x14ac:dyDescent="0.25">
      <c r="A4">
        <v>10003</v>
      </c>
      <c r="B4">
        <v>2019</v>
      </c>
      <c r="C4" t="s">
        <v>66</v>
      </c>
      <c r="D4" s="8">
        <v>43468</v>
      </c>
      <c r="E4" t="s">
        <v>14</v>
      </c>
      <c r="F4" t="s">
        <v>16</v>
      </c>
      <c r="G4" t="s">
        <v>17</v>
      </c>
      <c r="H4" s="9">
        <v>11</v>
      </c>
      <c r="I4" s="9">
        <v>427</v>
      </c>
      <c r="J4" s="10">
        <v>106750</v>
      </c>
      <c r="K4" s="10">
        <v>40565</v>
      </c>
      <c r="L4">
        <v>1</v>
      </c>
      <c r="M4" s="8">
        <v>43466</v>
      </c>
      <c r="N4" s="23">
        <v>5.37726893673889E-4</v>
      </c>
      <c r="O4" s="10" t="str">
        <f>IF(Sales_Data[[#This Row],[Total Profit]]&gt;0,"Profitable","Loss")</f>
        <v>Profitable</v>
      </c>
      <c r="P4" s="10" t="str">
        <f>IF(Sales_Data[[#This Row],[Total Profit]]&gt;100000,"High Value",IF(Sales_Data[[#This Row],[Total Profit]]&gt;60000,"Medium","Low"))</f>
        <v>Low</v>
      </c>
      <c r="Q4" s="11" t="str">
        <f>PROPER(Sales_Data[[#This Row],[Month Name]])</f>
        <v>Janeiro</v>
      </c>
      <c r="R4" s="11" t="str">
        <f>PROPER(Sales_Data[[#This Row],[Sales Manager]])</f>
        <v>James Brown</v>
      </c>
    </row>
    <row r="5" spans="1:18" hidden="1" x14ac:dyDescent="0.25">
      <c r="A5">
        <v>10004</v>
      </c>
      <c r="B5">
        <v>2019</v>
      </c>
      <c r="C5" t="s">
        <v>66</v>
      </c>
      <c r="D5" s="8">
        <v>43469</v>
      </c>
      <c r="E5" t="s">
        <v>11</v>
      </c>
      <c r="F5" t="s">
        <v>12</v>
      </c>
      <c r="G5" t="s">
        <v>13</v>
      </c>
      <c r="H5" s="9">
        <v>16</v>
      </c>
      <c r="I5" s="9">
        <v>388</v>
      </c>
      <c r="J5" s="10">
        <v>291000</v>
      </c>
      <c r="K5" s="10">
        <v>110580</v>
      </c>
      <c r="L5">
        <v>1</v>
      </c>
      <c r="M5" s="8">
        <v>43466</v>
      </c>
      <c r="N5" s="23">
        <v>1.4658409935278799E-3</v>
      </c>
      <c r="O5" s="10" t="str">
        <f>IF(Sales_Data[[#This Row],[Total Profit]]&gt;0,"Profitable","Loss")</f>
        <v>Profitable</v>
      </c>
      <c r="P5" s="10" t="str">
        <f>IF(Sales_Data[[#This Row],[Total Profit]]&gt;100000,"High Value",IF(Sales_Data[[#This Row],[Total Profit]]&gt;60000,"Medium","Low"))</f>
        <v>High Value</v>
      </c>
      <c r="Q5" s="11" t="str">
        <f>PROPER(Sales_Data[[#This Row],[Month Name]])</f>
        <v>Janeiro</v>
      </c>
      <c r="R5" s="11" t="str">
        <f>PROPER(Sales_Data[[#This Row],[Sales Manager]])</f>
        <v>Emily White</v>
      </c>
    </row>
    <row r="6" spans="1:18" hidden="1" x14ac:dyDescent="0.25">
      <c r="A6">
        <v>10005</v>
      </c>
      <c r="B6">
        <v>2019</v>
      </c>
      <c r="C6" t="s">
        <v>66</v>
      </c>
      <c r="D6" s="8">
        <v>43470</v>
      </c>
      <c r="E6" t="s">
        <v>14</v>
      </c>
      <c r="F6" t="s">
        <v>18</v>
      </c>
      <c r="G6" t="s">
        <v>15</v>
      </c>
      <c r="H6" s="9">
        <v>34</v>
      </c>
      <c r="I6" s="9">
        <v>363</v>
      </c>
      <c r="J6" s="10">
        <v>181500</v>
      </c>
      <c r="K6" s="10">
        <v>39930</v>
      </c>
      <c r="L6">
        <v>1</v>
      </c>
      <c r="M6" s="8">
        <v>43466</v>
      </c>
      <c r="N6" s="23">
        <v>9.1426165060244299E-4</v>
      </c>
      <c r="O6" s="10" t="str">
        <f>IF(Sales_Data[[#This Row],[Total Profit]]&gt;0,"Profitable","Loss")</f>
        <v>Profitable</v>
      </c>
      <c r="P6" s="10" t="str">
        <f>IF(Sales_Data[[#This Row],[Total Profit]]&gt;100000,"High Value",IF(Sales_Data[[#This Row],[Total Profit]]&gt;60000,"Medium","Low"))</f>
        <v>Low</v>
      </c>
      <c r="Q6" s="11" t="str">
        <f>PROPER(Sales_Data[[#This Row],[Month Name]])</f>
        <v>Janeiro</v>
      </c>
      <c r="R6" s="11" t="str">
        <f>PROPER(Sales_Data[[#This Row],[Sales Manager]])</f>
        <v>Jane Doe</v>
      </c>
    </row>
    <row r="7" spans="1:18" hidden="1" x14ac:dyDescent="0.25">
      <c r="A7">
        <v>10006</v>
      </c>
      <c r="B7">
        <v>2019</v>
      </c>
      <c r="C7" t="s">
        <v>66</v>
      </c>
      <c r="D7" s="8">
        <v>43471</v>
      </c>
      <c r="E7" t="s">
        <v>19</v>
      </c>
      <c r="F7" t="s">
        <v>16</v>
      </c>
      <c r="G7" t="s">
        <v>20</v>
      </c>
      <c r="H7" s="9">
        <v>5</v>
      </c>
      <c r="I7" s="9">
        <v>124</v>
      </c>
      <c r="J7" s="10">
        <v>105400</v>
      </c>
      <c r="K7" s="10">
        <v>37944</v>
      </c>
      <c r="L7">
        <v>2</v>
      </c>
      <c r="M7" s="8">
        <v>43466</v>
      </c>
      <c r="N7" s="23">
        <v>5.3092660040494498E-4</v>
      </c>
      <c r="O7" s="10" t="str">
        <f>IF(Sales_Data[[#This Row],[Total Profit]]&gt;0,"Profitable","Loss")</f>
        <v>Profitable</v>
      </c>
      <c r="P7" s="10" t="str">
        <f>IF(Sales_Data[[#This Row],[Total Profit]]&gt;100000,"High Value",IF(Sales_Data[[#This Row],[Total Profit]]&gt;60000,"Medium","Low"))</f>
        <v>Low</v>
      </c>
      <c r="Q7" s="11" t="str">
        <f>PROPER(Sales_Data[[#This Row],[Month Name]])</f>
        <v>Janeiro</v>
      </c>
      <c r="R7" s="11" t="str">
        <f>PROPER(Sales_Data[[#This Row],[Sales Manager]])</f>
        <v>James Brown</v>
      </c>
    </row>
    <row r="8" spans="1:18" hidden="1" x14ac:dyDescent="0.25">
      <c r="A8">
        <v>10007</v>
      </c>
      <c r="B8">
        <v>2019</v>
      </c>
      <c r="C8" t="s">
        <v>66</v>
      </c>
      <c r="D8" s="8">
        <v>43472</v>
      </c>
      <c r="E8" t="s">
        <v>14</v>
      </c>
      <c r="F8" t="s">
        <v>21</v>
      </c>
      <c r="G8" t="s">
        <v>17</v>
      </c>
      <c r="H8" s="9">
        <v>13</v>
      </c>
      <c r="I8" s="9">
        <v>389</v>
      </c>
      <c r="J8" s="10">
        <v>97250</v>
      </c>
      <c r="K8" s="10">
        <v>41817.5</v>
      </c>
      <c r="L8">
        <v>2</v>
      </c>
      <c r="M8" s="8">
        <v>43466</v>
      </c>
      <c r="N8" s="23">
        <v>4.8987297807761795E-4</v>
      </c>
      <c r="O8" s="10" t="str">
        <f>IF(Sales_Data[[#This Row],[Total Profit]]&gt;0,"Profitable","Loss")</f>
        <v>Profitable</v>
      </c>
      <c r="P8" s="10" t="str">
        <f>IF(Sales_Data[[#This Row],[Total Profit]]&gt;100000,"High Value",IF(Sales_Data[[#This Row],[Total Profit]]&gt;60000,"Medium","Low"))</f>
        <v>Low</v>
      </c>
      <c r="Q8" s="11" t="str">
        <f>PROPER(Sales_Data[[#This Row],[Month Name]])</f>
        <v>Janeiro</v>
      </c>
      <c r="R8" s="11" t="str">
        <f>PROPER(Sales_Data[[#This Row],[Sales Manager]])</f>
        <v>John Smith</v>
      </c>
    </row>
    <row r="9" spans="1:18" hidden="1" x14ac:dyDescent="0.25">
      <c r="A9">
        <v>10008</v>
      </c>
      <c r="B9">
        <v>2019</v>
      </c>
      <c r="C9" t="s">
        <v>66</v>
      </c>
      <c r="D9" s="8">
        <v>43473</v>
      </c>
      <c r="E9" t="s">
        <v>14</v>
      </c>
      <c r="F9" t="s">
        <v>18</v>
      </c>
      <c r="G9" t="s">
        <v>15</v>
      </c>
      <c r="H9" s="9">
        <v>3</v>
      </c>
      <c r="I9" s="9">
        <v>132</v>
      </c>
      <c r="J9" s="10">
        <v>66000</v>
      </c>
      <c r="K9" s="10">
        <v>23100</v>
      </c>
      <c r="L9">
        <v>2</v>
      </c>
      <c r="M9" s="8">
        <v>43466</v>
      </c>
      <c r="N9" s="23">
        <v>3.3245878203725201E-4</v>
      </c>
      <c r="O9" s="10" t="str">
        <f>IF(Sales_Data[[#This Row],[Total Profit]]&gt;0,"Profitable","Loss")</f>
        <v>Profitable</v>
      </c>
      <c r="P9" s="10" t="str">
        <f>IF(Sales_Data[[#This Row],[Total Profit]]&gt;100000,"High Value",IF(Sales_Data[[#This Row],[Total Profit]]&gt;60000,"Medium","Low"))</f>
        <v>Low</v>
      </c>
      <c r="Q9" s="11" t="str">
        <f>PROPER(Sales_Data[[#This Row],[Month Name]])</f>
        <v>Janeiro</v>
      </c>
      <c r="R9" s="11" t="str">
        <f>PROPER(Sales_Data[[#This Row],[Sales Manager]])</f>
        <v>Jane Doe</v>
      </c>
    </row>
    <row r="10" spans="1:18" hidden="1" x14ac:dyDescent="0.25">
      <c r="A10">
        <v>10009</v>
      </c>
      <c r="B10">
        <v>2019</v>
      </c>
      <c r="C10" t="s">
        <v>66</v>
      </c>
      <c r="D10" s="8">
        <v>43474</v>
      </c>
      <c r="E10" t="s">
        <v>22</v>
      </c>
      <c r="F10" t="s">
        <v>12</v>
      </c>
      <c r="G10" t="s">
        <v>23</v>
      </c>
      <c r="H10" s="9">
        <v>4</v>
      </c>
      <c r="I10" s="9">
        <v>58</v>
      </c>
      <c r="J10" s="10">
        <v>20300</v>
      </c>
      <c r="K10" s="10">
        <v>7917</v>
      </c>
      <c r="L10">
        <v>2</v>
      </c>
      <c r="M10" s="8">
        <v>43466</v>
      </c>
      <c r="N10" s="23">
        <v>1.02256261747821E-4</v>
      </c>
      <c r="O10" s="10" t="str">
        <f>IF(Sales_Data[[#This Row],[Total Profit]]&gt;0,"Profitable","Loss")</f>
        <v>Profitable</v>
      </c>
      <c r="P10" s="10" t="str">
        <f>IF(Sales_Data[[#This Row],[Total Profit]]&gt;100000,"High Value",IF(Sales_Data[[#This Row],[Total Profit]]&gt;60000,"Medium","Low"))</f>
        <v>Low</v>
      </c>
      <c r="Q10" s="11" t="str">
        <f>PROPER(Sales_Data[[#This Row],[Month Name]])</f>
        <v>Janeiro</v>
      </c>
      <c r="R10" s="11" t="str">
        <f>PROPER(Sales_Data[[#This Row],[Sales Manager]])</f>
        <v>Emily White</v>
      </c>
    </row>
    <row r="11" spans="1:18" hidden="1" x14ac:dyDescent="0.25">
      <c r="A11">
        <v>10010</v>
      </c>
      <c r="B11">
        <v>2019</v>
      </c>
      <c r="C11" t="s">
        <v>66</v>
      </c>
      <c r="D11" s="8">
        <v>43475</v>
      </c>
      <c r="E11" t="s">
        <v>19</v>
      </c>
      <c r="F11" t="s">
        <v>24</v>
      </c>
      <c r="G11" t="s">
        <v>13</v>
      </c>
      <c r="H11" s="9">
        <v>25</v>
      </c>
      <c r="I11" s="9">
        <v>261</v>
      </c>
      <c r="J11" s="10">
        <v>195750</v>
      </c>
      <c r="K11" s="10">
        <v>27405.000000000004</v>
      </c>
      <c r="L11">
        <v>2</v>
      </c>
      <c r="M11" s="8">
        <v>43466</v>
      </c>
      <c r="N11" s="23">
        <v>9.8604252399684994E-4</v>
      </c>
      <c r="O11" s="10" t="str">
        <f>IF(Sales_Data[[#This Row],[Total Profit]]&gt;0,"Profitable","Loss")</f>
        <v>Profitable</v>
      </c>
      <c r="P11" s="10" t="str">
        <f>IF(Sales_Data[[#This Row],[Total Profit]]&gt;100000,"High Value",IF(Sales_Data[[#This Row],[Total Profit]]&gt;60000,"Medium","Low"))</f>
        <v>Low</v>
      </c>
      <c r="Q11" s="11" t="str">
        <f>PROPER(Sales_Data[[#This Row],[Month Name]])</f>
        <v>Janeiro</v>
      </c>
      <c r="R11" s="11" t="str">
        <f>PROPER(Sales_Data[[#This Row],[Sales Manager]])</f>
        <v>Liam Lee</v>
      </c>
    </row>
    <row r="12" spans="1:18" hidden="1" x14ac:dyDescent="0.25">
      <c r="A12">
        <v>10011</v>
      </c>
      <c r="B12">
        <v>2019</v>
      </c>
      <c r="C12" t="s">
        <v>66</v>
      </c>
      <c r="D12" s="8">
        <v>43476</v>
      </c>
      <c r="E12" t="s">
        <v>14</v>
      </c>
      <c r="F12" t="s">
        <v>18</v>
      </c>
      <c r="G12" t="s">
        <v>13</v>
      </c>
      <c r="H12" s="9">
        <v>17</v>
      </c>
      <c r="I12" s="9">
        <v>275</v>
      </c>
      <c r="J12" s="10">
        <v>206250</v>
      </c>
      <c r="K12" s="10">
        <v>72187.5</v>
      </c>
      <c r="L12">
        <v>2</v>
      </c>
      <c r="M12" s="8">
        <v>43466</v>
      </c>
      <c r="N12" s="23">
        <v>1.03893369386641E-3</v>
      </c>
      <c r="O12" s="10" t="str">
        <f>IF(Sales_Data[[#This Row],[Total Profit]]&gt;0,"Profitable","Loss")</f>
        <v>Profitable</v>
      </c>
      <c r="P12" s="10" t="str">
        <f>IF(Sales_Data[[#This Row],[Total Profit]]&gt;100000,"High Value",IF(Sales_Data[[#This Row],[Total Profit]]&gt;60000,"Medium","Low"))</f>
        <v>Medium</v>
      </c>
      <c r="Q12" s="11" t="str">
        <f>PROPER(Sales_Data[[#This Row],[Month Name]])</f>
        <v>Janeiro</v>
      </c>
      <c r="R12" s="11" t="str">
        <f>PROPER(Sales_Data[[#This Row],[Sales Manager]])</f>
        <v>Jane Doe</v>
      </c>
    </row>
    <row r="13" spans="1:18" hidden="1" x14ac:dyDescent="0.25">
      <c r="A13">
        <v>10012</v>
      </c>
      <c r="B13">
        <v>2019</v>
      </c>
      <c r="C13" t="s">
        <v>66</v>
      </c>
      <c r="D13" s="8">
        <v>43477</v>
      </c>
      <c r="E13" t="s">
        <v>11</v>
      </c>
      <c r="F13" t="s">
        <v>16</v>
      </c>
      <c r="G13" t="s">
        <v>20</v>
      </c>
      <c r="H13" s="9">
        <v>7</v>
      </c>
      <c r="I13" s="9">
        <v>348</v>
      </c>
      <c r="J13" s="10">
        <v>295800</v>
      </c>
      <c r="K13" s="10">
        <v>68034</v>
      </c>
      <c r="L13">
        <v>2</v>
      </c>
      <c r="M13" s="8">
        <v>43466</v>
      </c>
      <c r="N13" s="23">
        <v>1.49001981403968E-3</v>
      </c>
      <c r="O13" s="10" t="str">
        <f>IF(Sales_Data[[#This Row],[Total Profit]]&gt;0,"Profitable","Loss")</f>
        <v>Profitable</v>
      </c>
      <c r="P13" s="10" t="str">
        <f>IF(Sales_Data[[#This Row],[Total Profit]]&gt;100000,"High Value",IF(Sales_Data[[#This Row],[Total Profit]]&gt;60000,"Medium","Low"))</f>
        <v>Medium</v>
      </c>
      <c r="Q13" s="11" t="str">
        <f>PROPER(Sales_Data[[#This Row],[Month Name]])</f>
        <v>Janeiro</v>
      </c>
      <c r="R13" s="11" t="str">
        <f>PROPER(Sales_Data[[#This Row],[Sales Manager]])</f>
        <v>James Brown</v>
      </c>
    </row>
    <row r="14" spans="1:18" hidden="1" x14ac:dyDescent="0.25">
      <c r="A14">
        <v>10013</v>
      </c>
      <c r="B14">
        <v>2019</v>
      </c>
      <c r="C14" t="s">
        <v>66</v>
      </c>
      <c r="D14" s="8">
        <v>43478</v>
      </c>
      <c r="E14" t="s">
        <v>25</v>
      </c>
      <c r="F14" t="s">
        <v>24</v>
      </c>
      <c r="G14" t="s">
        <v>17</v>
      </c>
      <c r="H14" s="9">
        <v>12</v>
      </c>
      <c r="I14" s="9">
        <v>437</v>
      </c>
      <c r="J14" s="10">
        <v>109250</v>
      </c>
      <c r="K14" s="10">
        <v>20757.5</v>
      </c>
      <c r="L14">
        <v>3</v>
      </c>
      <c r="M14" s="8">
        <v>43466</v>
      </c>
      <c r="N14" s="23">
        <v>5.5032002935711795E-4</v>
      </c>
      <c r="O14" s="10" t="str">
        <f>IF(Sales_Data[[#This Row],[Total Profit]]&gt;0,"Profitable","Loss")</f>
        <v>Profitable</v>
      </c>
      <c r="P14" s="10" t="str">
        <f>IF(Sales_Data[[#This Row],[Total Profit]]&gt;100000,"High Value",IF(Sales_Data[[#This Row],[Total Profit]]&gt;60000,"Medium","Low"))</f>
        <v>Low</v>
      </c>
      <c r="Q14" s="11" t="str">
        <f>PROPER(Sales_Data[[#This Row],[Month Name]])</f>
        <v>Janeiro</v>
      </c>
      <c r="R14" s="11" t="str">
        <f>PROPER(Sales_Data[[#This Row],[Sales Manager]])</f>
        <v>Liam Lee</v>
      </c>
    </row>
    <row r="15" spans="1:18" hidden="1" x14ac:dyDescent="0.25">
      <c r="A15">
        <v>10014</v>
      </c>
      <c r="B15">
        <v>2019</v>
      </c>
      <c r="C15" t="s">
        <v>66</v>
      </c>
      <c r="D15" s="8">
        <v>43479</v>
      </c>
      <c r="E15" t="s">
        <v>14</v>
      </c>
      <c r="F15" t="s">
        <v>16</v>
      </c>
      <c r="G15" t="s">
        <v>17</v>
      </c>
      <c r="H15" s="9">
        <v>39</v>
      </c>
      <c r="I15" s="9">
        <v>395</v>
      </c>
      <c r="J15" s="10">
        <v>98750</v>
      </c>
      <c r="K15" s="10">
        <v>17775</v>
      </c>
      <c r="L15">
        <v>3</v>
      </c>
      <c r="M15" s="8">
        <v>43466</v>
      </c>
      <c r="N15" s="23">
        <v>4.9742885948755497E-4</v>
      </c>
      <c r="O15" s="10" t="str">
        <f>IF(Sales_Data[[#This Row],[Total Profit]]&gt;0,"Profitable","Loss")</f>
        <v>Profitable</v>
      </c>
      <c r="P15" s="10" t="str">
        <f>IF(Sales_Data[[#This Row],[Total Profit]]&gt;100000,"High Value",IF(Sales_Data[[#This Row],[Total Profit]]&gt;60000,"Medium","Low"))</f>
        <v>Low</v>
      </c>
      <c r="Q15" s="11" t="str">
        <f>PROPER(Sales_Data[[#This Row],[Month Name]])</f>
        <v>Janeiro</v>
      </c>
      <c r="R15" s="11" t="str">
        <f>PROPER(Sales_Data[[#This Row],[Sales Manager]])</f>
        <v>James Brown</v>
      </c>
    </row>
    <row r="16" spans="1:18" hidden="1" x14ac:dyDescent="0.25">
      <c r="A16">
        <v>10015</v>
      </c>
      <c r="B16">
        <v>2019</v>
      </c>
      <c r="C16" t="s">
        <v>66</v>
      </c>
      <c r="D16" s="8">
        <v>43480</v>
      </c>
      <c r="E16" t="s">
        <v>22</v>
      </c>
      <c r="F16" t="s">
        <v>16</v>
      </c>
      <c r="G16" t="s">
        <v>20</v>
      </c>
      <c r="H16" s="9">
        <v>5</v>
      </c>
      <c r="I16" s="9">
        <v>81</v>
      </c>
      <c r="J16" s="10">
        <v>68850</v>
      </c>
      <c r="K16" s="10">
        <v>28228.5</v>
      </c>
      <c r="L16">
        <v>3</v>
      </c>
      <c r="M16" s="8">
        <v>43466</v>
      </c>
      <c r="N16" s="23">
        <v>3.46814956716133E-4</v>
      </c>
      <c r="O16" s="10" t="str">
        <f>IF(Sales_Data[[#This Row],[Total Profit]]&gt;0,"Profitable","Loss")</f>
        <v>Profitable</v>
      </c>
      <c r="P16" s="10" t="str">
        <f>IF(Sales_Data[[#This Row],[Total Profit]]&gt;100000,"High Value",IF(Sales_Data[[#This Row],[Total Profit]]&gt;60000,"Medium","Low"))</f>
        <v>Low</v>
      </c>
      <c r="Q16" s="11" t="str">
        <f>PROPER(Sales_Data[[#This Row],[Month Name]])</f>
        <v>Janeiro</v>
      </c>
      <c r="R16" s="11" t="str">
        <f>PROPER(Sales_Data[[#This Row],[Sales Manager]])</f>
        <v>James Brown</v>
      </c>
    </row>
    <row r="17" spans="1:18" hidden="1" x14ac:dyDescent="0.25">
      <c r="A17">
        <v>10016</v>
      </c>
      <c r="B17">
        <v>2019</v>
      </c>
      <c r="C17" t="s">
        <v>66</v>
      </c>
      <c r="D17" s="8">
        <v>43481</v>
      </c>
      <c r="E17" t="s">
        <v>11</v>
      </c>
      <c r="F17" t="s">
        <v>21</v>
      </c>
      <c r="G17" t="s">
        <v>15</v>
      </c>
      <c r="H17" s="9">
        <v>29</v>
      </c>
      <c r="I17" s="9">
        <v>357</v>
      </c>
      <c r="J17" s="10">
        <v>178500</v>
      </c>
      <c r="K17" s="10">
        <v>23205</v>
      </c>
      <c r="L17">
        <v>3</v>
      </c>
      <c r="M17" s="8">
        <v>43466</v>
      </c>
      <c r="N17" s="23">
        <v>8.9914988778256797E-4</v>
      </c>
      <c r="O17" s="10" t="str">
        <f>IF(Sales_Data[[#This Row],[Total Profit]]&gt;0,"Profitable","Loss")</f>
        <v>Profitable</v>
      </c>
      <c r="P17" s="10" t="str">
        <f>IF(Sales_Data[[#This Row],[Total Profit]]&gt;100000,"High Value",IF(Sales_Data[[#This Row],[Total Profit]]&gt;60000,"Medium","Low"))</f>
        <v>Low</v>
      </c>
      <c r="Q17" s="11" t="str">
        <f>PROPER(Sales_Data[[#This Row],[Month Name]])</f>
        <v>Janeiro</v>
      </c>
      <c r="R17" s="11" t="str">
        <f>PROPER(Sales_Data[[#This Row],[Sales Manager]])</f>
        <v>John Smith</v>
      </c>
    </row>
    <row r="18" spans="1:18" hidden="1" x14ac:dyDescent="0.25">
      <c r="A18">
        <v>10017</v>
      </c>
      <c r="B18">
        <v>2019</v>
      </c>
      <c r="C18" t="s">
        <v>66</v>
      </c>
      <c r="D18" s="8">
        <v>43482</v>
      </c>
      <c r="E18" t="s">
        <v>11</v>
      </c>
      <c r="F18" t="s">
        <v>12</v>
      </c>
      <c r="G18" t="s">
        <v>17</v>
      </c>
      <c r="H18" s="9">
        <v>33</v>
      </c>
      <c r="I18" s="9">
        <v>384</v>
      </c>
      <c r="J18" s="10">
        <v>96000</v>
      </c>
      <c r="K18" s="10">
        <v>24000</v>
      </c>
      <c r="L18">
        <v>3</v>
      </c>
      <c r="M18" s="8">
        <v>43466</v>
      </c>
      <c r="N18" s="23">
        <v>4.8357641023600298E-4</v>
      </c>
      <c r="O18" s="10" t="str">
        <f>IF(Sales_Data[[#This Row],[Total Profit]]&gt;0,"Profitable","Loss")</f>
        <v>Profitable</v>
      </c>
      <c r="P18" s="10" t="str">
        <f>IF(Sales_Data[[#This Row],[Total Profit]]&gt;100000,"High Value",IF(Sales_Data[[#This Row],[Total Profit]]&gt;60000,"Medium","Low"))</f>
        <v>Low</v>
      </c>
      <c r="Q18" s="11" t="str">
        <f>PROPER(Sales_Data[[#This Row],[Month Name]])</f>
        <v>Janeiro</v>
      </c>
      <c r="R18" s="11" t="str">
        <f>PROPER(Sales_Data[[#This Row],[Sales Manager]])</f>
        <v>Emily White</v>
      </c>
    </row>
    <row r="19" spans="1:18" hidden="1" x14ac:dyDescent="0.25">
      <c r="A19">
        <v>10018</v>
      </c>
      <c r="B19">
        <v>2019</v>
      </c>
      <c r="C19" t="s">
        <v>66</v>
      </c>
      <c r="D19" s="8">
        <v>43483</v>
      </c>
      <c r="E19" t="s">
        <v>14</v>
      </c>
      <c r="F19" t="s">
        <v>12</v>
      </c>
      <c r="G19" t="s">
        <v>15</v>
      </c>
      <c r="H19" s="9">
        <v>9</v>
      </c>
      <c r="I19" s="9">
        <v>252</v>
      </c>
      <c r="J19" s="10">
        <v>126000</v>
      </c>
      <c r="K19" s="10">
        <v>12600</v>
      </c>
      <c r="L19">
        <v>3</v>
      </c>
      <c r="M19" s="8">
        <v>43466</v>
      </c>
      <c r="N19" s="23">
        <v>6.3469403843475396E-4</v>
      </c>
      <c r="O19" s="10" t="str">
        <f>IF(Sales_Data[[#This Row],[Total Profit]]&gt;0,"Profitable","Loss")</f>
        <v>Profitable</v>
      </c>
      <c r="P19" s="10" t="str">
        <f>IF(Sales_Data[[#This Row],[Total Profit]]&gt;100000,"High Value",IF(Sales_Data[[#This Row],[Total Profit]]&gt;60000,"Medium","Low"))</f>
        <v>Low</v>
      </c>
      <c r="Q19" s="11" t="str">
        <f>PROPER(Sales_Data[[#This Row],[Month Name]])</f>
        <v>Janeiro</v>
      </c>
      <c r="R19" s="11" t="str">
        <f>PROPER(Sales_Data[[#This Row],[Sales Manager]])</f>
        <v>Emily White</v>
      </c>
    </row>
    <row r="20" spans="1:18" hidden="1" x14ac:dyDescent="0.25">
      <c r="A20">
        <v>10019</v>
      </c>
      <c r="B20">
        <v>2019</v>
      </c>
      <c r="C20" t="s">
        <v>66</v>
      </c>
      <c r="D20" s="8">
        <v>43484</v>
      </c>
      <c r="E20" t="s">
        <v>14</v>
      </c>
      <c r="F20" t="s">
        <v>24</v>
      </c>
      <c r="G20" t="s">
        <v>15</v>
      </c>
      <c r="H20" s="9">
        <v>1</v>
      </c>
      <c r="I20" s="9">
        <v>44</v>
      </c>
      <c r="J20" s="10">
        <v>22000</v>
      </c>
      <c r="K20" s="10">
        <v>9460</v>
      </c>
      <c r="L20">
        <v>3</v>
      </c>
      <c r="M20" s="8">
        <v>43466</v>
      </c>
      <c r="N20" s="23">
        <v>1.10819594012417E-4</v>
      </c>
      <c r="O20" s="10" t="str">
        <f>IF(Sales_Data[[#This Row],[Total Profit]]&gt;0,"Profitable","Loss")</f>
        <v>Profitable</v>
      </c>
      <c r="P20" s="10" t="str">
        <f>IF(Sales_Data[[#This Row],[Total Profit]]&gt;100000,"High Value",IF(Sales_Data[[#This Row],[Total Profit]]&gt;60000,"Medium","Low"))</f>
        <v>Low</v>
      </c>
      <c r="Q20" s="11" t="str">
        <f>PROPER(Sales_Data[[#This Row],[Month Name]])</f>
        <v>Janeiro</v>
      </c>
      <c r="R20" s="11" t="str">
        <f>PROPER(Sales_Data[[#This Row],[Sales Manager]])</f>
        <v>Liam Lee</v>
      </c>
    </row>
    <row r="21" spans="1:18" hidden="1" x14ac:dyDescent="0.25">
      <c r="A21">
        <v>10020</v>
      </c>
      <c r="B21">
        <v>2019</v>
      </c>
      <c r="C21" t="s">
        <v>66</v>
      </c>
      <c r="D21" s="8">
        <v>43485</v>
      </c>
      <c r="E21" t="s">
        <v>22</v>
      </c>
      <c r="F21" t="s">
        <v>21</v>
      </c>
      <c r="G21" t="s">
        <v>13</v>
      </c>
      <c r="H21" s="9">
        <v>11</v>
      </c>
      <c r="I21" s="9">
        <v>161</v>
      </c>
      <c r="J21" s="10">
        <v>120750</v>
      </c>
      <c r="K21" s="10">
        <v>36225</v>
      </c>
      <c r="L21">
        <v>4</v>
      </c>
      <c r="M21" s="8">
        <v>43466</v>
      </c>
      <c r="N21" s="23">
        <v>6.0824845349997199E-4</v>
      </c>
      <c r="O21" s="10" t="str">
        <f>IF(Sales_Data[[#This Row],[Total Profit]]&gt;0,"Profitable","Loss")</f>
        <v>Profitable</v>
      </c>
      <c r="P21" s="10" t="str">
        <f>IF(Sales_Data[[#This Row],[Total Profit]]&gt;100000,"High Value",IF(Sales_Data[[#This Row],[Total Profit]]&gt;60000,"Medium","Low"))</f>
        <v>Low</v>
      </c>
      <c r="Q21" s="11" t="str">
        <f>PROPER(Sales_Data[[#This Row],[Month Name]])</f>
        <v>Janeiro</v>
      </c>
      <c r="R21" s="11" t="str">
        <f>PROPER(Sales_Data[[#This Row],[Sales Manager]])</f>
        <v>John Smith</v>
      </c>
    </row>
    <row r="22" spans="1:18" hidden="1" x14ac:dyDescent="0.25">
      <c r="A22">
        <v>10021</v>
      </c>
      <c r="B22">
        <v>2019</v>
      </c>
      <c r="C22" t="s">
        <v>66</v>
      </c>
      <c r="D22" s="8">
        <v>43486</v>
      </c>
      <c r="E22" t="s">
        <v>22</v>
      </c>
      <c r="F22" t="s">
        <v>16</v>
      </c>
      <c r="G22" t="s">
        <v>20</v>
      </c>
      <c r="H22" s="9">
        <v>9</v>
      </c>
      <c r="I22" s="9">
        <v>103</v>
      </c>
      <c r="J22" s="10">
        <v>87550</v>
      </c>
      <c r="K22" s="10">
        <v>21012</v>
      </c>
      <c r="L22">
        <v>4</v>
      </c>
      <c r="M22" s="8">
        <v>43466</v>
      </c>
      <c r="N22" s="23">
        <v>4.4101161162668799E-4</v>
      </c>
      <c r="O22" s="10" t="str">
        <f>IF(Sales_Data[[#This Row],[Total Profit]]&gt;0,"Profitable","Loss")</f>
        <v>Profitable</v>
      </c>
      <c r="P22" s="10" t="str">
        <f>IF(Sales_Data[[#This Row],[Total Profit]]&gt;100000,"High Value",IF(Sales_Data[[#This Row],[Total Profit]]&gt;60000,"Medium","Low"))</f>
        <v>Low</v>
      </c>
      <c r="Q22" s="11" t="str">
        <f>PROPER(Sales_Data[[#This Row],[Month Name]])</f>
        <v>Janeiro</v>
      </c>
      <c r="R22" s="11" t="str">
        <f>PROPER(Sales_Data[[#This Row],[Sales Manager]])</f>
        <v>James Brown</v>
      </c>
    </row>
    <row r="23" spans="1:18" hidden="1" x14ac:dyDescent="0.25">
      <c r="A23">
        <v>10022</v>
      </c>
      <c r="B23">
        <v>2019</v>
      </c>
      <c r="C23" t="s">
        <v>66</v>
      </c>
      <c r="D23" s="8">
        <v>43487</v>
      </c>
      <c r="E23" t="s">
        <v>19</v>
      </c>
      <c r="F23" t="s">
        <v>21</v>
      </c>
      <c r="G23" t="s">
        <v>13</v>
      </c>
      <c r="H23" s="9">
        <v>1</v>
      </c>
      <c r="I23" s="9">
        <v>13</v>
      </c>
      <c r="J23" s="10">
        <v>9750</v>
      </c>
      <c r="K23" s="10">
        <v>3900</v>
      </c>
      <c r="L23">
        <v>4</v>
      </c>
      <c r="M23" s="8">
        <v>43466</v>
      </c>
      <c r="N23" s="23">
        <v>4.9113229164594001E-5</v>
      </c>
      <c r="O23" s="10" t="str">
        <f>IF(Sales_Data[[#This Row],[Total Profit]]&gt;0,"Profitable","Loss")</f>
        <v>Profitable</v>
      </c>
      <c r="P23" s="10" t="str">
        <f>IF(Sales_Data[[#This Row],[Total Profit]]&gt;100000,"High Value",IF(Sales_Data[[#This Row],[Total Profit]]&gt;60000,"Medium","Low"))</f>
        <v>Low</v>
      </c>
      <c r="Q23" s="11" t="str">
        <f>PROPER(Sales_Data[[#This Row],[Month Name]])</f>
        <v>Janeiro</v>
      </c>
      <c r="R23" s="11" t="str">
        <f>PROPER(Sales_Data[[#This Row],[Sales Manager]])</f>
        <v>John Smith</v>
      </c>
    </row>
    <row r="24" spans="1:18" hidden="1" x14ac:dyDescent="0.25">
      <c r="A24">
        <v>10023</v>
      </c>
      <c r="B24">
        <v>2019</v>
      </c>
      <c r="C24" t="s">
        <v>66</v>
      </c>
      <c r="D24" s="8">
        <v>43488</v>
      </c>
      <c r="E24" t="s">
        <v>22</v>
      </c>
      <c r="F24" t="s">
        <v>24</v>
      </c>
      <c r="G24" t="s">
        <v>15</v>
      </c>
      <c r="H24" s="9">
        <v>15</v>
      </c>
      <c r="I24" s="9">
        <v>358</v>
      </c>
      <c r="J24" s="10">
        <v>179000</v>
      </c>
      <c r="K24" s="10">
        <v>30430.000000000004</v>
      </c>
      <c r="L24">
        <v>4</v>
      </c>
      <c r="M24" s="8">
        <v>43466</v>
      </c>
      <c r="N24" s="23">
        <v>9.0166851491921404E-4</v>
      </c>
      <c r="O24" s="10" t="str">
        <f>IF(Sales_Data[[#This Row],[Total Profit]]&gt;0,"Profitable","Loss")</f>
        <v>Profitable</v>
      </c>
      <c r="P24" s="10" t="str">
        <f>IF(Sales_Data[[#This Row],[Total Profit]]&gt;100000,"High Value",IF(Sales_Data[[#This Row],[Total Profit]]&gt;60000,"Medium","Low"))</f>
        <v>Low</v>
      </c>
      <c r="Q24" s="11" t="str">
        <f>PROPER(Sales_Data[[#This Row],[Month Name]])</f>
        <v>Janeiro</v>
      </c>
      <c r="R24" s="11" t="str">
        <f>PROPER(Sales_Data[[#This Row],[Sales Manager]])</f>
        <v>Liam Lee</v>
      </c>
    </row>
    <row r="25" spans="1:18" hidden="1" x14ac:dyDescent="0.25">
      <c r="A25">
        <v>10024</v>
      </c>
      <c r="B25">
        <v>2019</v>
      </c>
      <c r="C25" t="s">
        <v>66</v>
      </c>
      <c r="D25" s="8">
        <v>43489</v>
      </c>
      <c r="E25" t="s">
        <v>25</v>
      </c>
      <c r="F25" t="s">
        <v>18</v>
      </c>
      <c r="G25" t="s">
        <v>13</v>
      </c>
      <c r="H25" s="9">
        <v>4</v>
      </c>
      <c r="I25" s="9">
        <v>44</v>
      </c>
      <c r="J25" s="10">
        <v>33000</v>
      </c>
      <c r="K25" s="10">
        <v>4950</v>
      </c>
      <c r="L25">
        <v>4</v>
      </c>
      <c r="M25" s="8">
        <v>43466</v>
      </c>
      <c r="N25" s="23">
        <v>1.66229391018626E-4</v>
      </c>
      <c r="O25" s="10" t="str">
        <f>IF(Sales_Data[[#This Row],[Total Profit]]&gt;0,"Profitable","Loss")</f>
        <v>Profitable</v>
      </c>
      <c r="P25" s="10" t="str">
        <f>IF(Sales_Data[[#This Row],[Total Profit]]&gt;100000,"High Value",IF(Sales_Data[[#This Row],[Total Profit]]&gt;60000,"Medium","Low"))</f>
        <v>Low</v>
      </c>
      <c r="Q25" s="11" t="str">
        <f>PROPER(Sales_Data[[#This Row],[Month Name]])</f>
        <v>Janeiro</v>
      </c>
      <c r="R25" s="11" t="str">
        <f>PROPER(Sales_Data[[#This Row],[Sales Manager]])</f>
        <v>Jane Doe</v>
      </c>
    </row>
    <row r="26" spans="1:18" hidden="1" x14ac:dyDescent="0.25">
      <c r="A26">
        <v>10025</v>
      </c>
      <c r="B26">
        <v>2019</v>
      </c>
      <c r="C26" t="s">
        <v>66</v>
      </c>
      <c r="D26" s="8">
        <v>43490</v>
      </c>
      <c r="E26" t="s">
        <v>11</v>
      </c>
      <c r="F26" t="s">
        <v>24</v>
      </c>
      <c r="G26" t="s">
        <v>15</v>
      </c>
      <c r="H26" s="9">
        <v>4</v>
      </c>
      <c r="I26" s="9">
        <v>306</v>
      </c>
      <c r="J26" s="10">
        <v>153000</v>
      </c>
      <c r="K26" s="10">
        <v>50490</v>
      </c>
      <c r="L26">
        <v>4</v>
      </c>
      <c r="M26" s="8">
        <v>43466</v>
      </c>
      <c r="N26" s="23">
        <v>7.7069990381362996E-4</v>
      </c>
      <c r="O26" s="10" t="str">
        <f>IF(Sales_Data[[#This Row],[Total Profit]]&gt;0,"Profitable","Loss")</f>
        <v>Profitable</v>
      </c>
      <c r="P26" s="10" t="str">
        <f>IF(Sales_Data[[#This Row],[Total Profit]]&gt;100000,"High Value",IF(Sales_Data[[#This Row],[Total Profit]]&gt;60000,"Medium","Low"))</f>
        <v>Low</v>
      </c>
      <c r="Q26" s="11" t="str">
        <f>PROPER(Sales_Data[[#This Row],[Month Name]])</f>
        <v>Janeiro</v>
      </c>
      <c r="R26" s="11" t="str">
        <f>PROPER(Sales_Data[[#This Row],[Sales Manager]])</f>
        <v>Liam Lee</v>
      </c>
    </row>
    <row r="27" spans="1:18" hidden="1" x14ac:dyDescent="0.25">
      <c r="A27">
        <v>10026</v>
      </c>
      <c r="B27">
        <v>2019</v>
      </c>
      <c r="C27" t="s">
        <v>66</v>
      </c>
      <c r="D27" s="8">
        <v>43491</v>
      </c>
      <c r="E27" t="s">
        <v>14</v>
      </c>
      <c r="F27" t="s">
        <v>21</v>
      </c>
      <c r="G27" t="s">
        <v>17</v>
      </c>
      <c r="H27" s="9">
        <v>4</v>
      </c>
      <c r="I27" s="9">
        <v>293</v>
      </c>
      <c r="J27" s="10">
        <v>73250</v>
      </c>
      <c r="K27" s="10">
        <v>16847.5</v>
      </c>
      <c r="L27">
        <v>4</v>
      </c>
      <c r="M27" s="8">
        <v>43466</v>
      </c>
      <c r="N27" s="23">
        <v>3.6897887551861703E-4</v>
      </c>
      <c r="O27" s="10" t="str">
        <f>IF(Sales_Data[[#This Row],[Total Profit]]&gt;0,"Profitable","Loss")</f>
        <v>Profitable</v>
      </c>
      <c r="P27" s="10" t="str">
        <f>IF(Sales_Data[[#This Row],[Total Profit]]&gt;100000,"High Value",IF(Sales_Data[[#This Row],[Total Profit]]&gt;60000,"Medium","Low"))</f>
        <v>Low</v>
      </c>
      <c r="Q27" s="11" t="str">
        <f>PROPER(Sales_Data[[#This Row],[Month Name]])</f>
        <v>Janeiro</v>
      </c>
      <c r="R27" s="11" t="str">
        <f>PROPER(Sales_Data[[#This Row],[Sales Manager]])</f>
        <v>John Smith</v>
      </c>
    </row>
    <row r="28" spans="1:18" hidden="1" x14ac:dyDescent="0.25">
      <c r="A28">
        <v>10027</v>
      </c>
      <c r="B28">
        <v>2019</v>
      </c>
      <c r="C28" t="s">
        <v>66</v>
      </c>
      <c r="D28" s="8">
        <v>43492</v>
      </c>
      <c r="E28" t="s">
        <v>19</v>
      </c>
      <c r="F28" t="s">
        <v>24</v>
      </c>
      <c r="G28" t="s">
        <v>20</v>
      </c>
      <c r="H28" s="9">
        <v>4</v>
      </c>
      <c r="I28" s="9">
        <v>278</v>
      </c>
      <c r="J28" s="10">
        <v>236300</v>
      </c>
      <c r="K28" s="10">
        <v>80342</v>
      </c>
      <c r="L28">
        <v>5</v>
      </c>
      <c r="M28" s="8">
        <v>43466</v>
      </c>
      <c r="N28" s="23">
        <v>1.19030318477883E-3</v>
      </c>
      <c r="O28" s="10" t="str">
        <f>IF(Sales_Data[[#This Row],[Total Profit]]&gt;0,"Profitable","Loss")</f>
        <v>Profitable</v>
      </c>
      <c r="P28" s="10" t="str">
        <f>IF(Sales_Data[[#This Row],[Total Profit]]&gt;100000,"High Value",IF(Sales_Data[[#This Row],[Total Profit]]&gt;60000,"Medium","Low"))</f>
        <v>Medium</v>
      </c>
      <c r="Q28" s="11" t="str">
        <f>PROPER(Sales_Data[[#This Row],[Month Name]])</f>
        <v>Janeiro</v>
      </c>
      <c r="R28" s="11" t="str">
        <f>PROPER(Sales_Data[[#This Row],[Sales Manager]])</f>
        <v>Liam Lee</v>
      </c>
    </row>
    <row r="29" spans="1:18" hidden="1" x14ac:dyDescent="0.25">
      <c r="A29">
        <v>10028</v>
      </c>
      <c r="B29">
        <v>2019</v>
      </c>
      <c r="C29" t="s">
        <v>66</v>
      </c>
      <c r="D29" s="8">
        <v>43493</v>
      </c>
      <c r="E29" t="s">
        <v>19</v>
      </c>
      <c r="F29" t="s">
        <v>21</v>
      </c>
      <c r="G29" t="s">
        <v>23</v>
      </c>
      <c r="H29" s="9">
        <v>21</v>
      </c>
      <c r="I29" s="9">
        <v>295</v>
      </c>
      <c r="J29" s="10">
        <v>103250</v>
      </c>
      <c r="K29" s="10">
        <v>43365</v>
      </c>
      <c r="L29">
        <v>5</v>
      </c>
      <c r="M29" s="8">
        <v>43466</v>
      </c>
      <c r="N29" s="23">
        <v>5.20096503717368E-4</v>
      </c>
      <c r="O29" s="10" t="str">
        <f>IF(Sales_Data[[#This Row],[Total Profit]]&gt;0,"Profitable","Loss")</f>
        <v>Profitable</v>
      </c>
      <c r="P29" s="10" t="str">
        <f>IF(Sales_Data[[#This Row],[Total Profit]]&gt;100000,"High Value",IF(Sales_Data[[#This Row],[Total Profit]]&gt;60000,"Medium","Low"))</f>
        <v>Low</v>
      </c>
      <c r="Q29" s="11" t="str">
        <f>PROPER(Sales_Data[[#This Row],[Month Name]])</f>
        <v>Janeiro</v>
      </c>
      <c r="R29" s="11" t="str">
        <f>PROPER(Sales_Data[[#This Row],[Sales Manager]])</f>
        <v>John Smith</v>
      </c>
    </row>
    <row r="30" spans="1:18" hidden="1" x14ac:dyDescent="0.25">
      <c r="A30">
        <v>10029</v>
      </c>
      <c r="B30">
        <v>2019</v>
      </c>
      <c r="C30" t="s">
        <v>66</v>
      </c>
      <c r="D30" s="8">
        <v>43494</v>
      </c>
      <c r="E30" t="s">
        <v>22</v>
      </c>
      <c r="F30" t="s">
        <v>24</v>
      </c>
      <c r="G30" t="s">
        <v>13</v>
      </c>
      <c r="H30" s="9">
        <v>30</v>
      </c>
      <c r="I30" s="9">
        <v>313</v>
      </c>
      <c r="J30" s="10">
        <v>234750</v>
      </c>
      <c r="K30" s="10">
        <v>42255</v>
      </c>
      <c r="L30">
        <v>5</v>
      </c>
      <c r="M30" s="8">
        <v>43466</v>
      </c>
      <c r="N30" s="23">
        <v>1.18249544065523E-3</v>
      </c>
      <c r="O30" s="10" t="str">
        <f>IF(Sales_Data[[#This Row],[Total Profit]]&gt;0,"Profitable","Loss")</f>
        <v>Profitable</v>
      </c>
      <c r="P30" s="10" t="str">
        <f>IF(Sales_Data[[#This Row],[Total Profit]]&gt;100000,"High Value",IF(Sales_Data[[#This Row],[Total Profit]]&gt;60000,"Medium","Low"))</f>
        <v>Low</v>
      </c>
      <c r="Q30" s="11" t="str">
        <f>PROPER(Sales_Data[[#This Row],[Month Name]])</f>
        <v>Janeiro</v>
      </c>
      <c r="R30" s="11" t="str">
        <f>PROPER(Sales_Data[[#This Row],[Sales Manager]])</f>
        <v>Liam Lee</v>
      </c>
    </row>
    <row r="31" spans="1:18" hidden="1" x14ac:dyDescent="0.25">
      <c r="A31">
        <v>10030</v>
      </c>
      <c r="B31">
        <v>2019</v>
      </c>
      <c r="C31" t="s">
        <v>66</v>
      </c>
      <c r="D31" s="8">
        <v>43495</v>
      </c>
      <c r="E31" t="s">
        <v>19</v>
      </c>
      <c r="F31" t="s">
        <v>21</v>
      </c>
      <c r="G31" t="s">
        <v>15</v>
      </c>
      <c r="H31" s="9">
        <v>8</v>
      </c>
      <c r="I31" s="9">
        <v>127</v>
      </c>
      <c r="J31" s="10">
        <v>63500</v>
      </c>
      <c r="K31" s="10">
        <v>16510</v>
      </c>
      <c r="L31">
        <v>5</v>
      </c>
      <c r="M31" s="8">
        <v>43466</v>
      </c>
      <c r="N31" s="23">
        <v>3.19865646354023E-4</v>
      </c>
      <c r="O31" s="10" t="str">
        <f>IF(Sales_Data[[#This Row],[Total Profit]]&gt;0,"Profitable","Loss")</f>
        <v>Profitable</v>
      </c>
      <c r="P31" s="10" t="str">
        <f>IF(Sales_Data[[#This Row],[Total Profit]]&gt;100000,"High Value",IF(Sales_Data[[#This Row],[Total Profit]]&gt;60000,"Medium","Low"))</f>
        <v>Low</v>
      </c>
      <c r="Q31" s="11" t="str">
        <f>PROPER(Sales_Data[[#This Row],[Month Name]])</f>
        <v>Janeiro</v>
      </c>
      <c r="R31" s="11" t="str">
        <f>PROPER(Sales_Data[[#This Row],[Sales Manager]])</f>
        <v>John Smith</v>
      </c>
    </row>
    <row r="32" spans="1:18" hidden="1" x14ac:dyDescent="0.25">
      <c r="A32">
        <v>10031</v>
      </c>
      <c r="B32">
        <v>2019</v>
      </c>
      <c r="C32" t="s">
        <v>66</v>
      </c>
      <c r="D32" s="8">
        <v>43496</v>
      </c>
      <c r="E32" t="s">
        <v>19</v>
      </c>
      <c r="F32" t="s">
        <v>18</v>
      </c>
      <c r="G32" t="s">
        <v>23</v>
      </c>
      <c r="H32" s="9">
        <v>4</v>
      </c>
      <c r="I32" s="9">
        <v>253</v>
      </c>
      <c r="J32" s="10">
        <v>88550</v>
      </c>
      <c r="K32" s="10">
        <v>16824.5</v>
      </c>
      <c r="L32">
        <v>5</v>
      </c>
      <c r="M32" s="8">
        <v>43466</v>
      </c>
      <c r="N32" s="23">
        <v>4.4604886589998002E-4</v>
      </c>
      <c r="O32" s="10" t="str">
        <f>IF(Sales_Data[[#This Row],[Total Profit]]&gt;0,"Profitable","Loss")</f>
        <v>Profitable</v>
      </c>
      <c r="P32" s="10" t="str">
        <f>IF(Sales_Data[[#This Row],[Total Profit]]&gt;100000,"High Value",IF(Sales_Data[[#This Row],[Total Profit]]&gt;60000,"Medium","Low"))</f>
        <v>Low</v>
      </c>
      <c r="Q32" s="11" t="str">
        <f>PROPER(Sales_Data[[#This Row],[Month Name]])</f>
        <v>Janeiro</v>
      </c>
      <c r="R32" s="11" t="str">
        <f>PROPER(Sales_Data[[#This Row],[Sales Manager]])</f>
        <v>Jane Doe</v>
      </c>
    </row>
    <row r="33" spans="1:18" hidden="1" x14ac:dyDescent="0.25">
      <c r="A33">
        <v>10032</v>
      </c>
      <c r="B33">
        <v>2019</v>
      </c>
      <c r="C33" t="s">
        <v>67</v>
      </c>
      <c r="D33" s="8">
        <v>43497</v>
      </c>
      <c r="E33" t="s">
        <v>11</v>
      </c>
      <c r="F33" t="s">
        <v>21</v>
      </c>
      <c r="G33" t="s">
        <v>17</v>
      </c>
      <c r="H33" s="9">
        <v>23</v>
      </c>
      <c r="I33" s="9">
        <v>499</v>
      </c>
      <c r="J33" s="10">
        <v>124750</v>
      </c>
      <c r="K33" s="10">
        <v>14970</v>
      </c>
      <c r="L33">
        <v>5</v>
      </c>
      <c r="M33" s="8">
        <v>43466</v>
      </c>
      <c r="N33" s="23">
        <v>6.2839747059313905E-4</v>
      </c>
      <c r="O33" s="10" t="str">
        <f>IF(Sales_Data[[#This Row],[Total Profit]]&gt;0,"Profitable","Loss")</f>
        <v>Profitable</v>
      </c>
      <c r="P33" s="10" t="str">
        <f>IF(Sales_Data[[#This Row],[Total Profit]]&gt;100000,"High Value",IF(Sales_Data[[#This Row],[Total Profit]]&gt;60000,"Medium","Low"))</f>
        <v>Low</v>
      </c>
      <c r="Q33" s="11" t="str">
        <f>PROPER(Sales_Data[[#This Row],[Month Name]])</f>
        <v>Fevereiro</v>
      </c>
      <c r="R33" s="11" t="str">
        <f>PROPER(Sales_Data[[#This Row],[Sales Manager]])</f>
        <v>John Smith</v>
      </c>
    </row>
    <row r="34" spans="1:18" hidden="1" x14ac:dyDescent="0.25">
      <c r="A34">
        <v>10033</v>
      </c>
      <c r="B34">
        <v>2019</v>
      </c>
      <c r="C34" t="s">
        <v>67</v>
      </c>
      <c r="D34" s="8">
        <v>43498</v>
      </c>
      <c r="E34" t="s">
        <v>22</v>
      </c>
      <c r="F34" t="s">
        <v>18</v>
      </c>
      <c r="G34" t="s">
        <v>13</v>
      </c>
      <c r="H34" s="9">
        <v>1</v>
      </c>
      <c r="I34" s="9">
        <v>25</v>
      </c>
      <c r="J34" s="10">
        <v>18750</v>
      </c>
      <c r="K34" s="10">
        <v>6375.0000000000009</v>
      </c>
      <c r="L34">
        <v>5</v>
      </c>
      <c r="M34" s="8">
        <v>43466</v>
      </c>
      <c r="N34" s="23">
        <v>9.4448517624219299E-5</v>
      </c>
      <c r="O34" s="10" t="str">
        <f>IF(Sales_Data[[#This Row],[Total Profit]]&gt;0,"Profitable","Loss")</f>
        <v>Profitable</v>
      </c>
      <c r="P34" s="10" t="str">
        <f>IF(Sales_Data[[#This Row],[Total Profit]]&gt;100000,"High Value",IF(Sales_Data[[#This Row],[Total Profit]]&gt;60000,"Medium","Low"))</f>
        <v>Low</v>
      </c>
      <c r="Q34" s="11" t="str">
        <f>PROPER(Sales_Data[[#This Row],[Month Name]])</f>
        <v>Fevereiro</v>
      </c>
      <c r="R34" s="11" t="str">
        <f>PROPER(Sales_Data[[#This Row],[Sales Manager]])</f>
        <v>Jane Doe</v>
      </c>
    </row>
    <row r="35" spans="1:18" hidden="1" x14ac:dyDescent="0.25">
      <c r="A35">
        <v>10034</v>
      </c>
      <c r="B35">
        <v>2019</v>
      </c>
      <c r="C35" t="s">
        <v>67</v>
      </c>
      <c r="D35" s="8">
        <v>43499</v>
      </c>
      <c r="E35" t="s">
        <v>22</v>
      </c>
      <c r="F35" t="s">
        <v>18</v>
      </c>
      <c r="G35" t="s">
        <v>17</v>
      </c>
      <c r="H35" s="9">
        <v>1</v>
      </c>
      <c r="I35" s="9">
        <v>17</v>
      </c>
      <c r="J35" s="10">
        <v>4250</v>
      </c>
      <c r="K35" s="10">
        <v>1657.5</v>
      </c>
      <c r="L35">
        <v>6</v>
      </c>
      <c r="M35" s="8">
        <v>43466</v>
      </c>
      <c r="N35" s="23">
        <v>2.1408330661489701E-5</v>
      </c>
      <c r="O35" s="10" t="str">
        <f>IF(Sales_Data[[#This Row],[Total Profit]]&gt;0,"Profitable","Loss")</f>
        <v>Profitable</v>
      </c>
      <c r="P35" s="10" t="str">
        <f>IF(Sales_Data[[#This Row],[Total Profit]]&gt;100000,"High Value",IF(Sales_Data[[#This Row],[Total Profit]]&gt;60000,"Medium","Low"))</f>
        <v>Low</v>
      </c>
      <c r="Q35" s="11" t="str">
        <f>PROPER(Sales_Data[[#This Row],[Month Name]])</f>
        <v>Fevereiro</v>
      </c>
      <c r="R35" s="11" t="str">
        <f>PROPER(Sales_Data[[#This Row],[Sales Manager]])</f>
        <v>Jane Doe</v>
      </c>
    </row>
    <row r="36" spans="1:18" hidden="1" x14ac:dyDescent="0.25">
      <c r="A36">
        <v>10035</v>
      </c>
      <c r="B36">
        <v>2019</v>
      </c>
      <c r="C36" t="s">
        <v>67</v>
      </c>
      <c r="D36" s="8">
        <v>43500</v>
      </c>
      <c r="E36" t="s">
        <v>25</v>
      </c>
      <c r="F36" t="s">
        <v>18</v>
      </c>
      <c r="G36" t="s">
        <v>15</v>
      </c>
      <c r="H36" s="9">
        <v>2</v>
      </c>
      <c r="I36" s="9">
        <v>21</v>
      </c>
      <c r="J36" s="10">
        <v>10500</v>
      </c>
      <c r="K36" s="10">
        <v>3360</v>
      </c>
      <c r="L36">
        <v>6</v>
      </c>
      <c r="M36" s="8">
        <v>43466</v>
      </c>
      <c r="N36" s="23">
        <v>5.2891169869562798E-5</v>
      </c>
      <c r="O36" s="10" t="str">
        <f>IF(Sales_Data[[#This Row],[Total Profit]]&gt;0,"Profitable","Loss")</f>
        <v>Profitable</v>
      </c>
      <c r="P36" s="10" t="str">
        <f>IF(Sales_Data[[#This Row],[Total Profit]]&gt;100000,"High Value",IF(Sales_Data[[#This Row],[Total Profit]]&gt;60000,"Medium","Low"))</f>
        <v>Low</v>
      </c>
      <c r="Q36" s="11" t="str">
        <f>PROPER(Sales_Data[[#This Row],[Month Name]])</f>
        <v>Fevereiro</v>
      </c>
      <c r="R36" s="11" t="str">
        <f>PROPER(Sales_Data[[#This Row],[Sales Manager]])</f>
        <v>Jane Doe</v>
      </c>
    </row>
    <row r="37" spans="1:18" hidden="1" x14ac:dyDescent="0.25">
      <c r="A37">
        <v>10036</v>
      </c>
      <c r="B37">
        <v>2019</v>
      </c>
      <c r="C37" t="s">
        <v>67</v>
      </c>
      <c r="D37" s="8">
        <v>43501</v>
      </c>
      <c r="E37" t="s">
        <v>25</v>
      </c>
      <c r="F37" t="s">
        <v>24</v>
      </c>
      <c r="G37" t="s">
        <v>20</v>
      </c>
      <c r="H37" s="9">
        <v>13</v>
      </c>
      <c r="I37" s="9">
        <v>264</v>
      </c>
      <c r="J37" s="10">
        <v>224400</v>
      </c>
      <c r="K37" s="10">
        <v>53856</v>
      </c>
      <c r="L37">
        <v>6</v>
      </c>
      <c r="M37" s="8">
        <v>43466</v>
      </c>
      <c r="N37" s="23">
        <v>1.1303598589266601E-3</v>
      </c>
      <c r="O37" s="10" t="str">
        <f>IF(Sales_Data[[#This Row],[Total Profit]]&gt;0,"Profitable","Loss")</f>
        <v>Profitable</v>
      </c>
      <c r="P37" s="10" t="str">
        <f>IF(Sales_Data[[#This Row],[Total Profit]]&gt;100000,"High Value",IF(Sales_Data[[#This Row],[Total Profit]]&gt;60000,"Medium","Low"))</f>
        <v>Low</v>
      </c>
      <c r="Q37" s="11" t="str">
        <f>PROPER(Sales_Data[[#This Row],[Month Name]])</f>
        <v>Fevereiro</v>
      </c>
      <c r="R37" s="11" t="str">
        <f>PROPER(Sales_Data[[#This Row],[Sales Manager]])</f>
        <v>Liam Lee</v>
      </c>
    </row>
    <row r="38" spans="1:18" hidden="1" x14ac:dyDescent="0.25">
      <c r="A38">
        <v>10037</v>
      </c>
      <c r="B38">
        <v>2019</v>
      </c>
      <c r="C38" t="s">
        <v>67</v>
      </c>
      <c r="D38" s="8">
        <v>43502</v>
      </c>
      <c r="E38" t="s">
        <v>14</v>
      </c>
      <c r="F38" t="s">
        <v>18</v>
      </c>
      <c r="G38" t="s">
        <v>23</v>
      </c>
      <c r="H38" s="9">
        <v>41</v>
      </c>
      <c r="I38" s="9">
        <v>429</v>
      </c>
      <c r="J38" s="10">
        <v>150150</v>
      </c>
      <c r="K38" s="10">
        <v>66066</v>
      </c>
      <c r="L38">
        <v>6</v>
      </c>
      <c r="M38" s="8">
        <v>43466</v>
      </c>
      <c r="N38" s="23">
        <v>7.5634372913474805E-4</v>
      </c>
      <c r="O38" s="10" t="str">
        <f>IF(Sales_Data[[#This Row],[Total Profit]]&gt;0,"Profitable","Loss")</f>
        <v>Profitable</v>
      </c>
      <c r="P38" s="10" t="str">
        <f>IF(Sales_Data[[#This Row],[Total Profit]]&gt;100000,"High Value",IF(Sales_Data[[#This Row],[Total Profit]]&gt;60000,"Medium","Low"))</f>
        <v>Medium</v>
      </c>
      <c r="Q38" s="11" t="str">
        <f>PROPER(Sales_Data[[#This Row],[Month Name]])</f>
        <v>Fevereiro</v>
      </c>
      <c r="R38" s="11" t="str">
        <f>PROPER(Sales_Data[[#This Row],[Sales Manager]])</f>
        <v>Jane Doe</v>
      </c>
    </row>
    <row r="39" spans="1:18" hidden="1" x14ac:dyDescent="0.25">
      <c r="A39">
        <v>10038</v>
      </c>
      <c r="B39">
        <v>2019</v>
      </c>
      <c r="C39" t="s">
        <v>67</v>
      </c>
      <c r="D39" s="8">
        <v>43503</v>
      </c>
      <c r="E39" t="s">
        <v>19</v>
      </c>
      <c r="F39" t="s">
        <v>12</v>
      </c>
      <c r="G39" t="s">
        <v>13</v>
      </c>
      <c r="H39" s="9">
        <v>9</v>
      </c>
      <c r="I39" s="9">
        <v>312</v>
      </c>
      <c r="J39" s="10">
        <v>234000</v>
      </c>
      <c r="K39" s="10">
        <v>102960</v>
      </c>
      <c r="L39">
        <v>6</v>
      </c>
      <c r="M39" s="8">
        <v>43466</v>
      </c>
      <c r="N39" s="23">
        <v>1.1787174999502599E-3</v>
      </c>
      <c r="O39" s="10" t="str">
        <f>IF(Sales_Data[[#This Row],[Total Profit]]&gt;0,"Profitable","Loss")</f>
        <v>Profitable</v>
      </c>
      <c r="P39" s="10" t="str">
        <f>IF(Sales_Data[[#This Row],[Total Profit]]&gt;100000,"High Value",IF(Sales_Data[[#This Row],[Total Profit]]&gt;60000,"Medium","Low"))</f>
        <v>High Value</v>
      </c>
      <c r="Q39" s="11" t="str">
        <f>PROPER(Sales_Data[[#This Row],[Month Name]])</f>
        <v>Fevereiro</v>
      </c>
      <c r="R39" s="11" t="str">
        <f>PROPER(Sales_Data[[#This Row],[Sales Manager]])</f>
        <v>Emily White</v>
      </c>
    </row>
    <row r="40" spans="1:18" hidden="1" x14ac:dyDescent="0.25">
      <c r="A40">
        <v>10039</v>
      </c>
      <c r="B40">
        <v>2019</v>
      </c>
      <c r="C40" t="s">
        <v>67</v>
      </c>
      <c r="D40" s="8">
        <v>43504</v>
      </c>
      <c r="E40" t="s">
        <v>11</v>
      </c>
      <c r="F40" t="s">
        <v>12</v>
      </c>
      <c r="G40" t="s">
        <v>13</v>
      </c>
      <c r="H40" s="9">
        <v>31</v>
      </c>
      <c r="I40" s="9">
        <v>461</v>
      </c>
      <c r="J40" s="10">
        <v>345750</v>
      </c>
      <c r="K40" s="10">
        <v>117555.00000000001</v>
      </c>
      <c r="L40">
        <v>6</v>
      </c>
      <c r="M40" s="8">
        <v>43466</v>
      </c>
      <c r="N40" s="23">
        <v>1.7416306649906E-3</v>
      </c>
      <c r="O40" s="10" t="str">
        <f>IF(Sales_Data[[#This Row],[Total Profit]]&gt;0,"Profitable","Loss")</f>
        <v>Profitable</v>
      </c>
      <c r="P40" s="10" t="str">
        <f>IF(Sales_Data[[#This Row],[Total Profit]]&gt;100000,"High Value",IF(Sales_Data[[#This Row],[Total Profit]]&gt;60000,"Medium","Low"))</f>
        <v>High Value</v>
      </c>
      <c r="Q40" s="11" t="str">
        <f>PROPER(Sales_Data[[#This Row],[Month Name]])</f>
        <v>Fevereiro</v>
      </c>
      <c r="R40" s="11" t="str">
        <f>PROPER(Sales_Data[[#This Row],[Sales Manager]])</f>
        <v>Emily White</v>
      </c>
    </row>
    <row r="41" spans="1:18" hidden="1" x14ac:dyDescent="0.25">
      <c r="A41">
        <v>10040</v>
      </c>
      <c r="B41">
        <v>2019</v>
      </c>
      <c r="C41" t="s">
        <v>67</v>
      </c>
      <c r="D41" s="8">
        <v>43505</v>
      </c>
      <c r="E41" t="s">
        <v>14</v>
      </c>
      <c r="F41" t="s">
        <v>18</v>
      </c>
      <c r="G41" t="s">
        <v>15</v>
      </c>
      <c r="H41" s="9">
        <v>17</v>
      </c>
      <c r="I41" s="9">
        <v>218</v>
      </c>
      <c r="J41" s="10">
        <v>109000</v>
      </c>
      <c r="K41" s="10">
        <v>13080</v>
      </c>
      <c r="L41">
        <v>6</v>
      </c>
      <c r="M41" s="8">
        <v>43466</v>
      </c>
      <c r="N41" s="23">
        <v>5.4906071578879497E-4</v>
      </c>
      <c r="O41" s="10" t="str">
        <f>IF(Sales_Data[[#This Row],[Total Profit]]&gt;0,"Profitable","Loss")</f>
        <v>Profitable</v>
      </c>
      <c r="P41" s="10" t="str">
        <f>IF(Sales_Data[[#This Row],[Total Profit]]&gt;100000,"High Value",IF(Sales_Data[[#This Row],[Total Profit]]&gt;60000,"Medium","Low"))</f>
        <v>Low</v>
      </c>
      <c r="Q41" s="11" t="str">
        <f>PROPER(Sales_Data[[#This Row],[Month Name]])</f>
        <v>Fevereiro</v>
      </c>
      <c r="R41" s="11" t="str">
        <f>PROPER(Sales_Data[[#This Row],[Sales Manager]])</f>
        <v>Jane Doe</v>
      </c>
    </row>
    <row r="42" spans="1:18" hidden="1" x14ac:dyDescent="0.25">
      <c r="A42">
        <v>10041</v>
      </c>
      <c r="B42">
        <v>2019</v>
      </c>
      <c r="C42" t="s">
        <v>67</v>
      </c>
      <c r="D42" s="8">
        <v>43506</v>
      </c>
      <c r="E42" t="s">
        <v>19</v>
      </c>
      <c r="F42" t="s">
        <v>18</v>
      </c>
      <c r="G42" t="s">
        <v>17</v>
      </c>
      <c r="H42" s="9">
        <v>7</v>
      </c>
      <c r="I42" s="9">
        <v>487</v>
      </c>
      <c r="J42" s="10">
        <v>121750</v>
      </c>
      <c r="K42" s="10">
        <v>35307.5</v>
      </c>
      <c r="L42">
        <v>7</v>
      </c>
      <c r="M42" s="8">
        <v>43466</v>
      </c>
      <c r="N42" s="23">
        <v>6.1328570777326402E-4</v>
      </c>
      <c r="O42" s="10" t="str">
        <f>IF(Sales_Data[[#This Row],[Total Profit]]&gt;0,"Profitable","Loss")</f>
        <v>Profitable</v>
      </c>
      <c r="P42" s="10" t="str">
        <f>IF(Sales_Data[[#This Row],[Total Profit]]&gt;100000,"High Value",IF(Sales_Data[[#This Row],[Total Profit]]&gt;60000,"Medium","Low"))</f>
        <v>Low</v>
      </c>
      <c r="Q42" s="11" t="str">
        <f>PROPER(Sales_Data[[#This Row],[Month Name]])</f>
        <v>Fevereiro</v>
      </c>
      <c r="R42" s="11" t="str">
        <f>PROPER(Sales_Data[[#This Row],[Sales Manager]])</f>
        <v>Jane Doe</v>
      </c>
    </row>
    <row r="43" spans="1:18" hidden="1" x14ac:dyDescent="0.25">
      <c r="A43">
        <v>10042</v>
      </c>
      <c r="B43">
        <v>2019</v>
      </c>
      <c r="C43" t="s">
        <v>67</v>
      </c>
      <c r="D43" s="8">
        <v>43507</v>
      </c>
      <c r="E43" t="s">
        <v>14</v>
      </c>
      <c r="F43" t="s">
        <v>16</v>
      </c>
      <c r="G43" t="s">
        <v>23</v>
      </c>
      <c r="H43" s="9">
        <v>6</v>
      </c>
      <c r="I43" s="9">
        <v>87</v>
      </c>
      <c r="J43" s="10">
        <v>30450</v>
      </c>
      <c r="K43" s="10">
        <v>10048.5</v>
      </c>
      <c r="L43">
        <v>7</v>
      </c>
      <c r="M43" s="8">
        <v>43466</v>
      </c>
      <c r="N43" s="23">
        <v>1.5338439262173201E-4</v>
      </c>
      <c r="O43" s="10" t="str">
        <f>IF(Sales_Data[[#This Row],[Total Profit]]&gt;0,"Profitable","Loss")</f>
        <v>Profitable</v>
      </c>
      <c r="P43" s="10" t="str">
        <f>IF(Sales_Data[[#This Row],[Total Profit]]&gt;100000,"High Value",IF(Sales_Data[[#This Row],[Total Profit]]&gt;60000,"Medium","Low"))</f>
        <v>Low</v>
      </c>
      <c r="Q43" s="11" t="str">
        <f>PROPER(Sales_Data[[#This Row],[Month Name]])</f>
        <v>Fevereiro</v>
      </c>
      <c r="R43" s="11" t="str">
        <f>PROPER(Sales_Data[[#This Row],[Sales Manager]])</f>
        <v>James Brown</v>
      </c>
    </row>
    <row r="44" spans="1:18" hidden="1" x14ac:dyDescent="0.25">
      <c r="A44">
        <v>10043</v>
      </c>
      <c r="B44">
        <v>2019</v>
      </c>
      <c r="C44" t="s">
        <v>67</v>
      </c>
      <c r="D44" s="8">
        <v>43508</v>
      </c>
      <c r="E44" t="s">
        <v>14</v>
      </c>
      <c r="F44" t="s">
        <v>24</v>
      </c>
      <c r="G44" t="s">
        <v>15</v>
      </c>
      <c r="H44" s="9">
        <v>16</v>
      </c>
      <c r="I44" s="9">
        <v>174</v>
      </c>
      <c r="J44" s="10">
        <v>87000</v>
      </c>
      <c r="K44" s="10">
        <v>18270</v>
      </c>
      <c r="L44">
        <v>7</v>
      </c>
      <c r="M44" s="8">
        <v>43466</v>
      </c>
      <c r="N44" s="23">
        <v>4.3824112177637801E-4</v>
      </c>
      <c r="O44" s="10" t="str">
        <f>IF(Sales_Data[[#This Row],[Total Profit]]&gt;0,"Profitable","Loss")</f>
        <v>Profitable</v>
      </c>
      <c r="P44" s="10" t="str">
        <f>IF(Sales_Data[[#This Row],[Total Profit]]&gt;100000,"High Value",IF(Sales_Data[[#This Row],[Total Profit]]&gt;60000,"Medium","Low"))</f>
        <v>Low</v>
      </c>
      <c r="Q44" s="11" t="str">
        <f>PROPER(Sales_Data[[#This Row],[Month Name]])</f>
        <v>Fevereiro</v>
      </c>
      <c r="R44" s="11" t="str">
        <f>PROPER(Sales_Data[[#This Row],[Sales Manager]])</f>
        <v>Liam Lee</v>
      </c>
    </row>
    <row r="45" spans="1:18" hidden="1" x14ac:dyDescent="0.25">
      <c r="A45">
        <v>10044</v>
      </c>
      <c r="B45">
        <v>2019</v>
      </c>
      <c r="C45" t="s">
        <v>67</v>
      </c>
      <c r="D45" s="8">
        <v>43509</v>
      </c>
      <c r="E45" t="s">
        <v>19</v>
      </c>
      <c r="F45" t="s">
        <v>16</v>
      </c>
      <c r="G45" t="s">
        <v>23</v>
      </c>
      <c r="H45" s="9">
        <v>20</v>
      </c>
      <c r="I45" s="9">
        <v>200</v>
      </c>
      <c r="J45" s="10">
        <v>70000</v>
      </c>
      <c r="K45" s="10">
        <v>11900</v>
      </c>
      <c r="L45">
        <v>7</v>
      </c>
      <c r="M45" s="8">
        <v>43466</v>
      </c>
      <c r="N45" s="23">
        <v>3.5260779913041902E-4</v>
      </c>
      <c r="O45" s="10" t="str">
        <f>IF(Sales_Data[[#This Row],[Total Profit]]&gt;0,"Profitable","Loss")</f>
        <v>Profitable</v>
      </c>
      <c r="P45" s="10" t="str">
        <f>IF(Sales_Data[[#This Row],[Total Profit]]&gt;100000,"High Value",IF(Sales_Data[[#This Row],[Total Profit]]&gt;60000,"Medium","Low"))</f>
        <v>Low</v>
      </c>
      <c r="Q45" s="11" t="str">
        <f>PROPER(Sales_Data[[#This Row],[Month Name]])</f>
        <v>Fevereiro</v>
      </c>
      <c r="R45" s="11" t="str">
        <f>PROPER(Sales_Data[[#This Row],[Sales Manager]])</f>
        <v>James Brown</v>
      </c>
    </row>
    <row r="46" spans="1:18" hidden="1" x14ac:dyDescent="0.25">
      <c r="A46">
        <v>10045</v>
      </c>
      <c r="B46">
        <v>2019</v>
      </c>
      <c r="C46" t="s">
        <v>67</v>
      </c>
      <c r="D46" s="8">
        <v>43510</v>
      </c>
      <c r="E46" t="s">
        <v>22</v>
      </c>
      <c r="F46" t="s">
        <v>24</v>
      </c>
      <c r="G46" t="s">
        <v>20</v>
      </c>
      <c r="H46" s="9">
        <v>27</v>
      </c>
      <c r="I46" s="9">
        <v>468</v>
      </c>
      <c r="J46" s="10">
        <v>397800</v>
      </c>
      <c r="K46" s="10">
        <v>159120</v>
      </c>
      <c r="L46">
        <v>7</v>
      </c>
      <c r="M46" s="8">
        <v>43466</v>
      </c>
      <c r="N46" s="23">
        <v>2.0038197499154401E-3</v>
      </c>
      <c r="O46" s="10" t="str">
        <f>IF(Sales_Data[[#This Row],[Total Profit]]&gt;0,"Profitable","Loss")</f>
        <v>Profitable</v>
      </c>
      <c r="P46" s="10" t="str">
        <f>IF(Sales_Data[[#This Row],[Total Profit]]&gt;100000,"High Value",IF(Sales_Data[[#This Row],[Total Profit]]&gt;60000,"Medium","Low"))</f>
        <v>High Value</v>
      </c>
      <c r="Q46" s="11" t="str">
        <f>PROPER(Sales_Data[[#This Row],[Month Name]])</f>
        <v>Fevereiro</v>
      </c>
      <c r="R46" s="11" t="str">
        <f>PROPER(Sales_Data[[#This Row],[Sales Manager]])</f>
        <v>Liam Lee</v>
      </c>
    </row>
    <row r="47" spans="1:18" hidden="1" x14ac:dyDescent="0.25">
      <c r="A47">
        <v>10046</v>
      </c>
      <c r="B47">
        <v>2019</v>
      </c>
      <c r="C47" t="s">
        <v>67</v>
      </c>
      <c r="D47" s="8">
        <v>43511</v>
      </c>
      <c r="E47" t="s">
        <v>11</v>
      </c>
      <c r="F47" t="s">
        <v>18</v>
      </c>
      <c r="G47" t="s">
        <v>17</v>
      </c>
      <c r="H47" s="9">
        <v>1</v>
      </c>
      <c r="I47" s="9">
        <v>19</v>
      </c>
      <c r="J47" s="10">
        <v>4750</v>
      </c>
      <c r="K47" s="10">
        <v>807.50000000000011</v>
      </c>
      <c r="L47">
        <v>7</v>
      </c>
      <c r="M47" s="8">
        <v>43466</v>
      </c>
      <c r="N47" s="23">
        <v>2.3926957798135601E-5</v>
      </c>
      <c r="O47" s="10" t="str">
        <f>IF(Sales_Data[[#This Row],[Total Profit]]&gt;0,"Profitable","Loss")</f>
        <v>Profitable</v>
      </c>
      <c r="P47" s="10" t="str">
        <f>IF(Sales_Data[[#This Row],[Total Profit]]&gt;100000,"High Value",IF(Sales_Data[[#This Row],[Total Profit]]&gt;60000,"Medium","Low"))</f>
        <v>Low</v>
      </c>
      <c r="Q47" s="11" t="str">
        <f>PROPER(Sales_Data[[#This Row],[Month Name]])</f>
        <v>Fevereiro</v>
      </c>
      <c r="R47" s="11" t="str">
        <f>PROPER(Sales_Data[[#This Row],[Sales Manager]])</f>
        <v>Jane Doe</v>
      </c>
    </row>
    <row r="48" spans="1:18" hidden="1" x14ac:dyDescent="0.25">
      <c r="A48">
        <v>10047</v>
      </c>
      <c r="B48">
        <v>2019</v>
      </c>
      <c r="C48" t="s">
        <v>67</v>
      </c>
      <c r="D48" s="8">
        <v>43512</v>
      </c>
      <c r="E48" t="s">
        <v>11</v>
      </c>
      <c r="F48" t="s">
        <v>12</v>
      </c>
      <c r="G48" t="s">
        <v>20</v>
      </c>
      <c r="H48" s="9">
        <v>18</v>
      </c>
      <c r="I48" s="9">
        <v>433</v>
      </c>
      <c r="J48" s="10">
        <v>368050</v>
      </c>
      <c r="K48" s="10">
        <v>40485.5</v>
      </c>
      <c r="L48">
        <v>7</v>
      </c>
      <c r="M48" s="8">
        <v>43466</v>
      </c>
      <c r="N48" s="23">
        <v>1.85396143528501E-3</v>
      </c>
      <c r="O48" s="10" t="str">
        <f>IF(Sales_Data[[#This Row],[Total Profit]]&gt;0,"Profitable","Loss")</f>
        <v>Profitable</v>
      </c>
      <c r="P48" s="10" t="str">
        <f>IF(Sales_Data[[#This Row],[Total Profit]]&gt;100000,"High Value",IF(Sales_Data[[#This Row],[Total Profit]]&gt;60000,"Medium","Low"))</f>
        <v>Low</v>
      </c>
      <c r="Q48" s="11" t="str">
        <f>PROPER(Sales_Data[[#This Row],[Month Name]])</f>
        <v>Fevereiro</v>
      </c>
      <c r="R48" s="11" t="str">
        <f>PROPER(Sales_Data[[#This Row],[Sales Manager]])</f>
        <v>Emily White</v>
      </c>
    </row>
    <row r="49" spans="1:18" hidden="1" x14ac:dyDescent="0.25">
      <c r="A49">
        <v>10048</v>
      </c>
      <c r="B49">
        <v>2019</v>
      </c>
      <c r="C49" t="s">
        <v>67</v>
      </c>
      <c r="D49" s="8">
        <v>43513</v>
      </c>
      <c r="E49" t="s">
        <v>22</v>
      </c>
      <c r="F49" t="s">
        <v>18</v>
      </c>
      <c r="G49" t="s">
        <v>15</v>
      </c>
      <c r="H49" s="9">
        <v>9</v>
      </c>
      <c r="I49" s="9">
        <v>133</v>
      </c>
      <c r="J49" s="10">
        <v>66500</v>
      </c>
      <c r="K49" s="10">
        <v>24605</v>
      </c>
      <c r="L49">
        <v>8</v>
      </c>
      <c r="M49" s="8">
        <v>43466</v>
      </c>
      <c r="N49" s="23">
        <v>3.3497740917389803E-4</v>
      </c>
      <c r="O49" s="10" t="str">
        <f>IF(Sales_Data[[#This Row],[Total Profit]]&gt;0,"Profitable","Loss")</f>
        <v>Profitable</v>
      </c>
      <c r="P49" s="10" t="str">
        <f>IF(Sales_Data[[#This Row],[Total Profit]]&gt;100000,"High Value",IF(Sales_Data[[#This Row],[Total Profit]]&gt;60000,"Medium","Low"))</f>
        <v>Low</v>
      </c>
      <c r="Q49" s="11" t="str">
        <f>PROPER(Sales_Data[[#This Row],[Month Name]])</f>
        <v>Fevereiro</v>
      </c>
      <c r="R49" s="11" t="str">
        <f>PROPER(Sales_Data[[#This Row],[Sales Manager]])</f>
        <v>Jane Doe</v>
      </c>
    </row>
    <row r="50" spans="1:18" hidden="1" x14ac:dyDescent="0.25">
      <c r="A50">
        <v>10049</v>
      </c>
      <c r="B50">
        <v>2019</v>
      </c>
      <c r="C50" t="s">
        <v>67</v>
      </c>
      <c r="D50" s="8">
        <v>43514</v>
      </c>
      <c r="E50" t="s">
        <v>14</v>
      </c>
      <c r="F50" t="s">
        <v>21</v>
      </c>
      <c r="G50" t="s">
        <v>20</v>
      </c>
      <c r="H50" s="9">
        <v>1</v>
      </c>
      <c r="I50" s="9">
        <v>18</v>
      </c>
      <c r="J50" s="10">
        <v>15300</v>
      </c>
      <c r="K50" s="10">
        <v>2601</v>
      </c>
      <c r="L50">
        <v>8</v>
      </c>
      <c r="M50" s="8">
        <v>43466</v>
      </c>
      <c r="N50" s="23">
        <v>7.7069990381362996E-5</v>
      </c>
      <c r="O50" s="10" t="str">
        <f>IF(Sales_Data[[#This Row],[Total Profit]]&gt;0,"Profitable","Loss")</f>
        <v>Profitable</v>
      </c>
      <c r="P50" s="10" t="str">
        <f>IF(Sales_Data[[#This Row],[Total Profit]]&gt;100000,"High Value",IF(Sales_Data[[#This Row],[Total Profit]]&gt;60000,"Medium","Low"))</f>
        <v>Low</v>
      </c>
      <c r="Q50" s="11" t="str">
        <f>PROPER(Sales_Data[[#This Row],[Month Name]])</f>
        <v>Fevereiro</v>
      </c>
      <c r="R50" s="11" t="str">
        <f>PROPER(Sales_Data[[#This Row],[Sales Manager]])</f>
        <v>John Smith</v>
      </c>
    </row>
    <row r="51" spans="1:18" hidden="1" x14ac:dyDescent="0.25">
      <c r="A51">
        <v>10050</v>
      </c>
      <c r="B51">
        <v>2019</v>
      </c>
      <c r="C51" t="s">
        <v>67</v>
      </c>
      <c r="D51" s="8">
        <v>43515</v>
      </c>
      <c r="E51" t="s">
        <v>25</v>
      </c>
      <c r="F51" t="s">
        <v>12</v>
      </c>
      <c r="G51" t="s">
        <v>23</v>
      </c>
      <c r="H51" s="9">
        <v>12</v>
      </c>
      <c r="I51" s="9">
        <v>130</v>
      </c>
      <c r="J51" s="10">
        <v>45500</v>
      </c>
      <c r="K51" s="10">
        <v>15015</v>
      </c>
      <c r="L51">
        <v>8</v>
      </c>
      <c r="M51" s="8">
        <v>43466</v>
      </c>
      <c r="N51" s="23">
        <v>2.29195069434772E-4</v>
      </c>
      <c r="O51" s="10" t="str">
        <f>IF(Sales_Data[[#This Row],[Total Profit]]&gt;0,"Profitable","Loss")</f>
        <v>Profitable</v>
      </c>
      <c r="P51" s="10" t="str">
        <f>IF(Sales_Data[[#This Row],[Total Profit]]&gt;100000,"High Value",IF(Sales_Data[[#This Row],[Total Profit]]&gt;60000,"Medium","Low"))</f>
        <v>Low</v>
      </c>
      <c r="Q51" s="11" t="str">
        <f>PROPER(Sales_Data[[#This Row],[Month Name]])</f>
        <v>Fevereiro</v>
      </c>
      <c r="R51" s="11" t="str">
        <f>PROPER(Sales_Data[[#This Row],[Sales Manager]])</f>
        <v>Emily White</v>
      </c>
    </row>
    <row r="52" spans="1:18" hidden="1" x14ac:dyDescent="0.25">
      <c r="A52">
        <v>10051</v>
      </c>
      <c r="B52">
        <v>2019</v>
      </c>
      <c r="C52" t="s">
        <v>67</v>
      </c>
      <c r="D52" s="8">
        <v>43516</v>
      </c>
      <c r="E52" t="s">
        <v>25</v>
      </c>
      <c r="F52" t="s">
        <v>16</v>
      </c>
      <c r="G52" t="s">
        <v>13</v>
      </c>
      <c r="H52" s="9">
        <v>33</v>
      </c>
      <c r="I52" s="9">
        <v>408</v>
      </c>
      <c r="J52" s="10">
        <v>306000</v>
      </c>
      <c r="K52" s="10">
        <v>88740</v>
      </c>
      <c r="L52">
        <v>8</v>
      </c>
      <c r="M52" s="8">
        <v>43466</v>
      </c>
      <c r="N52" s="23">
        <v>1.5413998076272599E-3</v>
      </c>
      <c r="O52" s="10" t="str">
        <f>IF(Sales_Data[[#This Row],[Total Profit]]&gt;0,"Profitable","Loss")</f>
        <v>Profitable</v>
      </c>
      <c r="P52" s="10" t="str">
        <f>IF(Sales_Data[[#This Row],[Total Profit]]&gt;100000,"High Value",IF(Sales_Data[[#This Row],[Total Profit]]&gt;60000,"Medium","Low"))</f>
        <v>Medium</v>
      </c>
      <c r="Q52" s="11" t="str">
        <f>PROPER(Sales_Data[[#This Row],[Month Name]])</f>
        <v>Fevereiro</v>
      </c>
      <c r="R52" s="11" t="str">
        <f>PROPER(Sales_Data[[#This Row],[Sales Manager]])</f>
        <v>James Brown</v>
      </c>
    </row>
    <row r="53" spans="1:18" hidden="1" x14ac:dyDescent="0.25">
      <c r="A53">
        <v>10052</v>
      </c>
      <c r="B53">
        <v>2019</v>
      </c>
      <c r="C53" t="s">
        <v>67</v>
      </c>
      <c r="D53" s="8">
        <v>43517</v>
      </c>
      <c r="E53" t="s">
        <v>22</v>
      </c>
      <c r="F53" t="s">
        <v>16</v>
      </c>
      <c r="G53" t="s">
        <v>17</v>
      </c>
      <c r="H53" s="9">
        <v>3</v>
      </c>
      <c r="I53" s="9">
        <v>184</v>
      </c>
      <c r="J53" s="10">
        <v>46000</v>
      </c>
      <c r="K53" s="10">
        <v>7820.0000000000009</v>
      </c>
      <c r="L53">
        <v>8</v>
      </c>
      <c r="M53" s="8">
        <v>43466</v>
      </c>
      <c r="N53" s="23">
        <v>2.3171369657141799E-4</v>
      </c>
      <c r="O53" s="10" t="str">
        <f>IF(Sales_Data[[#This Row],[Total Profit]]&gt;0,"Profitable","Loss")</f>
        <v>Profitable</v>
      </c>
      <c r="P53" s="10" t="str">
        <f>IF(Sales_Data[[#This Row],[Total Profit]]&gt;100000,"High Value",IF(Sales_Data[[#This Row],[Total Profit]]&gt;60000,"Medium","Low"))</f>
        <v>Low</v>
      </c>
      <c r="Q53" s="11" t="str">
        <f>PROPER(Sales_Data[[#This Row],[Month Name]])</f>
        <v>Fevereiro</v>
      </c>
      <c r="R53" s="11" t="str">
        <f>PROPER(Sales_Data[[#This Row],[Sales Manager]])</f>
        <v>James Brown</v>
      </c>
    </row>
    <row r="54" spans="1:18" hidden="1" x14ac:dyDescent="0.25">
      <c r="A54">
        <v>10053</v>
      </c>
      <c r="B54">
        <v>2019</v>
      </c>
      <c r="C54" t="s">
        <v>67</v>
      </c>
      <c r="D54" s="8">
        <v>43518</v>
      </c>
      <c r="E54" t="s">
        <v>25</v>
      </c>
      <c r="F54" t="s">
        <v>18</v>
      </c>
      <c r="G54" t="s">
        <v>23</v>
      </c>
      <c r="H54" s="9">
        <v>16</v>
      </c>
      <c r="I54" s="9">
        <v>199</v>
      </c>
      <c r="J54" s="10">
        <v>69650</v>
      </c>
      <c r="K54" s="10">
        <v>9751.0000000000018</v>
      </c>
      <c r="L54">
        <v>8</v>
      </c>
      <c r="M54" s="8">
        <v>43466</v>
      </c>
      <c r="N54" s="23">
        <v>3.5084476013476698E-4</v>
      </c>
      <c r="O54" s="10" t="str">
        <f>IF(Sales_Data[[#This Row],[Total Profit]]&gt;0,"Profitable","Loss")</f>
        <v>Profitable</v>
      </c>
      <c r="P54" s="10" t="str">
        <f>IF(Sales_Data[[#This Row],[Total Profit]]&gt;100000,"High Value",IF(Sales_Data[[#This Row],[Total Profit]]&gt;60000,"Medium","Low"))</f>
        <v>Low</v>
      </c>
      <c r="Q54" s="11" t="str">
        <f>PROPER(Sales_Data[[#This Row],[Month Name]])</f>
        <v>Fevereiro</v>
      </c>
      <c r="R54" s="11" t="str">
        <f>PROPER(Sales_Data[[#This Row],[Sales Manager]])</f>
        <v>Jane Doe</v>
      </c>
    </row>
    <row r="55" spans="1:18" hidden="1" x14ac:dyDescent="0.25">
      <c r="A55">
        <v>10054</v>
      </c>
      <c r="B55">
        <v>2019</v>
      </c>
      <c r="C55" t="s">
        <v>67</v>
      </c>
      <c r="D55" s="8">
        <v>43519</v>
      </c>
      <c r="E55" t="s">
        <v>22</v>
      </c>
      <c r="F55" t="s">
        <v>18</v>
      </c>
      <c r="G55" t="s">
        <v>20</v>
      </c>
      <c r="H55" s="9">
        <v>9</v>
      </c>
      <c r="I55" s="9">
        <v>479</v>
      </c>
      <c r="J55" s="10">
        <v>407150</v>
      </c>
      <c r="K55" s="10">
        <v>138431</v>
      </c>
      <c r="L55">
        <v>8</v>
      </c>
      <c r="M55" s="8">
        <v>43466</v>
      </c>
      <c r="N55" s="23">
        <v>2.0509180773707102E-3</v>
      </c>
      <c r="O55" s="10" t="str">
        <f>IF(Sales_Data[[#This Row],[Total Profit]]&gt;0,"Profitable","Loss")</f>
        <v>Profitable</v>
      </c>
      <c r="P55" s="10" t="str">
        <f>IF(Sales_Data[[#This Row],[Total Profit]]&gt;100000,"High Value",IF(Sales_Data[[#This Row],[Total Profit]]&gt;60000,"Medium","Low"))</f>
        <v>High Value</v>
      </c>
      <c r="Q55" s="11" t="str">
        <f>PROPER(Sales_Data[[#This Row],[Month Name]])</f>
        <v>Fevereiro</v>
      </c>
      <c r="R55" s="11" t="str">
        <f>PROPER(Sales_Data[[#This Row],[Sales Manager]])</f>
        <v>Jane Doe</v>
      </c>
    </row>
    <row r="56" spans="1:18" hidden="1" x14ac:dyDescent="0.25">
      <c r="A56">
        <v>10055</v>
      </c>
      <c r="B56">
        <v>2019</v>
      </c>
      <c r="C56" t="s">
        <v>67</v>
      </c>
      <c r="D56" s="8">
        <v>43520</v>
      </c>
      <c r="E56" t="s">
        <v>22</v>
      </c>
      <c r="F56" t="s">
        <v>21</v>
      </c>
      <c r="G56" t="s">
        <v>20</v>
      </c>
      <c r="H56" s="9">
        <v>37</v>
      </c>
      <c r="I56" s="9">
        <v>400</v>
      </c>
      <c r="J56" s="10">
        <v>340000</v>
      </c>
      <c r="K56" s="10">
        <v>98600</v>
      </c>
      <c r="L56">
        <v>9</v>
      </c>
      <c r="M56" s="8">
        <v>43466</v>
      </c>
      <c r="N56" s="23">
        <v>1.7126664529191801E-3</v>
      </c>
      <c r="O56" s="10" t="str">
        <f>IF(Sales_Data[[#This Row],[Total Profit]]&gt;0,"Profitable","Loss")</f>
        <v>Profitable</v>
      </c>
      <c r="P56" s="10" t="str">
        <f>IF(Sales_Data[[#This Row],[Total Profit]]&gt;100000,"High Value",IF(Sales_Data[[#This Row],[Total Profit]]&gt;60000,"Medium","Low"))</f>
        <v>Medium</v>
      </c>
      <c r="Q56" s="11" t="str">
        <f>PROPER(Sales_Data[[#This Row],[Month Name]])</f>
        <v>Fevereiro</v>
      </c>
      <c r="R56" s="11" t="str">
        <f>PROPER(Sales_Data[[#This Row],[Sales Manager]])</f>
        <v>John Smith</v>
      </c>
    </row>
    <row r="57" spans="1:18" hidden="1" x14ac:dyDescent="0.25">
      <c r="A57">
        <v>10056</v>
      </c>
      <c r="B57">
        <v>2019</v>
      </c>
      <c r="C57" t="s">
        <v>67</v>
      </c>
      <c r="D57" s="8">
        <v>43521</v>
      </c>
      <c r="E57" t="s">
        <v>11</v>
      </c>
      <c r="F57" t="s">
        <v>18</v>
      </c>
      <c r="G57" t="s">
        <v>17</v>
      </c>
      <c r="H57" s="9">
        <v>2</v>
      </c>
      <c r="I57" s="9">
        <v>51</v>
      </c>
      <c r="J57" s="10">
        <v>12750</v>
      </c>
      <c r="K57" s="10">
        <v>3442.5</v>
      </c>
      <c r="L57">
        <v>9</v>
      </c>
      <c r="M57" s="8">
        <v>43466</v>
      </c>
      <c r="N57" s="23">
        <v>6.4224991984469096E-5</v>
      </c>
      <c r="O57" s="10" t="str">
        <f>IF(Sales_Data[[#This Row],[Total Profit]]&gt;0,"Profitable","Loss")</f>
        <v>Profitable</v>
      </c>
      <c r="P57" s="10" t="str">
        <f>IF(Sales_Data[[#This Row],[Total Profit]]&gt;100000,"High Value",IF(Sales_Data[[#This Row],[Total Profit]]&gt;60000,"Medium","Low"))</f>
        <v>Low</v>
      </c>
      <c r="Q57" s="11" t="str">
        <f>PROPER(Sales_Data[[#This Row],[Month Name]])</f>
        <v>Fevereiro</v>
      </c>
      <c r="R57" s="11" t="str">
        <f>PROPER(Sales_Data[[#This Row],[Sales Manager]])</f>
        <v>Jane Doe</v>
      </c>
    </row>
    <row r="58" spans="1:18" hidden="1" x14ac:dyDescent="0.25">
      <c r="A58">
        <v>10057</v>
      </c>
      <c r="B58">
        <v>2019</v>
      </c>
      <c r="C58" t="s">
        <v>67</v>
      </c>
      <c r="D58" s="8">
        <v>43522</v>
      </c>
      <c r="E58" t="s">
        <v>19</v>
      </c>
      <c r="F58" t="s">
        <v>16</v>
      </c>
      <c r="G58" t="s">
        <v>23</v>
      </c>
      <c r="H58" s="9">
        <v>1</v>
      </c>
      <c r="I58" s="9">
        <v>20</v>
      </c>
      <c r="J58" s="10">
        <v>7000</v>
      </c>
      <c r="K58" s="10">
        <v>1960.0000000000002</v>
      </c>
      <c r="L58">
        <v>9</v>
      </c>
      <c r="M58" s="8">
        <v>43466</v>
      </c>
      <c r="N58" s="23">
        <v>3.5260779913041902E-5</v>
      </c>
      <c r="O58" s="10" t="str">
        <f>IF(Sales_Data[[#This Row],[Total Profit]]&gt;0,"Profitable","Loss")</f>
        <v>Profitable</v>
      </c>
      <c r="P58" s="10" t="str">
        <f>IF(Sales_Data[[#This Row],[Total Profit]]&gt;100000,"High Value",IF(Sales_Data[[#This Row],[Total Profit]]&gt;60000,"Medium","Low"))</f>
        <v>Low</v>
      </c>
      <c r="Q58" s="11" t="str">
        <f>PROPER(Sales_Data[[#This Row],[Month Name]])</f>
        <v>Fevereiro</v>
      </c>
      <c r="R58" s="11" t="str">
        <f>PROPER(Sales_Data[[#This Row],[Sales Manager]])</f>
        <v>James Brown</v>
      </c>
    </row>
    <row r="59" spans="1:18" hidden="1" x14ac:dyDescent="0.25">
      <c r="A59">
        <v>10058</v>
      </c>
      <c r="B59">
        <v>2019</v>
      </c>
      <c r="C59" t="s">
        <v>67</v>
      </c>
      <c r="D59" s="8">
        <v>43523</v>
      </c>
      <c r="E59" t="s">
        <v>14</v>
      </c>
      <c r="F59" t="s">
        <v>21</v>
      </c>
      <c r="G59" t="s">
        <v>20</v>
      </c>
      <c r="H59" s="9">
        <v>7</v>
      </c>
      <c r="I59" s="9">
        <v>131</v>
      </c>
      <c r="J59" s="10">
        <v>111350</v>
      </c>
      <c r="K59" s="10">
        <v>21156.5</v>
      </c>
      <c r="L59">
        <v>9</v>
      </c>
      <c r="M59" s="8">
        <v>43466</v>
      </c>
      <c r="N59" s="23">
        <v>5.6089826333103005E-4</v>
      </c>
      <c r="O59" s="10" t="str">
        <f>IF(Sales_Data[[#This Row],[Total Profit]]&gt;0,"Profitable","Loss")</f>
        <v>Profitable</v>
      </c>
      <c r="P59" s="10" t="str">
        <f>IF(Sales_Data[[#This Row],[Total Profit]]&gt;100000,"High Value",IF(Sales_Data[[#This Row],[Total Profit]]&gt;60000,"Medium","Low"))</f>
        <v>Low</v>
      </c>
      <c r="Q59" s="11" t="str">
        <f>PROPER(Sales_Data[[#This Row],[Month Name]])</f>
        <v>Fevereiro</v>
      </c>
      <c r="R59" s="11" t="str">
        <f>PROPER(Sales_Data[[#This Row],[Sales Manager]])</f>
        <v>John Smith</v>
      </c>
    </row>
    <row r="60" spans="1:18" hidden="1" x14ac:dyDescent="0.25">
      <c r="A60">
        <v>10059</v>
      </c>
      <c r="B60">
        <v>2019</v>
      </c>
      <c r="C60" t="s">
        <v>67</v>
      </c>
      <c r="D60" s="8">
        <v>43524</v>
      </c>
      <c r="E60" t="s">
        <v>25</v>
      </c>
      <c r="F60" t="s">
        <v>21</v>
      </c>
      <c r="G60" t="s">
        <v>17</v>
      </c>
      <c r="H60" s="9">
        <v>15</v>
      </c>
      <c r="I60" s="9">
        <v>233</v>
      </c>
      <c r="J60" s="10">
        <v>58250</v>
      </c>
      <c r="K60" s="10">
        <v>15727.500000000002</v>
      </c>
      <c r="L60">
        <v>9</v>
      </c>
      <c r="M60" s="8">
        <v>43466</v>
      </c>
      <c r="N60" s="23">
        <v>2.9342006141924102E-4</v>
      </c>
      <c r="O60" s="10" t="str">
        <f>IF(Sales_Data[[#This Row],[Total Profit]]&gt;0,"Profitable","Loss")</f>
        <v>Profitable</v>
      </c>
      <c r="P60" s="10" t="str">
        <f>IF(Sales_Data[[#This Row],[Total Profit]]&gt;100000,"High Value",IF(Sales_Data[[#This Row],[Total Profit]]&gt;60000,"Medium","Low"))</f>
        <v>Low</v>
      </c>
      <c r="Q60" s="11" t="str">
        <f>PROPER(Sales_Data[[#This Row],[Month Name]])</f>
        <v>Fevereiro</v>
      </c>
      <c r="R60" s="11" t="str">
        <f>PROPER(Sales_Data[[#This Row],[Sales Manager]])</f>
        <v>John Smith</v>
      </c>
    </row>
    <row r="61" spans="1:18" hidden="1" x14ac:dyDescent="0.25">
      <c r="A61">
        <v>10060</v>
      </c>
      <c r="B61">
        <v>2019</v>
      </c>
      <c r="C61" t="s">
        <v>68</v>
      </c>
      <c r="D61" s="8">
        <v>43525</v>
      </c>
      <c r="E61" t="s">
        <v>19</v>
      </c>
      <c r="F61" t="s">
        <v>12</v>
      </c>
      <c r="G61" t="s">
        <v>13</v>
      </c>
      <c r="H61" s="9">
        <v>5</v>
      </c>
      <c r="I61" s="9">
        <v>405</v>
      </c>
      <c r="J61" s="10">
        <v>303750</v>
      </c>
      <c r="K61" s="10">
        <v>109350</v>
      </c>
      <c r="L61">
        <v>9</v>
      </c>
      <c r="M61" s="8">
        <v>43466</v>
      </c>
      <c r="N61" s="23">
        <v>1.5300659855123501E-3</v>
      </c>
      <c r="O61" s="10" t="str">
        <f>IF(Sales_Data[[#This Row],[Total Profit]]&gt;0,"Profitable","Loss")</f>
        <v>Profitable</v>
      </c>
      <c r="P61" s="10" t="str">
        <f>IF(Sales_Data[[#This Row],[Total Profit]]&gt;100000,"High Value",IF(Sales_Data[[#This Row],[Total Profit]]&gt;60000,"Medium","Low"))</f>
        <v>High Value</v>
      </c>
      <c r="Q61" s="11" t="str">
        <f>PROPER(Sales_Data[[#This Row],[Month Name]])</f>
        <v>Março</v>
      </c>
      <c r="R61" s="11" t="str">
        <f>PROPER(Sales_Data[[#This Row],[Sales Manager]])</f>
        <v>Emily White</v>
      </c>
    </row>
    <row r="62" spans="1:18" hidden="1" x14ac:dyDescent="0.25">
      <c r="A62">
        <v>10061</v>
      </c>
      <c r="B62">
        <v>2019</v>
      </c>
      <c r="C62" t="s">
        <v>68</v>
      </c>
      <c r="D62" s="8">
        <v>43526</v>
      </c>
      <c r="E62" t="s">
        <v>11</v>
      </c>
      <c r="F62" t="s">
        <v>18</v>
      </c>
      <c r="G62" t="s">
        <v>13</v>
      </c>
      <c r="H62" s="9">
        <v>9</v>
      </c>
      <c r="I62" s="9">
        <v>101</v>
      </c>
      <c r="J62" s="10">
        <v>75750</v>
      </c>
      <c r="K62" s="10">
        <v>33330</v>
      </c>
      <c r="L62">
        <v>9</v>
      </c>
      <c r="M62" s="8">
        <v>43466</v>
      </c>
      <c r="N62" s="23">
        <v>3.8157201120184598E-4</v>
      </c>
      <c r="O62" s="10" t="str">
        <f>IF(Sales_Data[[#This Row],[Total Profit]]&gt;0,"Profitable","Loss")</f>
        <v>Profitable</v>
      </c>
      <c r="P62" s="10" t="str">
        <f>IF(Sales_Data[[#This Row],[Total Profit]]&gt;100000,"High Value",IF(Sales_Data[[#This Row],[Total Profit]]&gt;60000,"Medium","Low"))</f>
        <v>Low</v>
      </c>
      <c r="Q62" s="11" t="str">
        <f>PROPER(Sales_Data[[#This Row],[Month Name]])</f>
        <v>Março</v>
      </c>
      <c r="R62" s="11" t="str">
        <f>PROPER(Sales_Data[[#This Row],[Sales Manager]])</f>
        <v>Jane Doe</v>
      </c>
    </row>
    <row r="63" spans="1:18" hidden="1" x14ac:dyDescent="0.25">
      <c r="A63">
        <v>10062</v>
      </c>
      <c r="B63">
        <v>2019</v>
      </c>
      <c r="C63" t="s">
        <v>68</v>
      </c>
      <c r="D63" s="8">
        <v>43527</v>
      </c>
      <c r="E63" t="s">
        <v>25</v>
      </c>
      <c r="F63" t="s">
        <v>24</v>
      </c>
      <c r="G63" t="s">
        <v>23</v>
      </c>
      <c r="H63" s="9">
        <v>14</v>
      </c>
      <c r="I63" s="9">
        <v>258</v>
      </c>
      <c r="J63" s="10">
        <v>90300</v>
      </c>
      <c r="K63" s="10">
        <v>27090</v>
      </c>
      <c r="L63">
        <v>10</v>
      </c>
      <c r="M63" s="8">
        <v>43466</v>
      </c>
      <c r="N63" s="23">
        <v>4.5486406087823998E-4</v>
      </c>
      <c r="O63" s="10" t="str">
        <f>IF(Sales_Data[[#This Row],[Total Profit]]&gt;0,"Profitable","Loss")</f>
        <v>Profitable</v>
      </c>
      <c r="P63" s="10" t="str">
        <f>IF(Sales_Data[[#This Row],[Total Profit]]&gt;100000,"High Value",IF(Sales_Data[[#This Row],[Total Profit]]&gt;60000,"Medium","Low"))</f>
        <v>Low</v>
      </c>
      <c r="Q63" s="11" t="str">
        <f>PROPER(Sales_Data[[#This Row],[Month Name]])</f>
        <v>Março</v>
      </c>
      <c r="R63" s="11" t="str">
        <f>PROPER(Sales_Data[[#This Row],[Sales Manager]])</f>
        <v>Liam Lee</v>
      </c>
    </row>
    <row r="64" spans="1:18" hidden="1" x14ac:dyDescent="0.25">
      <c r="A64">
        <v>10063</v>
      </c>
      <c r="B64">
        <v>2019</v>
      </c>
      <c r="C64" t="s">
        <v>68</v>
      </c>
      <c r="D64" s="8">
        <v>43528</v>
      </c>
      <c r="E64" t="s">
        <v>22</v>
      </c>
      <c r="F64" t="s">
        <v>12</v>
      </c>
      <c r="G64" t="s">
        <v>15</v>
      </c>
      <c r="H64" s="9">
        <v>14</v>
      </c>
      <c r="I64" s="9">
        <v>147</v>
      </c>
      <c r="J64" s="10">
        <v>73500</v>
      </c>
      <c r="K64" s="10">
        <v>31605</v>
      </c>
      <c r="L64">
        <v>10</v>
      </c>
      <c r="M64" s="8">
        <v>43466</v>
      </c>
      <c r="N64" s="23">
        <v>3.7023818908694001E-4</v>
      </c>
      <c r="O64" s="10" t="str">
        <f>IF(Sales_Data[[#This Row],[Total Profit]]&gt;0,"Profitable","Loss")</f>
        <v>Profitable</v>
      </c>
      <c r="P64" s="10" t="str">
        <f>IF(Sales_Data[[#This Row],[Total Profit]]&gt;100000,"High Value",IF(Sales_Data[[#This Row],[Total Profit]]&gt;60000,"Medium","Low"))</f>
        <v>Low</v>
      </c>
      <c r="Q64" s="11" t="str">
        <f>PROPER(Sales_Data[[#This Row],[Month Name]])</f>
        <v>Março</v>
      </c>
      <c r="R64" s="11" t="str">
        <f>PROPER(Sales_Data[[#This Row],[Sales Manager]])</f>
        <v>Emily White</v>
      </c>
    </row>
    <row r="65" spans="1:18" hidden="1" x14ac:dyDescent="0.25">
      <c r="A65">
        <v>10064</v>
      </c>
      <c r="B65">
        <v>2019</v>
      </c>
      <c r="C65" t="s">
        <v>68</v>
      </c>
      <c r="D65" s="8">
        <v>43529</v>
      </c>
      <c r="E65" t="s">
        <v>19</v>
      </c>
      <c r="F65" t="s">
        <v>16</v>
      </c>
      <c r="G65" t="s">
        <v>23</v>
      </c>
      <c r="H65" s="9">
        <v>8</v>
      </c>
      <c r="I65" s="9">
        <v>362</v>
      </c>
      <c r="J65" s="10">
        <v>126700</v>
      </c>
      <c r="K65" s="10">
        <v>49413</v>
      </c>
      <c r="L65">
        <v>10</v>
      </c>
      <c r="M65" s="8">
        <v>43466</v>
      </c>
      <c r="N65" s="23">
        <v>6.3822011642605803E-4</v>
      </c>
      <c r="O65" s="10" t="str">
        <f>IF(Sales_Data[[#This Row],[Total Profit]]&gt;0,"Profitable","Loss")</f>
        <v>Profitable</v>
      </c>
      <c r="P65" s="10" t="str">
        <f>IF(Sales_Data[[#This Row],[Total Profit]]&gt;100000,"High Value",IF(Sales_Data[[#This Row],[Total Profit]]&gt;60000,"Medium","Low"))</f>
        <v>Low</v>
      </c>
      <c r="Q65" s="11" t="str">
        <f>PROPER(Sales_Data[[#This Row],[Month Name]])</f>
        <v>Março</v>
      </c>
      <c r="R65" s="11" t="str">
        <f>PROPER(Sales_Data[[#This Row],[Sales Manager]])</f>
        <v>James Brown</v>
      </c>
    </row>
    <row r="66" spans="1:18" hidden="1" x14ac:dyDescent="0.25">
      <c r="A66">
        <v>10065</v>
      </c>
      <c r="B66">
        <v>2019</v>
      </c>
      <c r="C66" t="s">
        <v>68</v>
      </c>
      <c r="D66" s="8">
        <v>43530</v>
      </c>
      <c r="E66" t="s">
        <v>19</v>
      </c>
      <c r="F66" t="s">
        <v>16</v>
      </c>
      <c r="G66" t="s">
        <v>15</v>
      </c>
      <c r="H66" s="9">
        <v>3</v>
      </c>
      <c r="I66" s="9">
        <v>212</v>
      </c>
      <c r="J66" s="10">
        <v>106000</v>
      </c>
      <c r="K66" s="10">
        <v>43460</v>
      </c>
      <c r="L66">
        <v>10</v>
      </c>
      <c r="M66" s="8">
        <v>43466</v>
      </c>
      <c r="N66" s="23">
        <v>5.3394895296892005E-4</v>
      </c>
      <c r="O66" s="10" t="str">
        <f>IF(Sales_Data[[#This Row],[Total Profit]]&gt;0,"Profitable","Loss")</f>
        <v>Profitable</v>
      </c>
      <c r="P66" s="10" t="str">
        <f>IF(Sales_Data[[#This Row],[Total Profit]]&gt;100000,"High Value",IF(Sales_Data[[#This Row],[Total Profit]]&gt;60000,"Medium","Low"))</f>
        <v>Low</v>
      </c>
      <c r="Q66" s="11" t="str">
        <f>PROPER(Sales_Data[[#This Row],[Month Name]])</f>
        <v>Março</v>
      </c>
      <c r="R66" s="11" t="str">
        <f>PROPER(Sales_Data[[#This Row],[Sales Manager]])</f>
        <v>James Brown</v>
      </c>
    </row>
    <row r="67" spans="1:18" hidden="1" x14ac:dyDescent="0.25">
      <c r="A67">
        <v>10066</v>
      </c>
      <c r="B67">
        <v>2019</v>
      </c>
      <c r="C67" t="s">
        <v>68</v>
      </c>
      <c r="D67" s="8">
        <v>43531</v>
      </c>
      <c r="E67" t="s">
        <v>25</v>
      </c>
      <c r="F67" t="s">
        <v>18</v>
      </c>
      <c r="G67" t="s">
        <v>20</v>
      </c>
      <c r="H67" s="9">
        <v>3</v>
      </c>
      <c r="I67" s="9">
        <v>61</v>
      </c>
      <c r="J67" s="10">
        <v>51850</v>
      </c>
      <c r="K67" s="10">
        <v>22814</v>
      </c>
      <c r="L67">
        <v>10</v>
      </c>
      <c r="M67" s="8">
        <v>43466</v>
      </c>
      <c r="N67" s="23">
        <v>2.61181634070174E-4</v>
      </c>
      <c r="O67" s="10" t="str">
        <f>IF(Sales_Data[[#This Row],[Total Profit]]&gt;0,"Profitable","Loss")</f>
        <v>Profitable</v>
      </c>
      <c r="P67" s="10" t="str">
        <f>IF(Sales_Data[[#This Row],[Total Profit]]&gt;100000,"High Value",IF(Sales_Data[[#This Row],[Total Profit]]&gt;60000,"Medium","Low"))</f>
        <v>Low</v>
      </c>
      <c r="Q67" s="11" t="str">
        <f>PROPER(Sales_Data[[#This Row],[Month Name]])</f>
        <v>Março</v>
      </c>
      <c r="R67" s="11" t="str">
        <f>PROPER(Sales_Data[[#This Row],[Sales Manager]])</f>
        <v>Jane Doe</v>
      </c>
    </row>
    <row r="68" spans="1:18" hidden="1" x14ac:dyDescent="0.25">
      <c r="A68">
        <v>10067</v>
      </c>
      <c r="B68">
        <v>2019</v>
      </c>
      <c r="C68" t="s">
        <v>68</v>
      </c>
      <c r="D68" s="8">
        <v>43532</v>
      </c>
      <c r="E68" t="s">
        <v>19</v>
      </c>
      <c r="F68" t="s">
        <v>16</v>
      </c>
      <c r="G68" t="s">
        <v>23</v>
      </c>
      <c r="H68" s="9">
        <v>4</v>
      </c>
      <c r="I68" s="9">
        <v>41</v>
      </c>
      <c r="J68" s="10">
        <v>14350</v>
      </c>
      <c r="K68" s="10">
        <v>6457.5</v>
      </c>
      <c r="L68">
        <v>10</v>
      </c>
      <c r="M68" s="8">
        <v>43466</v>
      </c>
      <c r="N68" s="23">
        <v>7.2284598821735797E-5</v>
      </c>
      <c r="O68" s="10" t="str">
        <f>IF(Sales_Data[[#This Row],[Total Profit]]&gt;0,"Profitable","Loss")</f>
        <v>Profitable</v>
      </c>
      <c r="P68" s="10" t="str">
        <f>IF(Sales_Data[[#This Row],[Total Profit]]&gt;100000,"High Value",IF(Sales_Data[[#This Row],[Total Profit]]&gt;60000,"Medium","Low"))</f>
        <v>Low</v>
      </c>
      <c r="Q68" s="11" t="str">
        <f>PROPER(Sales_Data[[#This Row],[Month Name]])</f>
        <v>Março</v>
      </c>
      <c r="R68" s="11" t="str">
        <f>PROPER(Sales_Data[[#This Row],[Sales Manager]])</f>
        <v>James Brown</v>
      </c>
    </row>
    <row r="69" spans="1:18" hidden="1" x14ac:dyDescent="0.25">
      <c r="A69">
        <v>10068</v>
      </c>
      <c r="B69">
        <v>2019</v>
      </c>
      <c r="C69" t="s">
        <v>68</v>
      </c>
      <c r="D69" s="8">
        <v>43533</v>
      </c>
      <c r="E69" t="s">
        <v>14</v>
      </c>
      <c r="F69" t="s">
        <v>16</v>
      </c>
      <c r="G69" t="s">
        <v>15</v>
      </c>
      <c r="H69" s="9">
        <v>18</v>
      </c>
      <c r="I69" s="9">
        <v>332</v>
      </c>
      <c r="J69" s="10">
        <v>166000</v>
      </c>
      <c r="K69" s="10">
        <v>58099.999999999993</v>
      </c>
      <c r="L69">
        <v>10</v>
      </c>
      <c r="M69" s="8">
        <v>43466</v>
      </c>
      <c r="N69" s="23">
        <v>8.36184209366422E-4</v>
      </c>
      <c r="O69" s="10" t="str">
        <f>IF(Sales_Data[[#This Row],[Total Profit]]&gt;0,"Profitable","Loss")</f>
        <v>Profitable</v>
      </c>
      <c r="P69" s="10" t="str">
        <f>IF(Sales_Data[[#This Row],[Total Profit]]&gt;100000,"High Value",IF(Sales_Data[[#This Row],[Total Profit]]&gt;60000,"Medium","Low"))</f>
        <v>Low</v>
      </c>
      <c r="Q69" s="11" t="str">
        <f>PROPER(Sales_Data[[#This Row],[Month Name]])</f>
        <v>Março</v>
      </c>
      <c r="R69" s="11" t="str">
        <f>PROPER(Sales_Data[[#This Row],[Sales Manager]])</f>
        <v>James Brown</v>
      </c>
    </row>
    <row r="70" spans="1:18" hidden="1" x14ac:dyDescent="0.25">
      <c r="A70">
        <v>10069</v>
      </c>
      <c r="B70">
        <v>2019</v>
      </c>
      <c r="C70" t="s">
        <v>68</v>
      </c>
      <c r="D70" s="8">
        <v>43534</v>
      </c>
      <c r="E70" t="s">
        <v>25</v>
      </c>
      <c r="F70" t="s">
        <v>12</v>
      </c>
      <c r="G70" t="s">
        <v>20</v>
      </c>
      <c r="H70" s="9">
        <v>3</v>
      </c>
      <c r="I70" s="9">
        <v>33</v>
      </c>
      <c r="J70" s="10">
        <v>28050</v>
      </c>
      <c r="K70" s="10">
        <v>7012.5</v>
      </c>
      <c r="L70">
        <v>11</v>
      </c>
      <c r="M70" s="8">
        <v>43466</v>
      </c>
      <c r="N70" s="23">
        <v>1.41294982365832E-4</v>
      </c>
      <c r="O70" s="10" t="str">
        <f>IF(Sales_Data[[#This Row],[Total Profit]]&gt;0,"Profitable","Loss")</f>
        <v>Profitable</v>
      </c>
      <c r="P70" s="10" t="str">
        <f>IF(Sales_Data[[#This Row],[Total Profit]]&gt;100000,"High Value",IF(Sales_Data[[#This Row],[Total Profit]]&gt;60000,"Medium","Low"))</f>
        <v>Low</v>
      </c>
      <c r="Q70" s="11" t="str">
        <f>PROPER(Sales_Data[[#This Row],[Month Name]])</f>
        <v>Março</v>
      </c>
      <c r="R70" s="11" t="str">
        <f>PROPER(Sales_Data[[#This Row],[Sales Manager]])</f>
        <v>Emily White</v>
      </c>
    </row>
    <row r="71" spans="1:18" hidden="1" x14ac:dyDescent="0.25">
      <c r="A71">
        <v>10070</v>
      </c>
      <c r="B71">
        <v>2019</v>
      </c>
      <c r="C71" t="s">
        <v>68</v>
      </c>
      <c r="D71" s="8">
        <v>43535</v>
      </c>
      <c r="E71" t="s">
        <v>14</v>
      </c>
      <c r="F71" t="s">
        <v>16</v>
      </c>
      <c r="G71" t="s">
        <v>15</v>
      </c>
      <c r="H71" s="9">
        <v>1</v>
      </c>
      <c r="I71" s="9">
        <v>13</v>
      </c>
      <c r="J71" s="10">
        <v>6500</v>
      </c>
      <c r="K71" s="10">
        <v>1690</v>
      </c>
      <c r="L71">
        <v>11</v>
      </c>
      <c r="M71" s="8">
        <v>43466</v>
      </c>
      <c r="N71" s="23">
        <v>3.2742152776395998E-5</v>
      </c>
      <c r="O71" s="10" t="str">
        <f>IF(Sales_Data[[#This Row],[Total Profit]]&gt;0,"Profitable","Loss")</f>
        <v>Profitable</v>
      </c>
      <c r="P71" s="10" t="str">
        <f>IF(Sales_Data[[#This Row],[Total Profit]]&gt;100000,"High Value",IF(Sales_Data[[#This Row],[Total Profit]]&gt;60000,"Medium","Low"))</f>
        <v>Low</v>
      </c>
      <c r="Q71" s="11" t="str">
        <f>PROPER(Sales_Data[[#This Row],[Month Name]])</f>
        <v>Março</v>
      </c>
      <c r="R71" s="11" t="str">
        <f>PROPER(Sales_Data[[#This Row],[Sales Manager]])</f>
        <v>James Brown</v>
      </c>
    </row>
    <row r="72" spans="1:18" hidden="1" x14ac:dyDescent="0.25">
      <c r="A72">
        <v>10071</v>
      </c>
      <c r="B72">
        <v>2019</v>
      </c>
      <c r="C72" t="s">
        <v>68</v>
      </c>
      <c r="D72" s="8">
        <v>43536</v>
      </c>
      <c r="E72" t="s">
        <v>19</v>
      </c>
      <c r="F72" t="s">
        <v>21</v>
      </c>
      <c r="G72" t="s">
        <v>15</v>
      </c>
      <c r="H72" s="9">
        <v>1</v>
      </c>
      <c r="I72" s="9">
        <v>58</v>
      </c>
      <c r="J72" s="10">
        <v>29000</v>
      </c>
      <c r="K72" s="10">
        <v>6670</v>
      </c>
      <c r="L72">
        <v>11</v>
      </c>
      <c r="M72" s="8">
        <v>43466</v>
      </c>
      <c r="N72" s="23">
        <v>1.4608037392545899E-4</v>
      </c>
      <c r="O72" s="10" t="str">
        <f>IF(Sales_Data[[#This Row],[Total Profit]]&gt;0,"Profitable","Loss")</f>
        <v>Profitable</v>
      </c>
      <c r="P72" s="10" t="str">
        <f>IF(Sales_Data[[#This Row],[Total Profit]]&gt;100000,"High Value",IF(Sales_Data[[#This Row],[Total Profit]]&gt;60000,"Medium","Low"))</f>
        <v>Low</v>
      </c>
      <c r="Q72" s="11" t="str">
        <f>PROPER(Sales_Data[[#This Row],[Month Name]])</f>
        <v>Março</v>
      </c>
      <c r="R72" s="11" t="str">
        <f>PROPER(Sales_Data[[#This Row],[Sales Manager]])</f>
        <v>John Smith</v>
      </c>
    </row>
    <row r="73" spans="1:18" hidden="1" x14ac:dyDescent="0.25">
      <c r="A73">
        <v>10072</v>
      </c>
      <c r="B73">
        <v>2019</v>
      </c>
      <c r="C73" t="s">
        <v>68</v>
      </c>
      <c r="D73" s="8">
        <v>43537</v>
      </c>
      <c r="E73" t="s">
        <v>11</v>
      </c>
      <c r="F73" t="s">
        <v>12</v>
      </c>
      <c r="G73" t="s">
        <v>17</v>
      </c>
      <c r="H73" s="9">
        <v>4</v>
      </c>
      <c r="I73" s="9">
        <v>40</v>
      </c>
      <c r="J73" s="10">
        <v>10000</v>
      </c>
      <c r="K73" s="10">
        <v>2300</v>
      </c>
      <c r="L73">
        <v>11</v>
      </c>
      <c r="M73" s="8">
        <v>43466</v>
      </c>
      <c r="N73" s="23">
        <v>5.0372542732916997E-5</v>
      </c>
      <c r="O73" s="10" t="str">
        <f>IF(Sales_Data[[#This Row],[Total Profit]]&gt;0,"Profitable","Loss")</f>
        <v>Profitable</v>
      </c>
      <c r="P73" s="10" t="str">
        <f>IF(Sales_Data[[#This Row],[Total Profit]]&gt;100000,"High Value",IF(Sales_Data[[#This Row],[Total Profit]]&gt;60000,"Medium","Low"))</f>
        <v>Low</v>
      </c>
      <c r="Q73" s="11" t="str">
        <f>PROPER(Sales_Data[[#This Row],[Month Name]])</f>
        <v>Março</v>
      </c>
      <c r="R73" s="11" t="str">
        <f>PROPER(Sales_Data[[#This Row],[Sales Manager]])</f>
        <v>Emily White</v>
      </c>
    </row>
    <row r="74" spans="1:18" hidden="1" x14ac:dyDescent="0.25">
      <c r="A74">
        <v>10073</v>
      </c>
      <c r="B74">
        <v>2019</v>
      </c>
      <c r="C74" t="s">
        <v>68</v>
      </c>
      <c r="D74" s="8">
        <v>43538</v>
      </c>
      <c r="E74" t="s">
        <v>25</v>
      </c>
      <c r="F74" t="s">
        <v>24</v>
      </c>
      <c r="G74" t="s">
        <v>15</v>
      </c>
      <c r="H74" s="9">
        <v>2</v>
      </c>
      <c r="I74" s="9">
        <v>43</v>
      </c>
      <c r="J74" s="10">
        <v>21500</v>
      </c>
      <c r="K74" s="10">
        <v>7095</v>
      </c>
      <c r="L74">
        <v>11</v>
      </c>
      <c r="M74" s="8">
        <v>43466</v>
      </c>
      <c r="N74" s="23">
        <v>1.0830096687577199E-4</v>
      </c>
      <c r="O74" s="10" t="str">
        <f>IF(Sales_Data[[#This Row],[Total Profit]]&gt;0,"Profitable","Loss")</f>
        <v>Profitable</v>
      </c>
      <c r="P74" s="10" t="str">
        <f>IF(Sales_Data[[#This Row],[Total Profit]]&gt;100000,"High Value",IF(Sales_Data[[#This Row],[Total Profit]]&gt;60000,"Medium","Low"))</f>
        <v>Low</v>
      </c>
      <c r="Q74" s="11" t="str">
        <f>PROPER(Sales_Data[[#This Row],[Month Name]])</f>
        <v>Março</v>
      </c>
      <c r="R74" s="11" t="str">
        <f>PROPER(Sales_Data[[#This Row],[Sales Manager]])</f>
        <v>Liam Lee</v>
      </c>
    </row>
    <row r="75" spans="1:18" hidden="1" x14ac:dyDescent="0.25">
      <c r="A75">
        <v>10074</v>
      </c>
      <c r="B75">
        <v>2019</v>
      </c>
      <c r="C75" t="s">
        <v>68</v>
      </c>
      <c r="D75" s="8">
        <v>43539</v>
      </c>
      <c r="E75" t="s">
        <v>22</v>
      </c>
      <c r="F75" t="s">
        <v>12</v>
      </c>
      <c r="G75" t="s">
        <v>20</v>
      </c>
      <c r="H75" s="9">
        <v>19</v>
      </c>
      <c r="I75" s="9">
        <v>293</v>
      </c>
      <c r="J75" s="10">
        <v>249050</v>
      </c>
      <c r="K75" s="10">
        <v>92148.5</v>
      </c>
      <c r="L75">
        <v>11</v>
      </c>
      <c r="M75" s="8">
        <v>43466</v>
      </c>
      <c r="N75" s="23">
        <v>1.2545281767632999E-3</v>
      </c>
      <c r="O75" s="10" t="str">
        <f>IF(Sales_Data[[#This Row],[Total Profit]]&gt;0,"Profitable","Loss")</f>
        <v>Profitable</v>
      </c>
      <c r="P75" s="10" t="str">
        <f>IF(Sales_Data[[#This Row],[Total Profit]]&gt;100000,"High Value",IF(Sales_Data[[#This Row],[Total Profit]]&gt;60000,"Medium","Low"))</f>
        <v>Medium</v>
      </c>
      <c r="Q75" s="11" t="str">
        <f>PROPER(Sales_Data[[#This Row],[Month Name]])</f>
        <v>Março</v>
      </c>
      <c r="R75" s="11" t="str">
        <f>PROPER(Sales_Data[[#This Row],[Sales Manager]])</f>
        <v>Emily White</v>
      </c>
    </row>
    <row r="76" spans="1:18" hidden="1" x14ac:dyDescent="0.25">
      <c r="A76">
        <v>10075</v>
      </c>
      <c r="B76">
        <v>2019</v>
      </c>
      <c r="C76" t="s">
        <v>68</v>
      </c>
      <c r="D76" s="8">
        <v>43540</v>
      </c>
      <c r="E76" t="s">
        <v>19</v>
      </c>
      <c r="F76" t="s">
        <v>18</v>
      </c>
      <c r="G76" t="s">
        <v>15</v>
      </c>
      <c r="H76" s="9">
        <v>19</v>
      </c>
      <c r="I76" s="9">
        <v>387</v>
      </c>
      <c r="J76" s="10">
        <v>193500</v>
      </c>
      <c r="K76" s="10">
        <v>71595</v>
      </c>
      <c r="L76">
        <v>11</v>
      </c>
      <c r="M76" s="8">
        <v>43466</v>
      </c>
      <c r="N76" s="23">
        <v>9.7470870188194299E-4</v>
      </c>
      <c r="O76" s="10" t="str">
        <f>IF(Sales_Data[[#This Row],[Total Profit]]&gt;0,"Profitable","Loss")</f>
        <v>Profitable</v>
      </c>
      <c r="P76" s="10" t="str">
        <f>IF(Sales_Data[[#This Row],[Total Profit]]&gt;100000,"High Value",IF(Sales_Data[[#This Row],[Total Profit]]&gt;60000,"Medium","Low"))</f>
        <v>Medium</v>
      </c>
      <c r="Q76" s="11" t="str">
        <f>PROPER(Sales_Data[[#This Row],[Month Name]])</f>
        <v>Março</v>
      </c>
      <c r="R76" s="11" t="str">
        <f>PROPER(Sales_Data[[#This Row],[Sales Manager]])</f>
        <v>Jane Doe</v>
      </c>
    </row>
    <row r="77" spans="1:18" hidden="1" x14ac:dyDescent="0.25">
      <c r="A77">
        <v>10076</v>
      </c>
      <c r="B77">
        <v>2019</v>
      </c>
      <c r="C77" t="s">
        <v>68</v>
      </c>
      <c r="D77" s="8">
        <v>43541</v>
      </c>
      <c r="E77" t="s">
        <v>22</v>
      </c>
      <c r="F77" t="s">
        <v>12</v>
      </c>
      <c r="G77" t="s">
        <v>13</v>
      </c>
      <c r="H77" s="9">
        <v>16</v>
      </c>
      <c r="I77" s="9">
        <v>413</v>
      </c>
      <c r="J77" s="10">
        <v>309750</v>
      </c>
      <c r="K77" s="10">
        <v>96022.5</v>
      </c>
      <c r="L77">
        <v>12</v>
      </c>
      <c r="M77" s="8">
        <v>43466</v>
      </c>
      <c r="N77" s="23">
        <v>1.5602895111521001E-3</v>
      </c>
      <c r="O77" s="10" t="str">
        <f>IF(Sales_Data[[#This Row],[Total Profit]]&gt;0,"Profitable","Loss")</f>
        <v>Profitable</v>
      </c>
      <c r="P77" s="10" t="str">
        <f>IF(Sales_Data[[#This Row],[Total Profit]]&gt;100000,"High Value",IF(Sales_Data[[#This Row],[Total Profit]]&gt;60000,"Medium","Low"))</f>
        <v>Medium</v>
      </c>
      <c r="Q77" s="11" t="str">
        <f>PROPER(Sales_Data[[#This Row],[Month Name]])</f>
        <v>Março</v>
      </c>
      <c r="R77" s="11" t="str">
        <f>PROPER(Sales_Data[[#This Row],[Sales Manager]])</f>
        <v>Emily White</v>
      </c>
    </row>
    <row r="78" spans="1:18" hidden="1" x14ac:dyDescent="0.25">
      <c r="A78">
        <v>10077</v>
      </c>
      <c r="B78">
        <v>2019</v>
      </c>
      <c r="C78" t="s">
        <v>68</v>
      </c>
      <c r="D78" s="8">
        <v>43542</v>
      </c>
      <c r="E78" t="s">
        <v>22</v>
      </c>
      <c r="F78" t="s">
        <v>18</v>
      </c>
      <c r="G78" t="s">
        <v>23</v>
      </c>
      <c r="H78" s="9">
        <v>21</v>
      </c>
      <c r="I78" s="9">
        <v>297</v>
      </c>
      <c r="J78" s="10">
        <v>103950</v>
      </c>
      <c r="K78" s="10">
        <v>46777.5</v>
      </c>
      <c r="L78">
        <v>12</v>
      </c>
      <c r="M78" s="8">
        <v>43466</v>
      </c>
      <c r="N78" s="23">
        <v>5.2362258170867196E-4</v>
      </c>
      <c r="O78" s="10" t="str">
        <f>IF(Sales_Data[[#This Row],[Total Profit]]&gt;0,"Profitable","Loss")</f>
        <v>Profitable</v>
      </c>
      <c r="P78" s="10" t="str">
        <f>IF(Sales_Data[[#This Row],[Total Profit]]&gt;100000,"High Value",IF(Sales_Data[[#This Row],[Total Profit]]&gt;60000,"Medium","Low"))</f>
        <v>Low</v>
      </c>
      <c r="Q78" s="11" t="str">
        <f>PROPER(Sales_Data[[#This Row],[Month Name]])</f>
        <v>Março</v>
      </c>
      <c r="R78" s="11" t="str">
        <f>PROPER(Sales_Data[[#This Row],[Sales Manager]])</f>
        <v>Jane Doe</v>
      </c>
    </row>
    <row r="79" spans="1:18" hidden="1" x14ac:dyDescent="0.25">
      <c r="A79">
        <v>10078</v>
      </c>
      <c r="B79">
        <v>2019</v>
      </c>
      <c r="C79" t="s">
        <v>68</v>
      </c>
      <c r="D79" s="8">
        <v>43543</v>
      </c>
      <c r="E79" t="s">
        <v>22</v>
      </c>
      <c r="F79" t="s">
        <v>21</v>
      </c>
      <c r="G79" t="s">
        <v>23</v>
      </c>
      <c r="H79" s="9">
        <v>8</v>
      </c>
      <c r="I79" s="9">
        <v>342</v>
      </c>
      <c r="J79" s="10">
        <v>119700</v>
      </c>
      <c r="K79" s="10">
        <v>35910</v>
      </c>
      <c r="L79">
        <v>12</v>
      </c>
      <c r="M79" s="8">
        <v>43466</v>
      </c>
      <c r="N79" s="23">
        <v>6.0295933651301605E-4</v>
      </c>
      <c r="O79" s="10" t="str">
        <f>IF(Sales_Data[[#This Row],[Total Profit]]&gt;0,"Profitable","Loss")</f>
        <v>Profitable</v>
      </c>
      <c r="P79" s="10" t="str">
        <f>IF(Sales_Data[[#This Row],[Total Profit]]&gt;100000,"High Value",IF(Sales_Data[[#This Row],[Total Profit]]&gt;60000,"Medium","Low"))</f>
        <v>Low</v>
      </c>
      <c r="Q79" s="11" t="str">
        <f>PROPER(Sales_Data[[#This Row],[Month Name]])</f>
        <v>Março</v>
      </c>
      <c r="R79" s="11" t="str">
        <f>PROPER(Sales_Data[[#This Row],[Sales Manager]])</f>
        <v>John Smith</v>
      </c>
    </row>
    <row r="80" spans="1:18" hidden="1" x14ac:dyDescent="0.25">
      <c r="A80">
        <v>10079</v>
      </c>
      <c r="B80">
        <v>2019</v>
      </c>
      <c r="C80" t="s">
        <v>68</v>
      </c>
      <c r="D80" s="8">
        <v>43544</v>
      </c>
      <c r="E80" t="s">
        <v>14</v>
      </c>
      <c r="F80" t="s">
        <v>21</v>
      </c>
      <c r="G80" t="s">
        <v>13</v>
      </c>
      <c r="H80" s="9">
        <v>27</v>
      </c>
      <c r="I80" s="9">
        <v>280</v>
      </c>
      <c r="J80" s="10">
        <v>210000</v>
      </c>
      <c r="K80" s="10">
        <v>46200</v>
      </c>
      <c r="L80">
        <v>12</v>
      </c>
      <c r="M80" s="8">
        <v>43466</v>
      </c>
      <c r="N80" s="23">
        <v>1.0578233973912599E-3</v>
      </c>
      <c r="O80" s="10" t="str">
        <f>IF(Sales_Data[[#This Row],[Total Profit]]&gt;0,"Profitable","Loss")</f>
        <v>Profitable</v>
      </c>
      <c r="P80" s="10" t="str">
        <f>IF(Sales_Data[[#This Row],[Total Profit]]&gt;100000,"High Value",IF(Sales_Data[[#This Row],[Total Profit]]&gt;60000,"Medium","Low"))</f>
        <v>Low</v>
      </c>
      <c r="Q80" s="11" t="str">
        <f>PROPER(Sales_Data[[#This Row],[Month Name]])</f>
        <v>Março</v>
      </c>
      <c r="R80" s="11" t="str">
        <f>PROPER(Sales_Data[[#This Row],[Sales Manager]])</f>
        <v>John Smith</v>
      </c>
    </row>
    <row r="81" spans="1:18" hidden="1" x14ac:dyDescent="0.25">
      <c r="A81">
        <v>10080</v>
      </c>
      <c r="B81">
        <v>2019</v>
      </c>
      <c r="C81" t="s">
        <v>68</v>
      </c>
      <c r="D81" s="8">
        <v>43545</v>
      </c>
      <c r="E81" t="s">
        <v>22</v>
      </c>
      <c r="F81" t="s">
        <v>24</v>
      </c>
      <c r="G81" t="s">
        <v>17</v>
      </c>
      <c r="H81" s="9">
        <v>25</v>
      </c>
      <c r="I81" s="9">
        <v>428</v>
      </c>
      <c r="J81" s="10">
        <v>107000</v>
      </c>
      <c r="K81" s="10">
        <v>31029.999999999996</v>
      </c>
      <c r="L81">
        <v>12</v>
      </c>
      <c r="M81" s="8">
        <v>43466</v>
      </c>
      <c r="N81" s="23">
        <v>5.3898620724221198E-4</v>
      </c>
      <c r="O81" s="10" t="str">
        <f>IF(Sales_Data[[#This Row],[Total Profit]]&gt;0,"Profitable","Loss")</f>
        <v>Profitable</v>
      </c>
      <c r="P81" s="10" t="str">
        <f>IF(Sales_Data[[#This Row],[Total Profit]]&gt;100000,"High Value",IF(Sales_Data[[#This Row],[Total Profit]]&gt;60000,"Medium","Low"))</f>
        <v>Low</v>
      </c>
      <c r="Q81" s="11" t="str">
        <f>PROPER(Sales_Data[[#This Row],[Month Name]])</f>
        <v>Março</v>
      </c>
      <c r="R81" s="11" t="str">
        <f>PROPER(Sales_Data[[#This Row],[Sales Manager]])</f>
        <v>Liam Lee</v>
      </c>
    </row>
    <row r="82" spans="1:18" hidden="1" x14ac:dyDescent="0.25">
      <c r="A82">
        <v>10081</v>
      </c>
      <c r="B82">
        <v>2019</v>
      </c>
      <c r="C82" t="s">
        <v>68</v>
      </c>
      <c r="D82" s="8">
        <v>43546</v>
      </c>
      <c r="E82" t="s">
        <v>25</v>
      </c>
      <c r="F82" t="s">
        <v>12</v>
      </c>
      <c r="G82" t="s">
        <v>23</v>
      </c>
      <c r="H82" s="9">
        <v>22</v>
      </c>
      <c r="I82" s="9">
        <v>439</v>
      </c>
      <c r="J82" s="10">
        <v>153650</v>
      </c>
      <c r="K82" s="10">
        <v>69142.5</v>
      </c>
      <c r="L82">
        <v>12</v>
      </c>
      <c r="M82" s="8">
        <v>43466</v>
      </c>
      <c r="N82" s="23">
        <v>7.7397411909126905E-4</v>
      </c>
      <c r="O82" s="10" t="str">
        <f>IF(Sales_Data[[#This Row],[Total Profit]]&gt;0,"Profitable","Loss")</f>
        <v>Profitable</v>
      </c>
      <c r="P82" s="10" t="str">
        <f>IF(Sales_Data[[#This Row],[Total Profit]]&gt;100000,"High Value",IF(Sales_Data[[#This Row],[Total Profit]]&gt;60000,"Medium","Low"))</f>
        <v>Medium</v>
      </c>
      <c r="Q82" s="11" t="str">
        <f>PROPER(Sales_Data[[#This Row],[Month Name]])</f>
        <v>Março</v>
      </c>
      <c r="R82" s="11" t="str">
        <f>PROPER(Sales_Data[[#This Row],[Sales Manager]])</f>
        <v>Emily White</v>
      </c>
    </row>
    <row r="83" spans="1:18" hidden="1" x14ac:dyDescent="0.25">
      <c r="A83">
        <v>10082</v>
      </c>
      <c r="B83">
        <v>2019</v>
      </c>
      <c r="C83" t="s">
        <v>68</v>
      </c>
      <c r="D83" s="8">
        <v>43547</v>
      </c>
      <c r="E83" t="s">
        <v>25</v>
      </c>
      <c r="F83" t="s">
        <v>24</v>
      </c>
      <c r="G83" t="s">
        <v>15</v>
      </c>
      <c r="H83" s="9">
        <v>21</v>
      </c>
      <c r="I83" s="9">
        <v>399</v>
      </c>
      <c r="J83" s="10">
        <v>199500</v>
      </c>
      <c r="K83" s="10">
        <v>83790</v>
      </c>
      <c r="L83">
        <v>12</v>
      </c>
      <c r="M83" s="8">
        <v>43466</v>
      </c>
      <c r="N83" s="23">
        <v>1.0049322275216899E-3</v>
      </c>
      <c r="O83" s="10" t="str">
        <f>IF(Sales_Data[[#This Row],[Total Profit]]&gt;0,"Profitable","Loss")</f>
        <v>Profitable</v>
      </c>
      <c r="P83" s="10" t="str">
        <f>IF(Sales_Data[[#This Row],[Total Profit]]&gt;100000,"High Value",IF(Sales_Data[[#This Row],[Total Profit]]&gt;60000,"Medium","Low"))</f>
        <v>Medium</v>
      </c>
      <c r="Q83" s="11" t="str">
        <f>PROPER(Sales_Data[[#This Row],[Month Name]])</f>
        <v>Março</v>
      </c>
      <c r="R83" s="11" t="str">
        <f>PROPER(Sales_Data[[#This Row],[Sales Manager]])</f>
        <v>Liam Lee</v>
      </c>
    </row>
    <row r="84" spans="1:18" hidden="1" x14ac:dyDescent="0.25">
      <c r="A84">
        <v>10083</v>
      </c>
      <c r="B84">
        <v>2019</v>
      </c>
      <c r="C84" t="s">
        <v>68</v>
      </c>
      <c r="D84" s="8">
        <v>43548</v>
      </c>
      <c r="E84" t="s">
        <v>22</v>
      </c>
      <c r="F84" t="s">
        <v>21</v>
      </c>
      <c r="G84" t="s">
        <v>13</v>
      </c>
      <c r="H84" s="9">
        <v>18</v>
      </c>
      <c r="I84" s="9">
        <v>395</v>
      </c>
      <c r="J84" s="10">
        <v>296250</v>
      </c>
      <c r="K84" s="10">
        <v>133312.5</v>
      </c>
      <c r="L84">
        <v>13</v>
      </c>
      <c r="M84" s="8">
        <v>43466</v>
      </c>
      <c r="N84" s="23">
        <v>1.4922865784626699E-3</v>
      </c>
      <c r="O84" s="10" t="str">
        <f>IF(Sales_Data[[#This Row],[Total Profit]]&gt;0,"Profitable","Loss")</f>
        <v>Profitable</v>
      </c>
      <c r="P84" s="10" t="str">
        <f>IF(Sales_Data[[#This Row],[Total Profit]]&gt;100000,"High Value",IF(Sales_Data[[#This Row],[Total Profit]]&gt;60000,"Medium","Low"))</f>
        <v>High Value</v>
      </c>
      <c r="Q84" s="11" t="str">
        <f>PROPER(Sales_Data[[#This Row],[Month Name]])</f>
        <v>Março</v>
      </c>
      <c r="R84" s="11" t="str">
        <f>PROPER(Sales_Data[[#This Row],[Sales Manager]])</f>
        <v>John Smith</v>
      </c>
    </row>
    <row r="85" spans="1:18" hidden="1" x14ac:dyDescent="0.25">
      <c r="A85">
        <v>10084</v>
      </c>
      <c r="B85">
        <v>2019</v>
      </c>
      <c r="C85" t="s">
        <v>68</v>
      </c>
      <c r="D85" s="8">
        <v>43549</v>
      </c>
      <c r="E85" t="s">
        <v>22</v>
      </c>
      <c r="F85" t="s">
        <v>21</v>
      </c>
      <c r="G85" t="s">
        <v>13</v>
      </c>
      <c r="H85" s="9">
        <v>2</v>
      </c>
      <c r="I85" s="9">
        <v>41</v>
      </c>
      <c r="J85" s="10">
        <v>30750</v>
      </c>
      <c r="K85" s="10">
        <v>4305</v>
      </c>
      <c r="L85">
        <v>13</v>
      </c>
      <c r="M85" s="8">
        <v>43466</v>
      </c>
      <c r="N85" s="23">
        <v>1.5489556890372E-4</v>
      </c>
      <c r="O85" s="10" t="str">
        <f>IF(Sales_Data[[#This Row],[Total Profit]]&gt;0,"Profitable","Loss")</f>
        <v>Profitable</v>
      </c>
      <c r="P85" s="10" t="str">
        <f>IF(Sales_Data[[#This Row],[Total Profit]]&gt;100000,"High Value",IF(Sales_Data[[#This Row],[Total Profit]]&gt;60000,"Medium","Low"))</f>
        <v>Low</v>
      </c>
      <c r="Q85" s="11" t="str">
        <f>PROPER(Sales_Data[[#This Row],[Month Name]])</f>
        <v>Março</v>
      </c>
      <c r="R85" s="11" t="str">
        <f>PROPER(Sales_Data[[#This Row],[Sales Manager]])</f>
        <v>John Smith</v>
      </c>
    </row>
    <row r="86" spans="1:18" hidden="1" x14ac:dyDescent="0.25">
      <c r="A86">
        <v>10085</v>
      </c>
      <c r="B86">
        <v>2019</v>
      </c>
      <c r="C86" t="s">
        <v>68</v>
      </c>
      <c r="D86" s="8">
        <v>43550</v>
      </c>
      <c r="E86" t="s">
        <v>11</v>
      </c>
      <c r="F86" t="s">
        <v>24</v>
      </c>
      <c r="G86" t="s">
        <v>17</v>
      </c>
      <c r="H86" s="9">
        <v>6</v>
      </c>
      <c r="I86" s="9">
        <v>88</v>
      </c>
      <c r="J86" s="10">
        <v>22000</v>
      </c>
      <c r="K86" s="10">
        <v>4620</v>
      </c>
      <c r="L86">
        <v>13</v>
      </c>
      <c r="M86" s="8">
        <v>43466</v>
      </c>
      <c r="N86" s="23">
        <v>1.10819594012417E-4</v>
      </c>
      <c r="O86" s="10" t="str">
        <f>IF(Sales_Data[[#This Row],[Total Profit]]&gt;0,"Profitable","Loss")</f>
        <v>Profitable</v>
      </c>
      <c r="P86" s="10" t="str">
        <f>IF(Sales_Data[[#This Row],[Total Profit]]&gt;100000,"High Value",IF(Sales_Data[[#This Row],[Total Profit]]&gt;60000,"Medium","Low"))</f>
        <v>Low</v>
      </c>
      <c r="Q86" s="11" t="str">
        <f>PROPER(Sales_Data[[#This Row],[Month Name]])</f>
        <v>Março</v>
      </c>
      <c r="R86" s="11" t="str">
        <f>PROPER(Sales_Data[[#This Row],[Sales Manager]])</f>
        <v>Liam Lee</v>
      </c>
    </row>
    <row r="87" spans="1:18" hidden="1" x14ac:dyDescent="0.25">
      <c r="A87">
        <v>10086</v>
      </c>
      <c r="B87">
        <v>2019</v>
      </c>
      <c r="C87" t="s">
        <v>68</v>
      </c>
      <c r="D87" s="8">
        <v>43551</v>
      </c>
      <c r="E87" t="s">
        <v>11</v>
      </c>
      <c r="F87" t="s">
        <v>21</v>
      </c>
      <c r="G87" t="s">
        <v>15</v>
      </c>
      <c r="H87" s="9">
        <v>44</v>
      </c>
      <c r="I87" s="9">
        <v>471</v>
      </c>
      <c r="J87" s="10">
        <v>235500</v>
      </c>
      <c r="K87" s="10">
        <v>89490</v>
      </c>
      <c r="L87">
        <v>13</v>
      </c>
      <c r="M87" s="8">
        <v>43466</v>
      </c>
      <c r="N87" s="23">
        <v>1.18627338136019E-3</v>
      </c>
      <c r="O87" s="10" t="str">
        <f>IF(Sales_Data[[#This Row],[Total Profit]]&gt;0,"Profitable","Loss")</f>
        <v>Profitable</v>
      </c>
      <c r="P87" s="10" t="str">
        <f>IF(Sales_Data[[#This Row],[Total Profit]]&gt;100000,"High Value",IF(Sales_Data[[#This Row],[Total Profit]]&gt;60000,"Medium","Low"))</f>
        <v>Medium</v>
      </c>
      <c r="Q87" s="11" t="str">
        <f>PROPER(Sales_Data[[#This Row],[Month Name]])</f>
        <v>Março</v>
      </c>
      <c r="R87" s="11" t="str">
        <f>PROPER(Sales_Data[[#This Row],[Sales Manager]])</f>
        <v>John Smith</v>
      </c>
    </row>
    <row r="88" spans="1:18" hidden="1" x14ac:dyDescent="0.25">
      <c r="A88">
        <v>10087</v>
      </c>
      <c r="B88">
        <v>2019</v>
      </c>
      <c r="C88" t="s">
        <v>68</v>
      </c>
      <c r="D88" s="8">
        <v>43552</v>
      </c>
      <c r="E88" t="s">
        <v>11</v>
      </c>
      <c r="F88" t="s">
        <v>21</v>
      </c>
      <c r="G88" t="s">
        <v>20</v>
      </c>
      <c r="H88" s="9">
        <v>1</v>
      </c>
      <c r="I88" s="9">
        <v>84</v>
      </c>
      <c r="J88" s="10">
        <v>71400</v>
      </c>
      <c r="K88" s="10">
        <v>9282</v>
      </c>
      <c r="L88">
        <v>13</v>
      </c>
      <c r="M88" s="8">
        <v>43466</v>
      </c>
      <c r="N88" s="23">
        <v>3.5965995511302699E-4</v>
      </c>
      <c r="O88" s="10" t="str">
        <f>IF(Sales_Data[[#This Row],[Total Profit]]&gt;0,"Profitable","Loss")</f>
        <v>Profitable</v>
      </c>
      <c r="P88" s="10" t="str">
        <f>IF(Sales_Data[[#This Row],[Total Profit]]&gt;100000,"High Value",IF(Sales_Data[[#This Row],[Total Profit]]&gt;60000,"Medium","Low"))</f>
        <v>Low</v>
      </c>
      <c r="Q88" s="11" t="str">
        <f>PROPER(Sales_Data[[#This Row],[Month Name]])</f>
        <v>Março</v>
      </c>
      <c r="R88" s="11" t="str">
        <f>PROPER(Sales_Data[[#This Row],[Sales Manager]])</f>
        <v>John Smith</v>
      </c>
    </row>
    <row r="89" spans="1:18" hidden="1" x14ac:dyDescent="0.25">
      <c r="A89">
        <v>10088</v>
      </c>
      <c r="B89">
        <v>2019</v>
      </c>
      <c r="C89" t="s">
        <v>68</v>
      </c>
      <c r="D89" s="8">
        <v>43553</v>
      </c>
      <c r="E89" t="s">
        <v>14</v>
      </c>
      <c r="F89" t="s">
        <v>12</v>
      </c>
      <c r="G89" t="s">
        <v>23</v>
      </c>
      <c r="H89" s="9">
        <v>5</v>
      </c>
      <c r="I89" s="9">
        <v>73</v>
      </c>
      <c r="J89" s="10">
        <v>25550</v>
      </c>
      <c r="K89" s="10">
        <v>8431.5</v>
      </c>
      <c r="L89">
        <v>13</v>
      </c>
      <c r="M89" s="8">
        <v>43466</v>
      </c>
      <c r="N89" s="23">
        <v>1.2870184668260299E-4</v>
      </c>
      <c r="O89" s="10" t="str">
        <f>IF(Sales_Data[[#This Row],[Total Profit]]&gt;0,"Profitable","Loss")</f>
        <v>Profitable</v>
      </c>
      <c r="P89" s="10" t="str">
        <f>IF(Sales_Data[[#This Row],[Total Profit]]&gt;100000,"High Value",IF(Sales_Data[[#This Row],[Total Profit]]&gt;60000,"Medium","Low"))</f>
        <v>Low</v>
      </c>
      <c r="Q89" s="11" t="str">
        <f>PROPER(Sales_Data[[#This Row],[Month Name]])</f>
        <v>Março</v>
      </c>
      <c r="R89" s="11" t="str">
        <f>PROPER(Sales_Data[[#This Row],[Sales Manager]])</f>
        <v>Emily White</v>
      </c>
    </row>
    <row r="90" spans="1:18" hidden="1" x14ac:dyDescent="0.25">
      <c r="A90">
        <v>10089</v>
      </c>
      <c r="B90">
        <v>2019</v>
      </c>
      <c r="C90" t="s">
        <v>68</v>
      </c>
      <c r="D90" s="8">
        <v>43554</v>
      </c>
      <c r="E90" t="s">
        <v>14</v>
      </c>
      <c r="F90" t="s">
        <v>24</v>
      </c>
      <c r="G90" t="s">
        <v>15</v>
      </c>
      <c r="H90" s="9">
        <v>7</v>
      </c>
      <c r="I90" s="9">
        <v>441</v>
      </c>
      <c r="J90" s="10">
        <v>220500</v>
      </c>
      <c r="K90" s="10">
        <v>22050</v>
      </c>
      <c r="L90">
        <v>13</v>
      </c>
      <c r="M90" s="8">
        <v>43466</v>
      </c>
      <c r="N90" s="23">
        <v>1.11071456726082E-3</v>
      </c>
      <c r="O90" s="10" t="str">
        <f>IF(Sales_Data[[#This Row],[Total Profit]]&gt;0,"Profitable","Loss")</f>
        <v>Profitable</v>
      </c>
      <c r="P90" s="10" t="str">
        <f>IF(Sales_Data[[#This Row],[Total Profit]]&gt;100000,"High Value",IF(Sales_Data[[#This Row],[Total Profit]]&gt;60000,"Medium","Low"))</f>
        <v>Low</v>
      </c>
      <c r="Q90" s="11" t="str">
        <f>PROPER(Sales_Data[[#This Row],[Month Name]])</f>
        <v>Março</v>
      </c>
      <c r="R90" s="11" t="str">
        <f>PROPER(Sales_Data[[#This Row],[Sales Manager]])</f>
        <v>Liam Lee</v>
      </c>
    </row>
    <row r="91" spans="1:18" hidden="1" x14ac:dyDescent="0.25">
      <c r="A91">
        <v>10090</v>
      </c>
      <c r="B91">
        <v>2019</v>
      </c>
      <c r="C91" t="s">
        <v>68</v>
      </c>
      <c r="D91" s="8">
        <v>43555</v>
      </c>
      <c r="E91" t="s">
        <v>25</v>
      </c>
      <c r="F91" t="s">
        <v>18</v>
      </c>
      <c r="G91" t="s">
        <v>23</v>
      </c>
      <c r="H91" s="9">
        <v>27</v>
      </c>
      <c r="I91" s="9">
        <v>361</v>
      </c>
      <c r="J91" s="10">
        <v>126350</v>
      </c>
      <c r="K91" s="10">
        <v>51803.5</v>
      </c>
      <c r="L91">
        <v>14</v>
      </c>
      <c r="M91" s="8">
        <v>43466</v>
      </c>
      <c r="N91" s="23">
        <v>6.3645707743040605E-4</v>
      </c>
      <c r="O91" s="10" t="str">
        <f>IF(Sales_Data[[#This Row],[Total Profit]]&gt;0,"Profitable","Loss")</f>
        <v>Profitable</v>
      </c>
      <c r="P91" s="10" t="str">
        <f>IF(Sales_Data[[#This Row],[Total Profit]]&gt;100000,"High Value",IF(Sales_Data[[#This Row],[Total Profit]]&gt;60000,"Medium","Low"))</f>
        <v>Low</v>
      </c>
      <c r="Q91" s="11" t="str">
        <f>PROPER(Sales_Data[[#This Row],[Month Name]])</f>
        <v>Março</v>
      </c>
      <c r="R91" s="11" t="str">
        <f>PROPER(Sales_Data[[#This Row],[Sales Manager]])</f>
        <v>Jane Doe</v>
      </c>
    </row>
    <row r="92" spans="1:18" hidden="1" x14ac:dyDescent="0.25">
      <c r="A92">
        <v>10091</v>
      </c>
      <c r="B92">
        <v>2019</v>
      </c>
      <c r="C92" t="s">
        <v>69</v>
      </c>
      <c r="D92" s="8">
        <v>43556</v>
      </c>
      <c r="E92" t="s">
        <v>22</v>
      </c>
      <c r="F92" t="s">
        <v>12</v>
      </c>
      <c r="G92" t="s">
        <v>15</v>
      </c>
      <c r="H92" s="9">
        <v>30</v>
      </c>
      <c r="I92" s="9">
        <v>330</v>
      </c>
      <c r="J92" s="10">
        <v>165000</v>
      </c>
      <c r="K92" s="10">
        <v>41250</v>
      </c>
      <c r="L92">
        <v>14</v>
      </c>
      <c r="M92" s="8">
        <v>43556</v>
      </c>
      <c r="N92" s="23">
        <v>8.3114695509312996E-4</v>
      </c>
      <c r="O92" s="10" t="str">
        <f>IF(Sales_Data[[#This Row],[Total Profit]]&gt;0,"Profitable","Loss")</f>
        <v>Profitable</v>
      </c>
      <c r="P92" s="10" t="str">
        <f>IF(Sales_Data[[#This Row],[Total Profit]]&gt;100000,"High Value",IF(Sales_Data[[#This Row],[Total Profit]]&gt;60000,"Medium","Low"))</f>
        <v>Low</v>
      </c>
      <c r="Q92" s="11" t="str">
        <f>PROPER(Sales_Data[[#This Row],[Month Name]])</f>
        <v>Abril</v>
      </c>
      <c r="R92" s="11" t="str">
        <f>PROPER(Sales_Data[[#This Row],[Sales Manager]])</f>
        <v>Emily White</v>
      </c>
    </row>
    <row r="93" spans="1:18" hidden="1" x14ac:dyDescent="0.25">
      <c r="A93">
        <v>10092</v>
      </c>
      <c r="B93">
        <v>2019</v>
      </c>
      <c r="C93" t="s">
        <v>69</v>
      </c>
      <c r="D93" s="8">
        <v>43557</v>
      </c>
      <c r="E93" t="s">
        <v>22</v>
      </c>
      <c r="F93" t="s">
        <v>24</v>
      </c>
      <c r="G93" t="s">
        <v>13</v>
      </c>
      <c r="H93" s="9">
        <v>3</v>
      </c>
      <c r="I93" s="9">
        <v>195</v>
      </c>
      <c r="J93" s="10">
        <v>146250</v>
      </c>
      <c r="K93" s="10">
        <v>62887.5</v>
      </c>
      <c r="L93">
        <v>14</v>
      </c>
      <c r="M93" s="8">
        <v>43556</v>
      </c>
      <c r="N93" s="23">
        <v>7.3669843746891096E-4</v>
      </c>
      <c r="O93" s="10" t="str">
        <f>IF(Sales_Data[[#This Row],[Total Profit]]&gt;0,"Profitable","Loss")</f>
        <v>Profitable</v>
      </c>
      <c r="P93" s="10" t="str">
        <f>IF(Sales_Data[[#This Row],[Total Profit]]&gt;100000,"High Value",IF(Sales_Data[[#This Row],[Total Profit]]&gt;60000,"Medium","Low"))</f>
        <v>Medium</v>
      </c>
      <c r="Q93" s="11" t="str">
        <f>PROPER(Sales_Data[[#This Row],[Month Name]])</f>
        <v>Abril</v>
      </c>
      <c r="R93" s="11" t="str">
        <f>PROPER(Sales_Data[[#This Row],[Sales Manager]])</f>
        <v>Liam Lee</v>
      </c>
    </row>
    <row r="94" spans="1:18" hidden="1" x14ac:dyDescent="0.25">
      <c r="A94">
        <v>10093</v>
      </c>
      <c r="B94">
        <v>2019</v>
      </c>
      <c r="C94" t="s">
        <v>69</v>
      </c>
      <c r="D94" s="8">
        <v>43558</v>
      </c>
      <c r="E94" t="s">
        <v>14</v>
      </c>
      <c r="F94" t="s">
        <v>18</v>
      </c>
      <c r="G94" t="s">
        <v>20</v>
      </c>
      <c r="H94" s="9">
        <v>7</v>
      </c>
      <c r="I94" s="9">
        <v>117</v>
      </c>
      <c r="J94" s="10">
        <v>99450</v>
      </c>
      <c r="K94" s="10">
        <v>34807.5</v>
      </c>
      <c r="L94">
        <v>14</v>
      </c>
      <c r="M94" s="8">
        <v>43556</v>
      </c>
      <c r="N94" s="23">
        <v>5.0095493747885904E-4</v>
      </c>
      <c r="O94" s="10" t="str">
        <f>IF(Sales_Data[[#This Row],[Total Profit]]&gt;0,"Profitable","Loss")</f>
        <v>Profitable</v>
      </c>
      <c r="P94" s="10" t="str">
        <f>IF(Sales_Data[[#This Row],[Total Profit]]&gt;100000,"High Value",IF(Sales_Data[[#This Row],[Total Profit]]&gt;60000,"Medium","Low"))</f>
        <v>Low</v>
      </c>
      <c r="Q94" s="11" t="str">
        <f>PROPER(Sales_Data[[#This Row],[Month Name]])</f>
        <v>Abril</v>
      </c>
      <c r="R94" s="11" t="str">
        <f>PROPER(Sales_Data[[#This Row],[Sales Manager]])</f>
        <v>Jane Doe</v>
      </c>
    </row>
    <row r="95" spans="1:18" hidden="1" x14ac:dyDescent="0.25">
      <c r="A95">
        <v>10094</v>
      </c>
      <c r="B95">
        <v>2019</v>
      </c>
      <c r="C95" t="s">
        <v>69</v>
      </c>
      <c r="D95" s="8">
        <v>43559</v>
      </c>
      <c r="E95" t="s">
        <v>14</v>
      </c>
      <c r="F95" t="s">
        <v>16</v>
      </c>
      <c r="G95" t="s">
        <v>23</v>
      </c>
      <c r="H95" s="9">
        <v>38</v>
      </c>
      <c r="I95" s="9">
        <v>477</v>
      </c>
      <c r="J95" s="10">
        <v>166950</v>
      </c>
      <c r="K95" s="10">
        <v>61771.5</v>
      </c>
      <c r="L95">
        <v>14</v>
      </c>
      <c r="M95" s="8">
        <v>43556</v>
      </c>
      <c r="N95" s="23">
        <v>8.4096960092604905E-4</v>
      </c>
      <c r="O95" s="10" t="str">
        <f>IF(Sales_Data[[#This Row],[Total Profit]]&gt;0,"Profitable","Loss")</f>
        <v>Profitable</v>
      </c>
      <c r="P95" s="10" t="str">
        <f>IF(Sales_Data[[#This Row],[Total Profit]]&gt;100000,"High Value",IF(Sales_Data[[#This Row],[Total Profit]]&gt;60000,"Medium","Low"))</f>
        <v>Medium</v>
      </c>
      <c r="Q95" s="11" t="str">
        <f>PROPER(Sales_Data[[#This Row],[Month Name]])</f>
        <v>Abril</v>
      </c>
      <c r="R95" s="11" t="str">
        <f>PROPER(Sales_Data[[#This Row],[Sales Manager]])</f>
        <v>James Brown</v>
      </c>
    </row>
    <row r="96" spans="1:18" hidden="1" x14ac:dyDescent="0.25">
      <c r="A96">
        <v>10095</v>
      </c>
      <c r="B96">
        <v>2019</v>
      </c>
      <c r="C96" t="s">
        <v>69</v>
      </c>
      <c r="D96" s="8">
        <v>43560</v>
      </c>
      <c r="E96" t="s">
        <v>22</v>
      </c>
      <c r="F96" t="s">
        <v>24</v>
      </c>
      <c r="G96" t="s">
        <v>20</v>
      </c>
      <c r="H96" s="9">
        <v>8</v>
      </c>
      <c r="I96" s="9">
        <v>329</v>
      </c>
      <c r="J96" s="10">
        <v>279650</v>
      </c>
      <c r="K96" s="10">
        <v>86691.5</v>
      </c>
      <c r="L96">
        <v>14</v>
      </c>
      <c r="M96" s="8">
        <v>43556</v>
      </c>
      <c r="N96" s="23">
        <v>1.4086681575260201E-3</v>
      </c>
      <c r="O96" s="10" t="str">
        <f>IF(Sales_Data[[#This Row],[Total Profit]]&gt;0,"Profitable","Loss")</f>
        <v>Profitable</v>
      </c>
      <c r="P96" s="10" t="str">
        <f>IF(Sales_Data[[#This Row],[Total Profit]]&gt;100000,"High Value",IF(Sales_Data[[#This Row],[Total Profit]]&gt;60000,"Medium","Low"))</f>
        <v>Medium</v>
      </c>
      <c r="Q96" s="11" t="str">
        <f>PROPER(Sales_Data[[#This Row],[Month Name]])</f>
        <v>Abril</v>
      </c>
      <c r="R96" s="11" t="str">
        <f>PROPER(Sales_Data[[#This Row],[Sales Manager]])</f>
        <v>Liam Lee</v>
      </c>
    </row>
    <row r="97" spans="1:18" hidden="1" x14ac:dyDescent="0.25">
      <c r="A97">
        <v>10096</v>
      </c>
      <c r="B97">
        <v>2019</v>
      </c>
      <c r="C97" t="s">
        <v>69</v>
      </c>
      <c r="D97" s="8">
        <v>43561</v>
      </c>
      <c r="E97" t="s">
        <v>25</v>
      </c>
      <c r="F97" t="s">
        <v>18</v>
      </c>
      <c r="G97" t="s">
        <v>23</v>
      </c>
      <c r="H97" s="9">
        <v>7</v>
      </c>
      <c r="I97" s="9">
        <v>280</v>
      </c>
      <c r="J97" s="10">
        <v>98000</v>
      </c>
      <c r="K97" s="10">
        <v>13720.000000000002</v>
      </c>
      <c r="L97">
        <v>14</v>
      </c>
      <c r="M97" s="8">
        <v>43556</v>
      </c>
      <c r="N97" s="23">
        <v>4.9365091878258603E-4</v>
      </c>
      <c r="O97" s="10" t="str">
        <f>IF(Sales_Data[[#This Row],[Total Profit]]&gt;0,"Profitable","Loss")</f>
        <v>Profitable</v>
      </c>
      <c r="P97" s="10" t="str">
        <f>IF(Sales_Data[[#This Row],[Total Profit]]&gt;100000,"High Value",IF(Sales_Data[[#This Row],[Total Profit]]&gt;60000,"Medium","Low"))</f>
        <v>Low</v>
      </c>
      <c r="Q97" s="11" t="str">
        <f>PROPER(Sales_Data[[#This Row],[Month Name]])</f>
        <v>Abril</v>
      </c>
      <c r="R97" s="11" t="str">
        <f>PROPER(Sales_Data[[#This Row],[Sales Manager]])</f>
        <v>Jane Doe</v>
      </c>
    </row>
    <row r="98" spans="1:18" hidden="1" x14ac:dyDescent="0.25">
      <c r="A98">
        <v>10097</v>
      </c>
      <c r="B98">
        <v>2019</v>
      </c>
      <c r="C98" t="s">
        <v>69</v>
      </c>
      <c r="D98" s="8">
        <v>43562</v>
      </c>
      <c r="E98" t="s">
        <v>22</v>
      </c>
      <c r="F98" t="s">
        <v>21</v>
      </c>
      <c r="G98" t="s">
        <v>13</v>
      </c>
      <c r="H98" s="9">
        <v>22</v>
      </c>
      <c r="I98" s="9">
        <v>338</v>
      </c>
      <c r="J98" s="10">
        <v>253500</v>
      </c>
      <c r="K98" s="10">
        <v>73515</v>
      </c>
      <c r="L98">
        <v>15</v>
      </c>
      <c r="M98" s="8">
        <v>43556</v>
      </c>
      <c r="N98" s="23">
        <v>1.2769439582794499E-3</v>
      </c>
      <c r="O98" s="10" t="str">
        <f>IF(Sales_Data[[#This Row],[Total Profit]]&gt;0,"Profitable","Loss")</f>
        <v>Profitable</v>
      </c>
      <c r="P98" s="10" t="str">
        <f>IF(Sales_Data[[#This Row],[Total Profit]]&gt;100000,"High Value",IF(Sales_Data[[#This Row],[Total Profit]]&gt;60000,"Medium","Low"))</f>
        <v>Medium</v>
      </c>
      <c r="Q98" s="11" t="str">
        <f>PROPER(Sales_Data[[#This Row],[Month Name]])</f>
        <v>Abril</v>
      </c>
      <c r="R98" s="11" t="str">
        <f>PROPER(Sales_Data[[#This Row],[Sales Manager]])</f>
        <v>John Smith</v>
      </c>
    </row>
    <row r="99" spans="1:18" hidden="1" x14ac:dyDescent="0.25">
      <c r="A99">
        <v>10098</v>
      </c>
      <c r="B99">
        <v>2019</v>
      </c>
      <c r="C99" t="s">
        <v>69</v>
      </c>
      <c r="D99" s="8">
        <v>43563</v>
      </c>
      <c r="E99" t="s">
        <v>25</v>
      </c>
      <c r="F99" t="s">
        <v>21</v>
      </c>
      <c r="G99" t="s">
        <v>15</v>
      </c>
      <c r="H99" s="9">
        <v>4</v>
      </c>
      <c r="I99" s="9">
        <v>151</v>
      </c>
      <c r="J99" s="10">
        <v>75500</v>
      </c>
      <c r="K99" s="10">
        <v>18875</v>
      </c>
      <c r="L99">
        <v>15</v>
      </c>
      <c r="M99" s="8">
        <v>43556</v>
      </c>
      <c r="N99" s="23">
        <v>3.80312697633523E-4</v>
      </c>
      <c r="O99" s="10" t="str">
        <f>IF(Sales_Data[[#This Row],[Total Profit]]&gt;0,"Profitable","Loss")</f>
        <v>Profitable</v>
      </c>
      <c r="P99" s="10" t="str">
        <f>IF(Sales_Data[[#This Row],[Total Profit]]&gt;100000,"High Value",IF(Sales_Data[[#This Row],[Total Profit]]&gt;60000,"Medium","Low"))</f>
        <v>Low</v>
      </c>
      <c r="Q99" s="11" t="str">
        <f>PROPER(Sales_Data[[#This Row],[Month Name]])</f>
        <v>Abril</v>
      </c>
      <c r="R99" s="11" t="str">
        <f>PROPER(Sales_Data[[#This Row],[Sales Manager]])</f>
        <v>John Smith</v>
      </c>
    </row>
    <row r="100" spans="1:18" hidden="1" x14ac:dyDescent="0.25">
      <c r="A100">
        <v>10099</v>
      </c>
      <c r="B100">
        <v>2019</v>
      </c>
      <c r="C100" t="s">
        <v>69</v>
      </c>
      <c r="D100" s="8">
        <v>43564</v>
      </c>
      <c r="E100" t="s">
        <v>19</v>
      </c>
      <c r="F100" t="s">
        <v>24</v>
      </c>
      <c r="G100" t="s">
        <v>15</v>
      </c>
      <c r="H100" s="9">
        <v>2</v>
      </c>
      <c r="I100" s="9">
        <v>134</v>
      </c>
      <c r="J100" s="10">
        <v>67000</v>
      </c>
      <c r="K100" s="10">
        <v>18760</v>
      </c>
      <c r="L100">
        <v>15</v>
      </c>
      <c r="M100" s="8">
        <v>43556</v>
      </c>
      <c r="N100" s="23">
        <v>3.3749603631054399E-4</v>
      </c>
      <c r="O100" s="10" t="str">
        <f>IF(Sales_Data[[#This Row],[Total Profit]]&gt;0,"Profitable","Loss")</f>
        <v>Profitable</v>
      </c>
      <c r="P100" s="10" t="str">
        <f>IF(Sales_Data[[#This Row],[Total Profit]]&gt;100000,"High Value",IF(Sales_Data[[#This Row],[Total Profit]]&gt;60000,"Medium","Low"))</f>
        <v>Low</v>
      </c>
      <c r="Q100" s="11" t="str">
        <f>PROPER(Sales_Data[[#This Row],[Month Name]])</f>
        <v>Abril</v>
      </c>
      <c r="R100" s="11" t="str">
        <f>PROPER(Sales_Data[[#This Row],[Sales Manager]])</f>
        <v>Liam Lee</v>
      </c>
    </row>
    <row r="101" spans="1:18" hidden="1" x14ac:dyDescent="0.25">
      <c r="A101">
        <v>10100</v>
      </c>
      <c r="B101">
        <v>2019</v>
      </c>
      <c r="C101" t="s">
        <v>69</v>
      </c>
      <c r="D101" s="8">
        <v>43565</v>
      </c>
      <c r="E101" t="s">
        <v>14</v>
      </c>
      <c r="F101" t="s">
        <v>24</v>
      </c>
      <c r="G101" t="s">
        <v>13</v>
      </c>
      <c r="H101" s="9">
        <v>25</v>
      </c>
      <c r="I101" s="9">
        <v>435</v>
      </c>
      <c r="J101" s="10">
        <v>326250</v>
      </c>
      <c r="K101" s="10">
        <v>130500</v>
      </c>
      <c r="L101">
        <v>15</v>
      </c>
      <c r="M101" s="8">
        <v>43556</v>
      </c>
      <c r="N101" s="23">
        <v>1.64340420666142E-3</v>
      </c>
      <c r="O101" s="10" t="str">
        <f>IF(Sales_Data[[#This Row],[Total Profit]]&gt;0,"Profitable","Loss")</f>
        <v>Profitable</v>
      </c>
      <c r="P101" s="10" t="str">
        <f>IF(Sales_Data[[#This Row],[Total Profit]]&gt;100000,"High Value",IF(Sales_Data[[#This Row],[Total Profit]]&gt;60000,"Medium","Low"))</f>
        <v>High Value</v>
      </c>
      <c r="Q101" s="11" t="str">
        <f>PROPER(Sales_Data[[#This Row],[Month Name]])</f>
        <v>Abril</v>
      </c>
      <c r="R101" s="11" t="str">
        <f>PROPER(Sales_Data[[#This Row],[Sales Manager]])</f>
        <v>Liam Lee</v>
      </c>
    </row>
    <row r="102" spans="1:18" hidden="1" x14ac:dyDescent="0.25">
      <c r="A102">
        <v>10101</v>
      </c>
      <c r="B102">
        <v>2019</v>
      </c>
      <c r="C102" t="s">
        <v>69</v>
      </c>
      <c r="D102" s="8">
        <v>43566</v>
      </c>
      <c r="E102" t="s">
        <v>22</v>
      </c>
      <c r="F102" t="s">
        <v>16</v>
      </c>
      <c r="G102" t="s">
        <v>20</v>
      </c>
      <c r="H102" s="9">
        <v>15</v>
      </c>
      <c r="I102" s="9">
        <v>154</v>
      </c>
      <c r="J102" s="10">
        <v>130900</v>
      </c>
      <c r="K102" s="10">
        <v>26180</v>
      </c>
      <c r="L102">
        <v>15</v>
      </c>
      <c r="M102" s="8">
        <v>43556</v>
      </c>
      <c r="N102" s="23">
        <v>6.5937658437388298E-4</v>
      </c>
      <c r="O102" s="10" t="str">
        <f>IF(Sales_Data[[#This Row],[Total Profit]]&gt;0,"Profitable","Loss")</f>
        <v>Profitable</v>
      </c>
      <c r="P102" s="10" t="str">
        <f>IF(Sales_Data[[#This Row],[Total Profit]]&gt;100000,"High Value",IF(Sales_Data[[#This Row],[Total Profit]]&gt;60000,"Medium","Low"))</f>
        <v>Low</v>
      </c>
      <c r="Q102" s="11" t="str">
        <f>PROPER(Sales_Data[[#This Row],[Month Name]])</f>
        <v>Abril</v>
      </c>
      <c r="R102" s="11" t="str">
        <f>PROPER(Sales_Data[[#This Row],[Sales Manager]])</f>
        <v>James Brown</v>
      </c>
    </row>
    <row r="103" spans="1:18" hidden="1" x14ac:dyDescent="0.25">
      <c r="A103">
        <v>10102</v>
      </c>
      <c r="B103">
        <v>2019</v>
      </c>
      <c r="C103" t="s">
        <v>69</v>
      </c>
      <c r="D103" s="8">
        <v>43567</v>
      </c>
      <c r="E103" t="s">
        <v>19</v>
      </c>
      <c r="F103" t="s">
        <v>24</v>
      </c>
      <c r="G103" t="s">
        <v>13</v>
      </c>
      <c r="H103" s="9">
        <v>6</v>
      </c>
      <c r="I103" s="9">
        <v>465</v>
      </c>
      <c r="J103" s="10">
        <v>348750</v>
      </c>
      <c r="K103" s="10">
        <v>139500</v>
      </c>
      <c r="L103">
        <v>15</v>
      </c>
      <c r="M103" s="8">
        <v>43556</v>
      </c>
      <c r="N103" s="23">
        <v>1.7567424278104799E-3</v>
      </c>
      <c r="O103" s="10" t="str">
        <f>IF(Sales_Data[[#This Row],[Total Profit]]&gt;0,"Profitable","Loss")</f>
        <v>Profitable</v>
      </c>
      <c r="P103" s="10" t="str">
        <f>IF(Sales_Data[[#This Row],[Total Profit]]&gt;100000,"High Value",IF(Sales_Data[[#This Row],[Total Profit]]&gt;60000,"Medium","Low"))</f>
        <v>High Value</v>
      </c>
      <c r="Q103" s="11" t="str">
        <f>PROPER(Sales_Data[[#This Row],[Month Name]])</f>
        <v>Abril</v>
      </c>
      <c r="R103" s="11" t="str">
        <f>PROPER(Sales_Data[[#This Row],[Sales Manager]])</f>
        <v>Liam Lee</v>
      </c>
    </row>
    <row r="104" spans="1:18" hidden="1" x14ac:dyDescent="0.25">
      <c r="A104">
        <v>10103</v>
      </c>
      <c r="B104">
        <v>2019</v>
      </c>
      <c r="C104" t="s">
        <v>69</v>
      </c>
      <c r="D104" s="8">
        <v>43568</v>
      </c>
      <c r="E104" t="s">
        <v>11</v>
      </c>
      <c r="F104" t="s">
        <v>21</v>
      </c>
      <c r="G104" t="s">
        <v>23</v>
      </c>
      <c r="H104" s="9">
        <v>1</v>
      </c>
      <c r="I104" s="9">
        <v>47</v>
      </c>
      <c r="J104" s="10">
        <v>16450</v>
      </c>
      <c r="K104" s="10">
        <v>3454.5</v>
      </c>
      <c r="L104">
        <v>15</v>
      </c>
      <c r="M104" s="8">
        <v>43556</v>
      </c>
      <c r="N104" s="23">
        <v>8.2862832795648395E-5</v>
      </c>
      <c r="O104" s="10" t="str">
        <f>IF(Sales_Data[[#This Row],[Total Profit]]&gt;0,"Profitable","Loss")</f>
        <v>Profitable</v>
      </c>
      <c r="P104" s="10" t="str">
        <f>IF(Sales_Data[[#This Row],[Total Profit]]&gt;100000,"High Value",IF(Sales_Data[[#This Row],[Total Profit]]&gt;60000,"Medium","Low"))</f>
        <v>Low</v>
      </c>
      <c r="Q104" s="11" t="str">
        <f>PROPER(Sales_Data[[#This Row],[Month Name]])</f>
        <v>Abril</v>
      </c>
      <c r="R104" s="11" t="str">
        <f>PROPER(Sales_Data[[#This Row],[Sales Manager]])</f>
        <v>John Smith</v>
      </c>
    </row>
    <row r="105" spans="1:18" hidden="1" x14ac:dyDescent="0.25">
      <c r="A105">
        <v>10104</v>
      </c>
      <c r="B105">
        <v>2019</v>
      </c>
      <c r="C105" t="s">
        <v>69</v>
      </c>
      <c r="D105" s="8">
        <v>43569</v>
      </c>
      <c r="E105" t="s">
        <v>25</v>
      </c>
      <c r="F105" t="s">
        <v>18</v>
      </c>
      <c r="G105" t="s">
        <v>23</v>
      </c>
      <c r="H105" s="9">
        <v>26</v>
      </c>
      <c r="I105" s="9">
        <v>268</v>
      </c>
      <c r="J105" s="10">
        <v>93800</v>
      </c>
      <c r="K105" s="10">
        <v>41272</v>
      </c>
      <c r="L105">
        <v>16</v>
      </c>
      <c r="M105" s="8">
        <v>43556</v>
      </c>
      <c r="N105" s="23">
        <v>4.7249445083476102E-4</v>
      </c>
      <c r="O105" s="10" t="str">
        <f>IF(Sales_Data[[#This Row],[Total Profit]]&gt;0,"Profitable","Loss")</f>
        <v>Profitable</v>
      </c>
      <c r="P105" s="10" t="str">
        <f>IF(Sales_Data[[#This Row],[Total Profit]]&gt;100000,"High Value",IF(Sales_Data[[#This Row],[Total Profit]]&gt;60000,"Medium","Low"))</f>
        <v>Low</v>
      </c>
      <c r="Q105" s="11" t="str">
        <f>PROPER(Sales_Data[[#This Row],[Month Name]])</f>
        <v>Abril</v>
      </c>
      <c r="R105" s="11" t="str">
        <f>PROPER(Sales_Data[[#This Row],[Sales Manager]])</f>
        <v>Jane Doe</v>
      </c>
    </row>
    <row r="106" spans="1:18" hidden="1" x14ac:dyDescent="0.25">
      <c r="A106">
        <v>10105</v>
      </c>
      <c r="B106">
        <v>2019</v>
      </c>
      <c r="C106" t="s">
        <v>69</v>
      </c>
      <c r="D106" s="8">
        <v>43570</v>
      </c>
      <c r="E106" t="s">
        <v>19</v>
      </c>
      <c r="F106" t="s">
        <v>18</v>
      </c>
      <c r="G106" t="s">
        <v>20</v>
      </c>
      <c r="H106" s="9">
        <v>3</v>
      </c>
      <c r="I106" s="9">
        <v>31</v>
      </c>
      <c r="J106" s="10">
        <v>26350</v>
      </c>
      <c r="K106" s="10">
        <v>4479.5</v>
      </c>
      <c r="L106">
        <v>16</v>
      </c>
      <c r="M106" s="8">
        <v>43556</v>
      </c>
      <c r="N106" s="23">
        <v>1.32731650101236E-4</v>
      </c>
      <c r="O106" s="10" t="str">
        <f>IF(Sales_Data[[#This Row],[Total Profit]]&gt;0,"Profitable","Loss")</f>
        <v>Profitable</v>
      </c>
      <c r="P106" s="10" t="str">
        <f>IF(Sales_Data[[#This Row],[Total Profit]]&gt;100000,"High Value",IF(Sales_Data[[#This Row],[Total Profit]]&gt;60000,"Medium","Low"))</f>
        <v>Low</v>
      </c>
      <c r="Q106" s="11" t="str">
        <f>PROPER(Sales_Data[[#This Row],[Month Name]])</f>
        <v>Abril</v>
      </c>
      <c r="R106" s="11" t="str">
        <f>PROPER(Sales_Data[[#This Row],[Sales Manager]])</f>
        <v>Jane Doe</v>
      </c>
    </row>
    <row r="107" spans="1:18" hidden="1" x14ac:dyDescent="0.25">
      <c r="A107">
        <v>10106</v>
      </c>
      <c r="B107">
        <v>2019</v>
      </c>
      <c r="C107" t="s">
        <v>69</v>
      </c>
      <c r="D107" s="8">
        <v>43571</v>
      </c>
      <c r="E107" t="s">
        <v>22</v>
      </c>
      <c r="F107" t="s">
        <v>18</v>
      </c>
      <c r="G107" t="s">
        <v>17</v>
      </c>
      <c r="H107" s="9">
        <v>8</v>
      </c>
      <c r="I107" s="9">
        <v>141</v>
      </c>
      <c r="J107" s="10">
        <v>35250</v>
      </c>
      <c r="K107" s="10">
        <v>11985</v>
      </c>
      <c r="L107">
        <v>16</v>
      </c>
      <c r="M107" s="8">
        <v>43556</v>
      </c>
      <c r="N107" s="23">
        <v>1.77563213133532E-4</v>
      </c>
      <c r="O107" s="10" t="str">
        <f>IF(Sales_Data[[#This Row],[Total Profit]]&gt;0,"Profitable","Loss")</f>
        <v>Profitable</v>
      </c>
      <c r="P107" s="10" t="str">
        <f>IF(Sales_Data[[#This Row],[Total Profit]]&gt;100000,"High Value",IF(Sales_Data[[#This Row],[Total Profit]]&gt;60000,"Medium","Low"))</f>
        <v>Low</v>
      </c>
      <c r="Q107" s="11" t="str">
        <f>PROPER(Sales_Data[[#This Row],[Month Name]])</f>
        <v>Abril</v>
      </c>
      <c r="R107" s="11" t="str">
        <f>PROPER(Sales_Data[[#This Row],[Sales Manager]])</f>
        <v>Jane Doe</v>
      </c>
    </row>
    <row r="108" spans="1:18" hidden="1" x14ac:dyDescent="0.25">
      <c r="A108">
        <v>10107</v>
      </c>
      <c r="B108">
        <v>2019</v>
      </c>
      <c r="C108" t="s">
        <v>69</v>
      </c>
      <c r="D108" s="8">
        <v>43572</v>
      </c>
      <c r="E108" t="s">
        <v>25</v>
      </c>
      <c r="F108" t="s">
        <v>24</v>
      </c>
      <c r="G108" t="s">
        <v>15</v>
      </c>
      <c r="H108" s="9">
        <v>5</v>
      </c>
      <c r="I108" s="9">
        <v>232</v>
      </c>
      <c r="J108" s="10">
        <v>116000</v>
      </c>
      <c r="K108" s="10">
        <v>48720</v>
      </c>
      <c r="L108">
        <v>16</v>
      </c>
      <c r="M108" s="8">
        <v>43556</v>
      </c>
      <c r="N108" s="23">
        <v>5.8432149570183695E-4</v>
      </c>
      <c r="O108" s="10" t="str">
        <f>IF(Sales_Data[[#This Row],[Total Profit]]&gt;0,"Profitable","Loss")</f>
        <v>Profitable</v>
      </c>
      <c r="P108" s="10" t="str">
        <f>IF(Sales_Data[[#This Row],[Total Profit]]&gt;100000,"High Value",IF(Sales_Data[[#This Row],[Total Profit]]&gt;60000,"Medium","Low"))</f>
        <v>Low</v>
      </c>
      <c r="Q108" s="11" t="str">
        <f>PROPER(Sales_Data[[#This Row],[Month Name]])</f>
        <v>Abril</v>
      </c>
      <c r="R108" s="11" t="str">
        <f>PROPER(Sales_Data[[#This Row],[Sales Manager]])</f>
        <v>Liam Lee</v>
      </c>
    </row>
    <row r="109" spans="1:18" hidden="1" x14ac:dyDescent="0.25">
      <c r="A109">
        <v>10108</v>
      </c>
      <c r="B109">
        <v>2019</v>
      </c>
      <c r="C109" t="s">
        <v>69</v>
      </c>
      <c r="D109" s="8">
        <v>43573</v>
      </c>
      <c r="E109" t="s">
        <v>25</v>
      </c>
      <c r="F109" t="s">
        <v>21</v>
      </c>
      <c r="G109" t="s">
        <v>17</v>
      </c>
      <c r="H109" s="9">
        <v>13</v>
      </c>
      <c r="I109" s="9">
        <v>166</v>
      </c>
      <c r="J109" s="10">
        <v>41500</v>
      </c>
      <c r="K109" s="10">
        <v>12865</v>
      </c>
      <c r="L109">
        <v>16</v>
      </c>
      <c r="M109" s="8">
        <v>43556</v>
      </c>
      <c r="N109" s="23">
        <v>2.0904605234160501E-4</v>
      </c>
      <c r="O109" s="10" t="str">
        <f>IF(Sales_Data[[#This Row],[Total Profit]]&gt;0,"Profitable","Loss")</f>
        <v>Profitable</v>
      </c>
      <c r="P109" s="10" t="str">
        <f>IF(Sales_Data[[#This Row],[Total Profit]]&gt;100000,"High Value",IF(Sales_Data[[#This Row],[Total Profit]]&gt;60000,"Medium","Low"))</f>
        <v>Low</v>
      </c>
      <c r="Q109" s="11" t="str">
        <f>PROPER(Sales_Data[[#This Row],[Month Name]])</f>
        <v>Abril</v>
      </c>
      <c r="R109" s="11" t="str">
        <f>PROPER(Sales_Data[[#This Row],[Sales Manager]])</f>
        <v>John Smith</v>
      </c>
    </row>
    <row r="110" spans="1:18" hidden="1" x14ac:dyDescent="0.25">
      <c r="A110">
        <v>10109</v>
      </c>
      <c r="B110">
        <v>2019</v>
      </c>
      <c r="C110" t="s">
        <v>69</v>
      </c>
      <c r="D110" s="8">
        <v>43574</v>
      </c>
      <c r="E110" t="s">
        <v>14</v>
      </c>
      <c r="F110" t="s">
        <v>16</v>
      </c>
      <c r="G110" t="s">
        <v>13</v>
      </c>
      <c r="H110" s="9">
        <v>13</v>
      </c>
      <c r="I110" s="9">
        <v>495</v>
      </c>
      <c r="J110" s="10">
        <v>371250</v>
      </c>
      <c r="K110" s="10">
        <v>66825</v>
      </c>
      <c r="L110">
        <v>16</v>
      </c>
      <c r="M110" s="8">
        <v>43556</v>
      </c>
      <c r="N110" s="23">
        <v>1.8700806489595401E-3</v>
      </c>
      <c r="O110" s="10" t="str">
        <f>IF(Sales_Data[[#This Row],[Total Profit]]&gt;0,"Profitable","Loss")</f>
        <v>Profitable</v>
      </c>
      <c r="P110" s="10" t="str">
        <f>IF(Sales_Data[[#This Row],[Total Profit]]&gt;100000,"High Value",IF(Sales_Data[[#This Row],[Total Profit]]&gt;60000,"Medium","Low"))</f>
        <v>Medium</v>
      </c>
      <c r="Q110" s="11" t="str">
        <f>PROPER(Sales_Data[[#This Row],[Month Name]])</f>
        <v>Abril</v>
      </c>
      <c r="R110" s="11" t="str">
        <f>PROPER(Sales_Data[[#This Row],[Sales Manager]])</f>
        <v>James Brown</v>
      </c>
    </row>
    <row r="111" spans="1:18" hidden="1" x14ac:dyDescent="0.25">
      <c r="A111">
        <v>10110</v>
      </c>
      <c r="B111">
        <v>2019</v>
      </c>
      <c r="C111" t="s">
        <v>69</v>
      </c>
      <c r="D111" s="8">
        <v>43575</v>
      </c>
      <c r="E111" t="s">
        <v>11</v>
      </c>
      <c r="F111" t="s">
        <v>24</v>
      </c>
      <c r="G111" t="s">
        <v>20</v>
      </c>
      <c r="H111" s="9">
        <v>29</v>
      </c>
      <c r="I111" s="9">
        <v>355</v>
      </c>
      <c r="J111" s="10">
        <v>301750</v>
      </c>
      <c r="K111" s="10">
        <v>93542.5</v>
      </c>
      <c r="L111">
        <v>16</v>
      </c>
      <c r="M111" s="8">
        <v>43556</v>
      </c>
      <c r="N111" s="23">
        <v>1.5199914769657701E-3</v>
      </c>
      <c r="O111" s="10" t="str">
        <f>IF(Sales_Data[[#This Row],[Total Profit]]&gt;0,"Profitable","Loss")</f>
        <v>Profitable</v>
      </c>
      <c r="P111" s="10" t="str">
        <f>IF(Sales_Data[[#This Row],[Total Profit]]&gt;100000,"High Value",IF(Sales_Data[[#This Row],[Total Profit]]&gt;60000,"Medium","Low"))</f>
        <v>Medium</v>
      </c>
      <c r="Q111" s="11" t="str">
        <f>PROPER(Sales_Data[[#This Row],[Month Name]])</f>
        <v>Abril</v>
      </c>
      <c r="R111" s="11" t="str">
        <f>PROPER(Sales_Data[[#This Row],[Sales Manager]])</f>
        <v>Liam Lee</v>
      </c>
    </row>
    <row r="112" spans="1:18" hidden="1" x14ac:dyDescent="0.25">
      <c r="A112">
        <v>10111</v>
      </c>
      <c r="B112">
        <v>2019</v>
      </c>
      <c r="C112" t="s">
        <v>69</v>
      </c>
      <c r="D112" s="8">
        <v>43576</v>
      </c>
      <c r="E112" t="s">
        <v>19</v>
      </c>
      <c r="F112" t="s">
        <v>18</v>
      </c>
      <c r="G112" t="s">
        <v>17</v>
      </c>
      <c r="H112" s="9">
        <v>44</v>
      </c>
      <c r="I112" s="9">
        <v>459</v>
      </c>
      <c r="J112" s="10">
        <v>114750</v>
      </c>
      <c r="K112" s="10">
        <v>42457.5</v>
      </c>
      <c r="L112">
        <v>17</v>
      </c>
      <c r="M112" s="8">
        <v>43556</v>
      </c>
      <c r="N112" s="23">
        <v>5.7802492786022204E-4</v>
      </c>
      <c r="O112" s="10" t="str">
        <f>IF(Sales_Data[[#This Row],[Total Profit]]&gt;0,"Profitable","Loss")</f>
        <v>Profitable</v>
      </c>
      <c r="P112" s="10" t="str">
        <f>IF(Sales_Data[[#This Row],[Total Profit]]&gt;100000,"High Value",IF(Sales_Data[[#This Row],[Total Profit]]&gt;60000,"Medium","Low"))</f>
        <v>Low</v>
      </c>
      <c r="Q112" s="11" t="str">
        <f>PROPER(Sales_Data[[#This Row],[Month Name]])</f>
        <v>Abril</v>
      </c>
      <c r="R112" s="11" t="str">
        <f>PROPER(Sales_Data[[#This Row],[Sales Manager]])</f>
        <v>Jane Doe</v>
      </c>
    </row>
    <row r="113" spans="1:18" hidden="1" x14ac:dyDescent="0.25">
      <c r="A113">
        <v>10112</v>
      </c>
      <c r="B113">
        <v>2019</v>
      </c>
      <c r="C113" t="s">
        <v>69</v>
      </c>
      <c r="D113" s="8">
        <v>43577</v>
      </c>
      <c r="E113" t="s">
        <v>22</v>
      </c>
      <c r="F113" t="s">
        <v>18</v>
      </c>
      <c r="G113" t="s">
        <v>15</v>
      </c>
      <c r="H113" s="9">
        <v>20</v>
      </c>
      <c r="I113" s="9">
        <v>420</v>
      </c>
      <c r="J113" s="10">
        <v>210000</v>
      </c>
      <c r="K113" s="10">
        <v>35700</v>
      </c>
      <c r="L113">
        <v>17</v>
      </c>
      <c r="M113" s="8">
        <v>43556</v>
      </c>
      <c r="N113" s="23">
        <v>1.0578233973912599E-3</v>
      </c>
      <c r="O113" s="10" t="str">
        <f>IF(Sales_Data[[#This Row],[Total Profit]]&gt;0,"Profitable","Loss")</f>
        <v>Profitable</v>
      </c>
      <c r="P113" s="10" t="str">
        <f>IF(Sales_Data[[#This Row],[Total Profit]]&gt;100000,"High Value",IF(Sales_Data[[#This Row],[Total Profit]]&gt;60000,"Medium","Low"))</f>
        <v>Low</v>
      </c>
      <c r="Q113" s="11" t="str">
        <f>PROPER(Sales_Data[[#This Row],[Month Name]])</f>
        <v>Abril</v>
      </c>
      <c r="R113" s="11" t="str">
        <f>PROPER(Sales_Data[[#This Row],[Sales Manager]])</f>
        <v>Jane Doe</v>
      </c>
    </row>
    <row r="114" spans="1:18" hidden="1" x14ac:dyDescent="0.25">
      <c r="A114">
        <v>10113</v>
      </c>
      <c r="B114">
        <v>2019</v>
      </c>
      <c r="C114" t="s">
        <v>69</v>
      </c>
      <c r="D114" s="8">
        <v>43578</v>
      </c>
      <c r="E114" t="s">
        <v>19</v>
      </c>
      <c r="F114" t="s">
        <v>18</v>
      </c>
      <c r="G114" t="s">
        <v>13</v>
      </c>
      <c r="H114" s="9">
        <v>10</v>
      </c>
      <c r="I114" s="9">
        <v>237</v>
      </c>
      <c r="J114" s="10">
        <v>177750</v>
      </c>
      <c r="K114" s="10">
        <v>19552.5</v>
      </c>
      <c r="L114">
        <v>17</v>
      </c>
      <c r="M114" s="8">
        <v>43556</v>
      </c>
      <c r="N114" s="23">
        <v>8.9537194707759902E-4</v>
      </c>
      <c r="O114" s="10" t="str">
        <f>IF(Sales_Data[[#This Row],[Total Profit]]&gt;0,"Profitable","Loss")</f>
        <v>Profitable</v>
      </c>
      <c r="P114" s="10" t="str">
        <f>IF(Sales_Data[[#This Row],[Total Profit]]&gt;100000,"High Value",IF(Sales_Data[[#This Row],[Total Profit]]&gt;60000,"Medium","Low"))</f>
        <v>Low</v>
      </c>
      <c r="Q114" s="11" t="str">
        <f>PROPER(Sales_Data[[#This Row],[Month Name]])</f>
        <v>Abril</v>
      </c>
      <c r="R114" s="11" t="str">
        <f>PROPER(Sales_Data[[#This Row],[Sales Manager]])</f>
        <v>Jane Doe</v>
      </c>
    </row>
    <row r="115" spans="1:18" hidden="1" x14ac:dyDescent="0.25">
      <c r="A115">
        <v>10114</v>
      </c>
      <c r="B115">
        <v>2019</v>
      </c>
      <c r="C115" t="s">
        <v>69</v>
      </c>
      <c r="D115" s="8">
        <v>43579</v>
      </c>
      <c r="E115" t="s">
        <v>22</v>
      </c>
      <c r="F115" t="s">
        <v>21</v>
      </c>
      <c r="G115" t="s">
        <v>13</v>
      </c>
      <c r="H115" s="9">
        <v>15</v>
      </c>
      <c r="I115" s="9">
        <v>343</v>
      </c>
      <c r="J115" s="10">
        <v>257250</v>
      </c>
      <c r="K115" s="10">
        <v>33442.5</v>
      </c>
      <c r="L115">
        <v>17</v>
      </c>
      <c r="M115" s="8">
        <v>43556</v>
      </c>
      <c r="N115" s="23">
        <v>1.2958336618042899E-3</v>
      </c>
      <c r="O115" s="10" t="str">
        <f>IF(Sales_Data[[#This Row],[Total Profit]]&gt;0,"Profitable","Loss")</f>
        <v>Profitable</v>
      </c>
      <c r="P115" s="10" t="str">
        <f>IF(Sales_Data[[#This Row],[Total Profit]]&gt;100000,"High Value",IF(Sales_Data[[#This Row],[Total Profit]]&gt;60000,"Medium","Low"))</f>
        <v>Low</v>
      </c>
      <c r="Q115" s="11" t="str">
        <f>PROPER(Sales_Data[[#This Row],[Month Name]])</f>
        <v>Abril</v>
      </c>
      <c r="R115" s="11" t="str">
        <f>PROPER(Sales_Data[[#This Row],[Sales Manager]])</f>
        <v>John Smith</v>
      </c>
    </row>
    <row r="116" spans="1:18" hidden="1" x14ac:dyDescent="0.25">
      <c r="A116">
        <v>10115</v>
      </c>
      <c r="B116">
        <v>2019</v>
      </c>
      <c r="C116" t="s">
        <v>69</v>
      </c>
      <c r="D116" s="8">
        <v>43580</v>
      </c>
      <c r="E116" t="s">
        <v>14</v>
      </c>
      <c r="F116" t="s">
        <v>12</v>
      </c>
      <c r="G116" t="s">
        <v>13</v>
      </c>
      <c r="H116" s="9">
        <v>17</v>
      </c>
      <c r="I116" s="9">
        <v>189</v>
      </c>
      <c r="J116" s="10">
        <v>141750</v>
      </c>
      <c r="K116" s="10">
        <v>56700</v>
      </c>
      <c r="L116">
        <v>17</v>
      </c>
      <c r="M116" s="8">
        <v>43556</v>
      </c>
      <c r="N116" s="23">
        <v>7.1403079323909804E-4</v>
      </c>
      <c r="O116" s="10" t="str">
        <f>IF(Sales_Data[[#This Row],[Total Profit]]&gt;0,"Profitable","Loss")</f>
        <v>Profitable</v>
      </c>
      <c r="P116" s="10" t="str">
        <f>IF(Sales_Data[[#This Row],[Total Profit]]&gt;100000,"High Value",IF(Sales_Data[[#This Row],[Total Profit]]&gt;60000,"Medium","Low"))</f>
        <v>Low</v>
      </c>
      <c r="Q116" s="11" t="str">
        <f>PROPER(Sales_Data[[#This Row],[Month Name]])</f>
        <v>Abril</v>
      </c>
      <c r="R116" s="11" t="str">
        <f>PROPER(Sales_Data[[#This Row],[Sales Manager]])</f>
        <v>Emily White</v>
      </c>
    </row>
    <row r="117" spans="1:18" hidden="1" x14ac:dyDescent="0.25">
      <c r="A117">
        <v>10116</v>
      </c>
      <c r="B117">
        <v>2019</v>
      </c>
      <c r="C117" t="s">
        <v>69</v>
      </c>
      <c r="D117" s="8">
        <v>43581</v>
      </c>
      <c r="E117" t="s">
        <v>25</v>
      </c>
      <c r="F117" t="s">
        <v>21</v>
      </c>
      <c r="G117" t="s">
        <v>20</v>
      </c>
      <c r="H117" s="9">
        <v>27</v>
      </c>
      <c r="I117" s="9">
        <v>338</v>
      </c>
      <c r="J117" s="10">
        <v>287300</v>
      </c>
      <c r="K117" s="10">
        <v>77571</v>
      </c>
      <c r="L117">
        <v>17</v>
      </c>
      <c r="M117" s="8">
        <v>43556</v>
      </c>
      <c r="N117" s="23">
        <v>1.4472031527167E-3</v>
      </c>
      <c r="O117" s="10" t="str">
        <f>IF(Sales_Data[[#This Row],[Total Profit]]&gt;0,"Profitable","Loss")</f>
        <v>Profitable</v>
      </c>
      <c r="P117" s="10" t="str">
        <f>IF(Sales_Data[[#This Row],[Total Profit]]&gt;100000,"High Value",IF(Sales_Data[[#This Row],[Total Profit]]&gt;60000,"Medium","Low"))</f>
        <v>Medium</v>
      </c>
      <c r="Q117" s="11" t="str">
        <f>PROPER(Sales_Data[[#This Row],[Month Name]])</f>
        <v>Abril</v>
      </c>
      <c r="R117" s="11" t="str">
        <f>PROPER(Sales_Data[[#This Row],[Sales Manager]])</f>
        <v>John Smith</v>
      </c>
    </row>
    <row r="118" spans="1:18" hidden="1" x14ac:dyDescent="0.25">
      <c r="A118">
        <v>10117</v>
      </c>
      <c r="B118">
        <v>2019</v>
      </c>
      <c r="C118" t="s">
        <v>69</v>
      </c>
      <c r="D118" s="8">
        <v>43582</v>
      </c>
      <c r="E118" t="s">
        <v>22</v>
      </c>
      <c r="F118" t="s">
        <v>21</v>
      </c>
      <c r="G118" t="s">
        <v>13</v>
      </c>
      <c r="H118" s="9">
        <v>22</v>
      </c>
      <c r="I118" s="9">
        <v>432</v>
      </c>
      <c r="J118" s="10">
        <v>324000</v>
      </c>
      <c r="K118" s="10">
        <v>68040</v>
      </c>
      <c r="L118">
        <v>17</v>
      </c>
      <c r="M118" s="8">
        <v>43556</v>
      </c>
      <c r="N118" s="23">
        <v>1.6320703845465101E-3</v>
      </c>
      <c r="O118" s="10" t="str">
        <f>IF(Sales_Data[[#This Row],[Total Profit]]&gt;0,"Profitable","Loss")</f>
        <v>Profitable</v>
      </c>
      <c r="P118" s="10" t="str">
        <f>IF(Sales_Data[[#This Row],[Total Profit]]&gt;100000,"High Value",IF(Sales_Data[[#This Row],[Total Profit]]&gt;60000,"Medium","Low"))</f>
        <v>Medium</v>
      </c>
      <c r="Q118" s="11" t="str">
        <f>PROPER(Sales_Data[[#This Row],[Month Name]])</f>
        <v>Abril</v>
      </c>
      <c r="R118" s="11" t="str">
        <f>PROPER(Sales_Data[[#This Row],[Sales Manager]])</f>
        <v>John Smith</v>
      </c>
    </row>
    <row r="119" spans="1:18" hidden="1" x14ac:dyDescent="0.25">
      <c r="A119">
        <v>10118</v>
      </c>
      <c r="B119">
        <v>2019</v>
      </c>
      <c r="C119" t="s">
        <v>69</v>
      </c>
      <c r="D119" s="8">
        <v>43583</v>
      </c>
      <c r="E119" t="s">
        <v>11</v>
      </c>
      <c r="F119" t="s">
        <v>18</v>
      </c>
      <c r="G119" t="s">
        <v>23</v>
      </c>
      <c r="H119" s="9">
        <v>16</v>
      </c>
      <c r="I119" s="9">
        <v>494</v>
      </c>
      <c r="J119" s="10">
        <v>172900</v>
      </c>
      <c r="K119" s="10">
        <v>53599</v>
      </c>
      <c r="L119">
        <v>18</v>
      </c>
      <c r="M119" s="8">
        <v>43556</v>
      </c>
      <c r="N119" s="23">
        <v>8.7094126385213401E-4</v>
      </c>
      <c r="O119" s="10" t="str">
        <f>IF(Sales_Data[[#This Row],[Total Profit]]&gt;0,"Profitable","Loss")</f>
        <v>Profitable</v>
      </c>
      <c r="P119" s="10" t="str">
        <f>IF(Sales_Data[[#This Row],[Total Profit]]&gt;100000,"High Value",IF(Sales_Data[[#This Row],[Total Profit]]&gt;60000,"Medium","Low"))</f>
        <v>Low</v>
      </c>
      <c r="Q119" s="11" t="str">
        <f>PROPER(Sales_Data[[#This Row],[Month Name]])</f>
        <v>Abril</v>
      </c>
      <c r="R119" s="11" t="str">
        <f>PROPER(Sales_Data[[#This Row],[Sales Manager]])</f>
        <v>Jane Doe</v>
      </c>
    </row>
    <row r="120" spans="1:18" hidden="1" x14ac:dyDescent="0.25">
      <c r="A120">
        <v>10119</v>
      </c>
      <c r="B120">
        <v>2019</v>
      </c>
      <c r="C120" t="s">
        <v>69</v>
      </c>
      <c r="D120" s="8">
        <v>43584</v>
      </c>
      <c r="E120" t="s">
        <v>25</v>
      </c>
      <c r="F120" t="s">
        <v>24</v>
      </c>
      <c r="G120" t="s">
        <v>17</v>
      </c>
      <c r="H120" s="9">
        <v>9</v>
      </c>
      <c r="I120" s="9">
        <v>411</v>
      </c>
      <c r="J120" s="10">
        <v>102750</v>
      </c>
      <c r="K120" s="10">
        <v>30825</v>
      </c>
      <c r="L120">
        <v>18</v>
      </c>
      <c r="M120" s="8">
        <v>43556</v>
      </c>
      <c r="N120" s="23">
        <v>5.1757787658072204E-4</v>
      </c>
      <c r="O120" s="10" t="str">
        <f>IF(Sales_Data[[#This Row],[Total Profit]]&gt;0,"Profitable","Loss")</f>
        <v>Profitable</v>
      </c>
      <c r="P120" s="10" t="str">
        <f>IF(Sales_Data[[#This Row],[Total Profit]]&gt;100000,"High Value",IF(Sales_Data[[#This Row],[Total Profit]]&gt;60000,"Medium","Low"))</f>
        <v>Low</v>
      </c>
      <c r="Q120" s="11" t="str">
        <f>PROPER(Sales_Data[[#This Row],[Month Name]])</f>
        <v>Abril</v>
      </c>
      <c r="R120" s="11" t="str">
        <f>PROPER(Sales_Data[[#This Row],[Sales Manager]])</f>
        <v>Liam Lee</v>
      </c>
    </row>
    <row r="121" spans="1:18" hidden="1" x14ac:dyDescent="0.25">
      <c r="A121">
        <v>10120</v>
      </c>
      <c r="B121">
        <v>2019</v>
      </c>
      <c r="C121" t="s">
        <v>69</v>
      </c>
      <c r="D121" s="8">
        <v>43585</v>
      </c>
      <c r="E121" t="s">
        <v>11</v>
      </c>
      <c r="F121" t="s">
        <v>18</v>
      </c>
      <c r="G121" t="s">
        <v>15</v>
      </c>
      <c r="H121" s="9">
        <v>21</v>
      </c>
      <c r="I121" s="9">
        <v>344</v>
      </c>
      <c r="J121" s="10">
        <v>172000</v>
      </c>
      <c r="K121" s="10">
        <v>58480.000000000007</v>
      </c>
      <c r="L121">
        <v>18</v>
      </c>
      <c r="M121" s="8">
        <v>43556</v>
      </c>
      <c r="N121" s="23">
        <v>8.6640773500617195E-4</v>
      </c>
      <c r="O121" s="10" t="str">
        <f>IF(Sales_Data[[#This Row],[Total Profit]]&gt;0,"Profitable","Loss")</f>
        <v>Profitable</v>
      </c>
      <c r="P121" s="10" t="str">
        <f>IF(Sales_Data[[#This Row],[Total Profit]]&gt;100000,"High Value",IF(Sales_Data[[#This Row],[Total Profit]]&gt;60000,"Medium","Low"))</f>
        <v>Low</v>
      </c>
      <c r="Q121" s="11" t="str">
        <f>PROPER(Sales_Data[[#This Row],[Month Name]])</f>
        <v>Abril</v>
      </c>
      <c r="R121" s="11" t="str">
        <f>PROPER(Sales_Data[[#This Row],[Sales Manager]])</f>
        <v>Jane Doe</v>
      </c>
    </row>
    <row r="122" spans="1:18" hidden="1" x14ac:dyDescent="0.25">
      <c r="A122">
        <v>10121</v>
      </c>
      <c r="B122">
        <v>2019</v>
      </c>
      <c r="C122" t="s">
        <v>70</v>
      </c>
      <c r="D122" s="8">
        <v>43586</v>
      </c>
      <c r="E122" t="s">
        <v>25</v>
      </c>
      <c r="F122" t="s">
        <v>24</v>
      </c>
      <c r="G122" t="s">
        <v>15</v>
      </c>
      <c r="H122" s="9">
        <v>8</v>
      </c>
      <c r="I122" s="9">
        <v>308</v>
      </c>
      <c r="J122" s="10">
        <v>154000</v>
      </c>
      <c r="K122" s="10">
        <v>66220</v>
      </c>
      <c r="L122">
        <v>18</v>
      </c>
      <c r="M122" s="8">
        <v>43556</v>
      </c>
      <c r="N122" s="23">
        <v>7.7573715808692103E-4</v>
      </c>
      <c r="O122" s="10" t="str">
        <f>IF(Sales_Data[[#This Row],[Total Profit]]&gt;0,"Profitable","Loss")</f>
        <v>Profitable</v>
      </c>
      <c r="P122" s="10" t="str">
        <f>IF(Sales_Data[[#This Row],[Total Profit]]&gt;100000,"High Value",IF(Sales_Data[[#This Row],[Total Profit]]&gt;60000,"Medium","Low"))</f>
        <v>Medium</v>
      </c>
      <c r="Q122" s="11" t="str">
        <f>PROPER(Sales_Data[[#This Row],[Month Name]])</f>
        <v>Maio</v>
      </c>
      <c r="R122" s="11" t="str">
        <f>PROPER(Sales_Data[[#This Row],[Sales Manager]])</f>
        <v>Liam Lee</v>
      </c>
    </row>
    <row r="123" spans="1:18" hidden="1" x14ac:dyDescent="0.25">
      <c r="A123">
        <v>10122</v>
      </c>
      <c r="B123">
        <v>2019</v>
      </c>
      <c r="C123" t="s">
        <v>70</v>
      </c>
      <c r="D123" s="8">
        <v>43587</v>
      </c>
      <c r="E123" t="s">
        <v>25</v>
      </c>
      <c r="F123" t="s">
        <v>18</v>
      </c>
      <c r="G123" t="s">
        <v>23</v>
      </c>
      <c r="H123" s="9">
        <v>18</v>
      </c>
      <c r="I123" s="9">
        <v>220</v>
      </c>
      <c r="J123" s="10">
        <v>77000</v>
      </c>
      <c r="K123" s="10">
        <v>23100</v>
      </c>
      <c r="L123">
        <v>18</v>
      </c>
      <c r="M123" s="8">
        <v>43556</v>
      </c>
      <c r="N123" s="23">
        <v>3.87868579043461E-4</v>
      </c>
      <c r="O123" s="10" t="str">
        <f>IF(Sales_Data[[#This Row],[Total Profit]]&gt;0,"Profitable","Loss")</f>
        <v>Profitable</v>
      </c>
      <c r="P123" s="10" t="str">
        <f>IF(Sales_Data[[#This Row],[Total Profit]]&gt;100000,"High Value",IF(Sales_Data[[#This Row],[Total Profit]]&gt;60000,"Medium","Low"))</f>
        <v>Low</v>
      </c>
      <c r="Q123" s="11" t="str">
        <f>PROPER(Sales_Data[[#This Row],[Month Name]])</f>
        <v>Maio</v>
      </c>
      <c r="R123" s="11" t="str">
        <f>PROPER(Sales_Data[[#This Row],[Sales Manager]])</f>
        <v>Jane Doe</v>
      </c>
    </row>
    <row r="124" spans="1:18" hidden="1" x14ac:dyDescent="0.25">
      <c r="A124">
        <v>10123</v>
      </c>
      <c r="B124">
        <v>2019</v>
      </c>
      <c r="C124" t="s">
        <v>70</v>
      </c>
      <c r="D124" s="8">
        <v>43588</v>
      </c>
      <c r="E124" t="s">
        <v>14</v>
      </c>
      <c r="F124" t="s">
        <v>12</v>
      </c>
      <c r="G124" t="s">
        <v>20</v>
      </c>
      <c r="H124" s="9">
        <v>3</v>
      </c>
      <c r="I124" s="9">
        <v>64</v>
      </c>
      <c r="J124" s="10">
        <v>54400</v>
      </c>
      <c r="K124" s="10">
        <v>5984</v>
      </c>
      <c r="L124">
        <v>18</v>
      </c>
      <c r="M124" s="8">
        <v>43556</v>
      </c>
      <c r="N124" s="23">
        <v>2.74026632467068E-4</v>
      </c>
      <c r="O124" s="10" t="str">
        <f>IF(Sales_Data[[#This Row],[Total Profit]]&gt;0,"Profitable","Loss")</f>
        <v>Profitable</v>
      </c>
      <c r="P124" s="10" t="str">
        <f>IF(Sales_Data[[#This Row],[Total Profit]]&gt;100000,"High Value",IF(Sales_Data[[#This Row],[Total Profit]]&gt;60000,"Medium","Low"))</f>
        <v>Low</v>
      </c>
      <c r="Q124" s="11" t="str">
        <f>PROPER(Sales_Data[[#This Row],[Month Name]])</f>
        <v>Maio</v>
      </c>
      <c r="R124" s="11" t="str">
        <f>PROPER(Sales_Data[[#This Row],[Sales Manager]])</f>
        <v>Emily White</v>
      </c>
    </row>
    <row r="125" spans="1:18" hidden="1" x14ac:dyDescent="0.25">
      <c r="A125">
        <v>10124</v>
      </c>
      <c r="B125">
        <v>2019</v>
      </c>
      <c r="C125" t="s">
        <v>70</v>
      </c>
      <c r="D125" s="8">
        <v>43589</v>
      </c>
      <c r="E125" t="s">
        <v>25</v>
      </c>
      <c r="F125" t="s">
        <v>18</v>
      </c>
      <c r="G125" t="s">
        <v>15</v>
      </c>
      <c r="H125" s="9">
        <v>8</v>
      </c>
      <c r="I125" s="9">
        <v>459</v>
      </c>
      <c r="J125" s="10">
        <v>229500</v>
      </c>
      <c r="K125" s="10">
        <v>29835</v>
      </c>
      <c r="L125">
        <v>18</v>
      </c>
      <c r="M125" s="8">
        <v>43556</v>
      </c>
      <c r="N125" s="23">
        <v>1.15604985572044E-3</v>
      </c>
      <c r="O125" s="10" t="str">
        <f>IF(Sales_Data[[#This Row],[Total Profit]]&gt;0,"Profitable","Loss")</f>
        <v>Profitable</v>
      </c>
      <c r="P125" s="10" t="str">
        <f>IF(Sales_Data[[#This Row],[Total Profit]]&gt;100000,"High Value",IF(Sales_Data[[#This Row],[Total Profit]]&gt;60000,"Medium","Low"))</f>
        <v>Low</v>
      </c>
      <c r="Q125" s="11" t="str">
        <f>PROPER(Sales_Data[[#This Row],[Month Name]])</f>
        <v>Maio</v>
      </c>
      <c r="R125" s="11" t="str">
        <f>PROPER(Sales_Data[[#This Row],[Sales Manager]])</f>
        <v>Jane Doe</v>
      </c>
    </row>
    <row r="126" spans="1:18" hidden="1" x14ac:dyDescent="0.25">
      <c r="A126">
        <v>10125</v>
      </c>
      <c r="B126">
        <v>2019</v>
      </c>
      <c r="C126" t="s">
        <v>70</v>
      </c>
      <c r="D126" s="8">
        <v>43590</v>
      </c>
      <c r="E126" t="s">
        <v>19</v>
      </c>
      <c r="F126" t="s">
        <v>21</v>
      </c>
      <c r="G126" t="s">
        <v>20</v>
      </c>
      <c r="H126" s="9">
        <v>4</v>
      </c>
      <c r="I126" s="9">
        <v>257</v>
      </c>
      <c r="J126" s="10">
        <v>218450</v>
      </c>
      <c r="K126" s="10">
        <v>96118</v>
      </c>
      <c r="L126">
        <v>19</v>
      </c>
      <c r="M126" s="8">
        <v>43556</v>
      </c>
      <c r="N126" s="23">
        <v>1.10038819600057E-3</v>
      </c>
      <c r="O126" s="10" t="str">
        <f>IF(Sales_Data[[#This Row],[Total Profit]]&gt;0,"Profitable","Loss")</f>
        <v>Profitable</v>
      </c>
      <c r="P126" s="10" t="str">
        <f>IF(Sales_Data[[#This Row],[Total Profit]]&gt;100000,"High Value",IF(Sales_Data[[#This Row],[Total Profit]]&gt;60000,"Medium","Low"))</f>
        <v>Medium</v>
      </c>
      <c r="Q126" s="11" t="str">
        <f>PROPER(Sales_Data[[#This Row],[Month Name]])</f>
        <v>Maio</v>
      </c>
      <c r="R126" s="11" t="str">
        <f>PROPER(Sales_Data[[#This Row],[Sales Manager]])</f>
        <v>John Smith</v>
      </c>
    </row>
    <row r="127" spans="1:18" hidden="1" x14ac:dyDescent="0.25">
      <c r="A127">
        <v>10126</v>
      </c>
      <c r="B127">
        <v>2019</v>
      </c>
      <c r="C127" t="s">
        <v>70</v>
      </c>
      <c r="D127" s="8">
        <v>43591</v>
      </c>
      <c r="E127" t="s">
        <v>11</v>
      </c>
      <c r="F127" t="s">
        <v>21</v>
      </c>
      <c r="G127" t="s">
        <v>13</v>
      </c>
      <c r="H127" s="9">
        <v>10</v>
      </c>
      <c r="I127" s="9">
        <v>132</v>
      </c>
      <c r="J127" s="10">
        <v>99000</v>
      </c>
      <c r="K127" s="10">
        <v>21780</v>
      </c>
      <c r="L127">
        <v>19</v>
      </c>
      <c r="M127" s="8">
        <v>43556</v>
      </c>
      <c r="N127" s="23">
        <v>4.9868817305587796E-4</v>
      </c>
      <c r="O127" s="10" t="str">
        <f>IF(Sales_Data[[#This Row],[Total Profit]]&gt;0,"Profitable","Loss")</f>
        <v>Profitable</v>
      </c>
      <c r="P127" s="10" t="str">
        <f>IF(Sales_Data[[#This Row],[Total Profit]]&gt;100000,"High Value",IF(Sales_Data[[#This Row],[Total Profit]]&gt;60000,"Medium","Low"))</f>
        <v>Low</v>
      </c>
      <c r="Q127" s="11" t="str">
        <f>PROPER(Sales_Data[[#This Row],[Month Name]])</f>
        <v>Maio</v>
      </c>
      <c r="R127" s="11" t="str">
        <f>PROPER(Sales_Data[[#This Row],[Sales Manager]])</f>
        <v>John Smith</v>
      </c>
    </row>
    <row r="128" spans="1:18" hidden="1" x14ac:dyDescent="0.25">
      <c r="A128">
        <v>10127</v>
      </c>
      <c r="B128">
        <v>2019</v>
      </c>
      <c r="C128" t="s">
        <v>70</v>
      </c>
      <c r="D128" s="8">
        <v>43592</v>
      </c>
      <c r="E128" t="s">
        <v>25</v>
      </c>
      <c r="F128" t="s">
        <v>21</v>
      </c>
      <c r="G128" t="s">
        <v>13</v>
      </c>
      <c r="H128" s="9">
        <v>3</v>
      </c>
      <c r="I128" s="9">
        <v>61</v>
      </c>
      <c r="J128" s="10">
        <v>45750</v>
      </c>
      <c r="K128" s="10">
        <v>12810.000000000002</v>
      </c>
      <c r="L128">
        <v>19</v>
      </c>
      <c r="M128" s="8">
        <v>43556</v>
      </c>
      <c r="N128" s="23">
        <v>2.30454383003095E-4</v>
      </c>
      <c r="O128" s="10" t="str">
        <f>IF(Sales_Data[[#This Row],[Total Profit]]&gt;0,"Profitable","Loss")</f>
        <v>Profitable</v>
      </c>
      <c r="P128" s="10" t="str">
        <f>IF(Sales_Data[[#This Row],[Total Profit]]&gt;100000,"High Value",IF(Sales_Data[[#This Row],[Total Profit]]&gt;60000,"Medium","Low"))</f>
        <v>Low</v>
      </c>
      <c r="Q128" s="11" t="str">
        <f>PROPER(Sales_Data[[#This Row],[Month Name]])</f>
        <v>Maio</v>
      </c>
      <c r="R128" s="11" t="str">
        <f>PROPER(Sales_Data[[#This Row],[Sales Manager]])</f>
        <v>John Smith</v>
      </c>
    </row>
    <row r="129" spans="1:18" hidden="1" x14ac:dyDescent="0.25">
      <c r="A129">
        <v>10128</v>
      </c>
      <c r="B129">
        <v>2019</v>
      </c>
      <c r="C129" t="s">
        <v>70</v>
      </c>
      <c r="D129" s="8">
        <v>43593</v>
      </c>
      <c r="E129" t="s">
        <v>22</v>
      </c>
      <c r="F129" t="s">
        <v>16</v>
      </c>
      <c r="G129" t="s">
        <v>23</v>
      </c>
      <c r="H129" s="9">
        <v>34</v>
      </c>
      <c r="I129" s="9">
        <v>461</v>
      </c>
      <c r="J129" s="10">
        <v>161350</v>
      </c>
      <c r="K129" s="10">
        <v>56472.5</v>
      </c>
      <c r="L129">
        <v>19</v>
      </c>
      <c r="M129" s="8">
        <v>43556</v>
      </c>
      <c r="N129" s="23">
        <v>8.1276097699561499E-4</v>
      </c>
      <c r="O129" s="10" t="str">
        <f>IF(Sales_Data[[#This Row],[Total Profit]]&gt;0,"Profitable","Loss")</f>
        <v>Profitable</v>
      </c>
      <c r="P129" s="10" t="str">
        <f>IF(Sales_Data[[#This Row],[Total Profit]]&gt;100000,"High Value",IF(Sales_Data[[#This Row],[Total Profit]]&gt;60000,"Medium","Low"))</f>
        <v>Low</v>
      </c>
      <c r="Q129" s="11" t="str">
        <f>PROPER(Sales_Data[[#This Row],[Month Name]])</f>
        <v>Maio</v>
      </c>
      <c r="R129" s="11" t="str">
        <f>PROPER(Sales_Data[[#This Row],[Sales Manager]])</f>
        <v>James Brown</v>
      </c>
    </row>
    <row r="130" spans="1:18" hidden="1" x14ac:dyDescent="0.25">
      <c r="A130">
        <v>10129</v>
      </c>
      <c r="B130">
        <v>2019</v>
      </c>
      <c r="C130" t="s">
        <v>70</v>
      </c>
      <c r="D130" s="8">
        <v>43594</v>
      </c>
      <c r="E130" t="s">
        <v>14</v>
      </c>
      <c r="F130" t="s">
        <v>18</v>
      </c>
      <c r="G130" t="s">
        <v>17</v>
      </c>
      <c r="H130" s="9">
        <v>16</v>
      </c>
      <c r="I130" s="9">
        <v>272</v>
      </c>
      <c r="J130" s="10">
        <v>68000</v>
      </c>
      <c r="K130" s="10">
        <v>24480</v>
      </c>
      <c r="L130">
        <v>19</v>
      </c>
      <c r="M130" s="8">
        <v>43556</v>
      </c>
      <c r="N130" s="23">
        <v>3.42533290583835E-4</v>
      </c>
      <c r="O130" s="10" t="str">
        <f>IF(Sales_Data[[#This Row],[Total Profit]]&gt;0,"Profitable","Loss")</f>
        <v>Profitable</v>
      </c>
      <c r="P130" s="10" t="str">
        <f>IF(Sales_Data[[#This Row],[Total Profit]]&gt;100000,"High Value",IF(Sales_Data[[#This Row],[Total Profit]]&gt;60000,"Medium","Low"))</f>
        <v>Low</v>
      </c>
      <c r="Q130" s="11" t="str">
        <f>PROPER(Sales_Data[[#This Row],[Month Name]])</f>
        <v>Maio</v>
      </c>
      <c r="R130" s="11" t="str">
        <f>PROPER(Sales_Data[[#This Row],[Sales Manager]])</f>
        <v>Jane Doe</v>
      </c>
    </row>
    <row r="131" spans="1:18" hidden="1" x14ac:dyDescent="0.25">
      <c r="A131">
        <v>10130</v>
      </c>
      <c r="B131">
        <v>2019</v>
      </c>
      <c r="C131" t="s">
        <v>70</v>
      </c>
      <c r="D131" s="8">
        <v>43595</v>
      </c>
      <c r="E131" t="s">
        <v>22</v>
      </c>
      <c r="F131" t="s">
        <v>16</v>
      </c>
      <c r="G131" t="s">
        <v>13</v>
      </c>
      <c r="H131" s="9">
        <v>25</v>
      </c>
      <c r="I131" s="9">
        <v>500</v>
      </c>
      <c r="J131" s="10">
        <v>375000</v>
      </c>
      <c r="K131" s="10">
        <v>82500</v>
      </c>
      <c r="L131">
        <v>19</v>
      </c>
      <c r="M131" s="8">
        <v>43556</v>
      </c>
      <c r="N131" s="23">
        <v>1.88897035248439E-3</v>
      </c>
      <c r="O131" s="10" t="str">
        <f>IF(Sales_Data[[#This Row],[Total Profit]]&gt;0,"Profitable","Loss")</f>
        <v>Profitable</v>
      </c>
      <c r="P131" s="10" t="str">
        <f>IF(Sales_Data[[#This Row],[Total Profit]]&gt;100000,"High Value",IF(Sales_Data[[#This Row],[Total Profit]]&gt;60000,"Medium","Low"))</f>
        <v>Medium</v>
      </c>
      <c r="Q131" s="11" t="str">
        <f>PROPER(Sales_Data[[#This Row],[Month Name]])</f>
        <v>Maio</v>
      </c>
      <c r="R131" s="11" t="str">
        <f>PROPER(Sales_Data[[#This Row],[Sales Manager]])</f>
        <v>James Brown</v>
      </c>
    </row>
    <row r="132" spans="1:18" hidden="1" x14ac:dyDescent="0.25">
      <c r="A132">
        <v>10131</v>
      </c>
      <c r="B132">
        <v>2019</v>
      </c>
      <c r="C132" t="s">
        <v>70</v>
      </c>
      <c r="D132" s="8">
        <v>43596</v>
      </c>
      <c r="E132" t="s">
        <v>11</v>
      </c>
      <c r="F132" t="s">
        <v>18</v>
      </c>
      <c r="G132" t="s">
        <v>15</v>
      </c>
      <c r="H132" s="9">
        <v>18</v>
      </c>
      <c r="I132" s="9">
        <v>368</v>
      </c>
      <c r="J132" s="10">
        <v>184000</v>
      </c>
      <c r="K132" s="10">
        <v>64399.999999999993</v>
      </c>
      <c r="L132">
        <v>19</v>
      </c>
      <c r="M132" s="8">
        <v>43556</v>
      </c>
      <c r="N132" s="23">
        <v>9.2685478628567195E-4</v>
      </c>
      <c r="O132" s="10" t="str">
        <f>IF(Sales_Data[[#This Row],[Total Profit]]&gt;0,"Profitable","Loss")</f>
        <v>Profitable</v>
      </c>
      <c r="P132" s="10" t="str">
        <f>IF(Sales_Data[[#This Row],[Total Profit]]&gt;100000,"High Value",IF(Sales_Data[[#This Row],[Total Profit]]&gt;60000,"Medium","Low"))</f>
        <v>Medium</v>
      </c>
      <c r="Q132" s="11" t="str">
        <f>PROPER(Sales_Data[[#This Row],[Month Name]])</f>
        <v>Maio</v>
      </c>
      <c r="R132" s="11" t="str">
        <f>PROPER(Sales_Data[[#This Row],[Sales Manager]])</f>
        <v>Jane Doe</v>
      </c>
    </row>
    <row r="133" spans="1:18" hidden="1" x14ac:dyDescent="0.25">
      <c r="A133">
        <v>10132</v>
      </c>
      <c r="B133">
        <v>2019</v>
      </c>
      <c r="C133" t="s">
        <v>70</v>
      </c>
      <c r="D133" s="8">
        <v>43597</v>
      </c>
      <c r="E133" t="s">
        <v>14</v>
      </c>
      <c r="F133" t="s">
        <v>16</v>
      </c>
      <c r="G133" t="s">
        <v>13</v>
      </c>
      <c r="H133" s="9">
        <v>42</v>
      </c>
      <c r="I133" s="9">
        <v>473</v>
      </c>
      <c r="J133" s="10">
        <v>354750</v>
      </c>
      <c r="K133" s="10">
        <v>60307.500000000007</v>
      </c>
      <c r="L133">
        <v>20</v>
      </c>
      <c r="M133" s="8">
        <v>43556</v>
      </c>
      <c r="N133" s="23">
        <v>1.78696595345023E-3</v>
      </c>
      <c r="O133" s="10" t="str">
        <f>IF(Sales_Data[[#This Row],[Total Profit]]&gt;0,"Profitable","Loss")</f>
        <v>Profitable</v>
      </c>
      <c r="P133" s="10" t="str">
        <f>IF(Sales_Data[[#This Row],[Total Profit]]&gt;100000,"High Value",IF(Sales_Data[[#This Row],[Total Profit]]&gt;60000,"Medium","Low"))</f>
        <v>Medium</v>
      </c>
      <c r="Q133" s="11" t="str">
        <f>PROPER(Sales_Data[[#This Row],[Month Name]])</f>
        <v>Maio</v>
      </c>
      <c r="R133" s="11" t="str">
        <f>PROPER(Sales_Data[[#This Row],[Sales Manager]])</f>
        <v>James Brown</v>
      </c>
    </row>
    <row r="134" spans="1:18" hidden="1" x14ac:dyDescent="0.25">
      <c r="A134">
        <v>10133</v>
      </c>
      <c r="B134">
        <v>2019</v>
      </c>
      <c r="C134" t="s">
        <v>70</v>
      </c>
      <c r="D134" s="8">
        <v>43598</v>
      </c>
      <c r="E134" t="s">
        <v>11</v>
      </c>
      <c r="F134" t="s">
        <v>21</v>
      </c>
      <c r="G134" t="s">
        <v>23</v>
      </c>
      <c r="H134" s="9">
        <v>31</v>
      </c>
      <c r="I134" s="9">
        <v>439</v>
      </c>
      <c r="J134" s="10">
        <v>153650</v>
      </c>
      <c r="K134" s="10">
        <v>30730</v>
      </c>
      <c r="L134">
        <v>20</v>
      </c>
      <c r="M134" s="8">
        <v>43556</v>
      </c>
      <c r="N134" s="23">
        <v>7.7397411909126905E-4</v>
      </c>
      <c r="O134" s="10" t="str">
        <f>IF(Sales_Data[[#This Row],[Total Profit]]&gt;0,"Profitable","Loss")</f>
        <v>Profitable</v>
      </c>
      <c r="P134" s="10" t="str">
        <f>IF(Sales_Data[[#This Row],[Total Profit]]&gt;100000,"High Value",IF(Sales_Data[[#This Row],[Total Profit]]&gt;60000,"Medium","Low"))</f>
        <v>Low</v>
      </c>
      <c r="Q134" s="11" t="str">
        <f>PROPER(Sales_Data[[#This Row],[Month Name]])</f>
        <v>Maio</v>
      </c>
      <c r="R134" s="11" t="str">
        <f>PROPER(Sales_Data[[#This Row],[Sales Manager]])</f>
        <v>John Smith</v>
      </c>
    </row>
    <row r="135" spans="1:18" hidden="1" x14ac:dyDescent="0.25">
      <c r="A135">
        <v>10134</v>
      </c>
      <c r="B135">
        <v>2019</v>
      </c>
      <c r="C135" t="s">
        <v>70</v>
      </c>
      <c r="D135" s="8">
        <v>43599</v>
      </c>
      <c r="E135" t="s">
        <v>14</v>
      </c>
      <c r="F135" t="s">
        <v>16</v>
      </c>
      <c r="G135" t="s">
        <v>20</v>
      </c>
      <c r="H135" s="9">
        <v>35</v>
      </c>
      <c r="I135" s="9">
        <v>445</v>
      </c>
      <c r="J135" s="10">
        <v>378250</v>
      </c>
      <c r="K135" s="10">
        <v>121040</v>
      </c>
      <c r="L135">
        <v>20</v>
      </c>
      <c r="M135" s="8">
        <v>43556</v>
      </c>
      <c r="N135" s="23">
        <v>1.9053414288725801E-3</v>
      </c>
      <c r="O135" s="10" t="str">
        <f>IF(Sales_Data[[#This Row],[Total Profit]]&gt;0,"Profitable","Loss")</f>
        <v>Profitable</v>
      </c>
      <c r="P135" s="10" t="str">
        <f>IF(Sales_Data[[#This Row],[Total Profit]]&gt;100000,"High Value",IF(Sales_Data[[#This Row],[Total Profit]]&gt;60000,"Medium","Low"))</f>
        <v>High Value</v>
      </c>
      <c r="Q135" s="11" t="str">
        <f>PROPER(Sales_Data[[#This Row],[Month Name]])</f>
        <v>Maio</v>
      </c>
      <c r="R135" s="11" t="str">
        <f>PROPER(Sales_Data[[#This Row],[Sales Manager]])</f>
        <v>James Brown</v>
      </c>
    </row>
    <row r="136" spans="1:18" hidden="1" x14ac:dyDescent="0.25">
      <c r="A136">
        <v>10135</v>
      </c>
      <c r="B136">
        <v>2019</v>
      </c>
      <c r="C136" t="s">
        <v>70</v>
      </c>
      <c r="D136" s="8">
        <v>43600</v>
      </c>
      <c r="E136" t="s">
        <v>19</v>
      </c>
      <c r="F136" t="s">
        <v>21</v>
      </c>
      <c r="G136" t="s">
        <v>20</v>
      </c>
      <c r="H136" s="9">
        <v>37</v>
      </c>
      <c r="I136" s="9">
        <v>413</v>
      </c>
      <c r="J136" s="10">
        <v>351050</v>
      </c>
      <c r="K136" s="10">
        <v>122867.49999999999</v>
      </c>
      <c r="L136">
        <v>20</v>
      </c>
      <c r="M136" s="8">
        <v>43556</v>
      </c>
      <c r="N136" s="23">
        <v>1.76832811263905E-3</v>
      </c>
      <c r="O136" s="10" t="str">
        <f>IF(Sales_Data[[#This Row],[Total Profit]]&gt;0,"Profitable","Loss")</f>
        <v>Profitable</v>
      </c>
      <c r="P136" s="10" t="str">
        <f>IF(Sales_Data[[#This Row],[Total Profit]]&gt;100000,"High Value",IF(Sales_Data[[#This Row],[Total Profit]]&gt;60000,"Medium","Low"))</f>
        <v>High Value</v>
      </c>
      <c r="Q136" s="11" t="str">
        <f>PROPER(Sales_Data[[#This Row],[Month Name]])</f>
        <v>Maio</v>
      </c>
      <c r="R136" s="11" t="str">
        <f>PROPER(Sales_Data[[#This Row],[Sales Manager]])</f>
        <v>John Smith</v>
      </c>
    </row>
    <row r="137" spans="1:18" hidden="1" x14ac:dyDescent="0.25">
      <c r="A137">
        <v>10136</v>
      </c>
      <c r="B137">
        <v>2019</v>
      </c>
      <c r="C137" t="s">
        <v>70</v>
      </c>
      <c r="D137" s="8">
        <v>43601</v>
      </c>
      <c r="E137" t="s">
        <v>14</v>
      </c>
      <c r="F137" t="s">
        <v>24</v>
      </c>
      <c r="G137" t="s">
        <v>20</v>
      </c>
      <c r="H137" s="9">
        <v>24</v>
      </c>
      <c r="I137" s="9">
        <v>480</v>
      </c>
      <c r="J137" s="10">
        <v>408000</v>
      </c>
      <c r="K137" s="10">
        <v>65280</v>
      </c>
      <c r="L137">
        <v>20</v>
      </c>
      <c r="M137" s="8">
        <v>43556</v>
      </c>
      <c r="N137" s="23">
        <v>2.0551997435030102E-3</v>
      </c>
      <c r="O137" s="10" t="str">
        <f>IF(Sales_Data[[#This Row],[Total Profit]]&gt;0,"Profitable","Loss")</f>
        <v>Profitable</v>
      </c>
      <c r="P137" s="10" t="str">
        <f>IF(Sales_Data[[#This Row],[Total Profit]]&gt;100000,"High Value",IF(Sales_Data[[#This Row],[Total Profit]]&gt;60000,"Medium","Low"))</f>
        <v>Medium</v>
      </c>
      <c r="Q137" s="11" t="str">
        <f>PROPER(Sales_Data[[#This Row],[Month Name]])</f>
        <v>Maio</v>
      </c>
      <c r="R137" s="11" t="str">
        <f>PROPER(Sales_Data[[#This Row],[Sales Manager]])</f>
        <v>Liam Lee</v>
      </c>
    </row>
    <row r="138" spans="1:18" hidden="1" x14ac:dyDescent="0.25">
      <c r="A138">
        <v>10137</v>
      </c>
      <c r="B138">
        <v>2019</v>
      </c>
      <c r="C138" t="s">
        <v>70</v>
      </c>
      <c r="D138" s="8">
        <v>43602</v>
      </c>
      <c r="E138" t="s">
        <v>11</v>
      </c>
      <c r="F138" t="s">
        <v>21</v>
      </c>
      <c r="G138" t="s">
        <v>15</v>
      </c>
      <c r="H138" s="9">
        <v>2</v>
      </c>
      <c r="I138" s="9">
        <v>37</v>
      </c>
      <c r="J138" s="10">
        <v>18500</v>
      </c>
      <c r="K138" s="10">
        <v>4255</v>
      </c>
      <c r="L138">
        <v>20</v>
      </c>
      <c r="M138" s="8">
        <v>43556</v>
      </c>
      <c r="N138" s="23">
        <v>9.3189204055896398E-5</v>
      </c>
      <c r="O138" s="10" t="str">
        <f>IF(Sales_Data[[#This Row],[Total Profit]]&gt;0,"Profitable","Loss")</f>
        <v>Profitable</v>
      </c>
      <c r="P138" s="10" t="str">
        <f>IF(Sales_Data[[#This Row],[Total Profit]]&gt;100000,"High Value",IF(Sales_Data[[#This Row],[Total Profit]]&gt;60000,"Medium","Low"))</f>
        <v>Low</v>
      </c>
      <c r="Q138" s="11" t="str">
        <f>PROPER(Sales_Data[[#This Row],[Month Name]])</f>
        <v>Maio</v>
      </c>
      <c r="R138" s="11" t="str">
        <f>PROPER(Sales_Data[[#This Row],[Sales Manager]])</f>
        <v>John Smith</v>
      </c>
    </row>
    <row r="139" spans="1:18" hidden="1" x14ac:dyDescent="0.25">
      <c r="A139">
        <v>10138</v>
      </c>
      <c r="B139">
        <v>2019</v>
      </c>
      <c r="C139" t="s">
        <v>70</v>
      </c>
      <c r="D139" s="8">
        <v>43603</v>
      </c>
      <c r="E139" t="s">
        <v>14</v>
      </c>
      <c r="F139" t="s">
        <v>21</v>
      </c>
      <c r="G139" t="s">
        <v>20</v>
      </c>
      <c r="H139" s="9">
        <v>5</v>
      </c>
      <c r="I139" s="9">
        <v>255</v>
      </c>
      <c r="J139" s="10">
        <v>216750</v>
      </c>
      <c r="K139" s="10">
        <v>62857.499999999993</v>
      </c>
      <c r="L139">
        <v>20</v>
      </c>
      <c r="M139" s="8">
        <v>43556</v>
      </c>
      <c r="N139" s="23">
        <v>1.09182486373598E-3</v>
      </c>
      <c r="O139" s="10" t="str">
        <f>IF(Sales_Data[[#This Row],[Total Profit]]&gt;0,"Profitable","Loss")</f>
        <v>Profitable</v>
      </c>
      <c r="P139" s="10" t="str">
        <f>IF(Sales_Data[[#This Row],[Total Profit]]&gt;100000,"High Value",IF(Sales_Data[[#This Row],[Total Profit]]&gt;60000,"Medium","Low"))</f>
        <v>Medium</v>
      </c>
      <c r="Q139" s="11" t="str">
        <f>PROPER(Sales_Data[[#This Row],[Month Name]])</f>
        <v>Maio</v>
      </c>
      <c r="R139" s="11" t="str">
        <f>PROPER(Sales_Data[[#This Row],[Sales Manager]])</f>
        <v>John Smith</v>
      </c>
    </row>
    <row r="140" spans="1:18" hidden="1" x14ac:dyDescent="0.25">
      <c r="A140">
        <v>10139</v>
      </c>
      <c r="B140">
        <v>2019</v>
      </c>
      <c r="C140" t="s">
        <v>70</v>
      </c>
      <c r="D140" s="8">
        <v>43604</v>
      </c>
      <c r="E140" t="s">
        <v>25</v>
      </c>
      <c r="F140" t="s">
        <v>16</v>
      </c>
      <c r="G140" t="s">
        <v>17</v>
      </c>
      <c r="H140" s="9">
        <v>29</v>
      </c>
      <c r="I140" s="9">
        <v>345</v>
      </c>
      <c r="J140" s="10">
        <v>86250</v>
      </c>
      <c r="K140" s="10">
        <v>22425</v>
      </c>
      <c r="L140">
        <v>21</v>
      </c>
      <c r="M140" s="8">
        <v>43556</v>
      </c>
      <c r="N140" s="23">
        <v>4.3446318107140901E-4</v>
      </c>
      <c r="O140" s="10" t="str">
        <f>IF(Sales_Data[[#This Row],[Total Profit]]&gt;0,"Profitable","Loss")</f>
        <v>Profitable</v>
      </c>
      <c r="P140" s="10" t="str">
        <f>IF(Sales_Data[[#This Row],[Total Profit]]&gt;100000,"High Value",IF(Sales_Data[[#This Row],[Total Profit]]&gt;60000,"Medium","Low"))</f>
        <v>Low</v>
      </c>
      <c r="Q140" s="11" t="str">
        <f>PROPER(Sales_Data[[#This Row],[Month Name]])</f>
        <v>Maio</v>
      </c>
      <c r="R140" s="11" t="str">
        <f>PROPER(Sales_Data[[#This Row],[Sales Manager]])</f>
        <v>James Brown</v>
      </c>
    </row>
    <row r="141" spans="1:18" hidden="1" x14ac:dyDescent="0.25">
      <c r="A141">
        <v>10140</v>
      </c>
      <c r="B141">
        <v>2019</v>
      </c>
      <c r="C141" t="s">
        <v>70</v>
      </c>
      <c r="D141" s="8">
        <v>43605</v>
      </c>
      <c r="E141" t="s">
        <v>25</v>
      </c>
      <c r="F141" t="s">
        <v>16</v>
      </c>
      <c r="G141" t="s">
        <v>13</v>
      </c>
      <c r="H141" s="9">
        <v>6</v>
      </c>
      <c r="I141" s="9">
        <v>366</v>
      </c>
      <c r="J141" s="10">
        <v>274500</v>
      </c>
      <c r="K141" s="10">
        <v>76860.000000000015</v>
      </c>
      <c r="L141">
        <v>21</v>
      </c>
      <c r="M141" s="8">
        <v>43556</v>
      </c>
      <c r="N141" s="23">
        <v>1.38272629801857E-3</v>
      </c>
      <c r="O141" s="10" t="str">
        <f>IF(Sales_Data[[#This Row],[Total Profit]]&gt;0,"Profitable","Loss")</f>
        <v>Profitable</v>
      </c>
      <c r="P141" s="10" t="str">
        <f>IF(Sales_Data[[#This Row],[Total Profit]]&gt;100000,"High Value",IF(Sales_Data[[#This Row],[Total Profit]]&gt;60000,"Medium","Low"))</f>
        <v>Medium</v>
      </c>
      <c r="Q141" s="11" t="str">
        <f>PROPER(Sales_Data[[#This Row],[Month Name]])</f>
        <v>Maio</v>
      </c>
      <c r="R141" s="11" t="str">
        <f>PROPER(Sales_Data[[#This Row],[Sales Manager]])</f>
        <v>James Brown</v>
      </c>
    </row>
    <row r="142" spans="1:18" hidden="1" x14ac:dyDescent="0.25">
      <c r="A142">
        <v>10141</v>
      </c>
      <c r="B142">
        <v>2019</v>
      </c>
      <c r="C142" t="s">
        <v>70</v>
      </c>
      <c r="D142" s="8">
        <v>43606</v>
      </c>
      <c r="E142" t="s">
        <v>25</v>
      </c>
      <c r="F142" t="s">
        <v>12</v>
      </c>
      <c r="G142" t="s">
        <v>15</v>
      </c>
      <c r="H142" s="9">
        <v>11</v>
      </c>
      <c r="I142" s="9">
        <v>259</v>
      </c>
      <c r="J142" s="10">
        <v>129500</v>
      </c>
      <c r="K142" s="10">
        <v>36260</v>
      </c>
      <c r="L142">
        <v>21</v>
      </c>
      <c r="M142" s="8">
        <v>43556</v>
      </c>
      <c r="N142" s="23">
        <v>6.5232442839127495E-4</v>
      </c>
      <c r="O142" s="10" t="str">
        <f>IF(Sales_Data[[#This Row],[Total Profit]]&gt;0,"Profitable","Loss")</f>
        <v>Profitable</v>
      </c>
      <c r="P142" s="10" t="str">
        <f>IF(Sales_Data[[#This Row],[Total Profit]]&gt;100000,"High Value",IF(Sales_Data[[#This Row],[Total Profit]]&gt;60000,"Medium","Low"))</f>
        <v>Low</v>
      </c>
      <c r="Q142" s="11" t="str">
        <f>PROPER(Sales_Data[[#This Row],[Month Name]])</f>
        <v>Maio</v>
      </c>
      <c r="R142" s="11" t="str">
        <f>PROPER(Sales_Data[[#This Row],[Sales Manager]])</f>
        <v>Emily White</v>
      </c>
    </row>
    <row r="143" spans="1:18" hidden="1" x14ac:dyDescent="0.25">
      <c r="A143">
        <v>10142</v>
      </c>
      <c r="B143">
        <v>2019</v>
      </c>
      <c r="C143" t="s">
        <v>70</v>
      </c>
      <c r="D143" s="8">
        <v>43607</v>
      </c>
      <c r="E143" t="s">
        <v>14</v>
      </c>
      <c r="F143" t="s">
        <v>16</v>
      </c>
      <c r="G143" t="s">
        <v>15</v>
      </c>
      <c r="H143" s="9">
        <v>12</v>
      </c>
      <c r="I143" s="9">
        <v>337</v>
      </c>
      <c r="J143" s="10">
        <v>168500</v>
      </c>
      <c r="K143" s="10">
        <v>50550</v>
      </c>
      <c r="L143">
        <v>21</v>
      </c>
      <c r="M143" s="8">
        <v>43556</v>
      </c>
      <c r="N143" s="23">
        <v>8.4877734504965096E-4</v>
      </c>
      <c r="O143" s="10" t="str">
        <f>IF(Sales_Data[[#This Row],[Total Profit]]&gt;0,"Profitable","Loss")</f>
        <v>Profitable</v>
      </c>
      <c r="P143" s="10" t="str">
        <f>IF(Sales_Data[[#This Row],[Total Profit]]&gt;100000,"High Value",IF(Sales_Data[[#This Row],[Total Profit]]&gt;60000,"Medium","Low"))</f>
        <v>Low</v>
      </c>
      <c r="Q143" s="11" t="str">
        <f>PROPER(Sales_Data[[#This Row],[Month Name]])</f>
        <v>Maio</v>
      </c>
      <c r="R143" s="11" t="str">
        <f>PROPER(Sales_Data[[#This Row],[Sales Manager]])</f>
        <v>James Brown</v>
      </c>
    </row>
    <row r="144" spans="1:18" hidden="1" x14ac:dyDescent="0.25">
      <c r="A144">
        <v>10143</v>
      </c>
      <c r="B144">
        <v>2019</v>
      </c>
      <c r="C144" t="s">
        <v>70</v>
      </c>
      <c r="D144" s="8">
        <v>43608</v>
      </c>
      <c r="E144" t="s">
        <v>22</v>
      </c>
      <c r="F144" t="s">
        <v>16</v>
      </c>
      <c r="G144" t="s">
        <v>17</v>
      </c>
      <c r="H144" s="9">
        <v>7</v>
      </c>
      <c r="I144" s="9">
        <v>222</v>
      </c>
      <c r="J144" s="10">
        <v>55500</v>
      </c>
      <c r="K144" s="10">
        <v>8325</v>
      </c>
      <c r="L144">
        <v>21</v>
      </c>
      <c r="M144" s="8">
        <v>43556</v>
      </c>
      <c r="N144" s="23">
        <v>2.7956761216768898E-4</v>
      </c>
      <c r="O144" s="10" t="str">
        <f>IF(Sales_Data[[#This Row],[Total Profit]]&gt;0,"Profitable","Loss")</f>
        <v>Profitable</v>
      </c>
      <c r="P144" s="10" t="str">
        <f>IF(Sales_Data[[#This Row],[Total Profit]]&gt;100000,"High Value",IF(Sales_Data[[#This Row],[Total Profit]]&gt;60000,"Medium","Low"))</f>
        <v>Low</v>
      </c>
      <c r="Q144" s="11" t="str">
        <f>PROPER(Sales_Data[[#This Row],[Month Name]])</f>
        <v>Maio</v>
      </c>
      <c r="R144" s="11" t="str">
        <f>PROPER(Sales_Data[[#This Row],[Sales Manager]])</f>
        <v>James Brown</v>
      </c>
    </row>
    <row r="145" spans="1:18" hidden="1" x14ac:dyDescent="0.25">
      <c r="A145">
        <v>10144</v>
      </c>
      <c r="B145">
        <v>2019</v>
      </c>
      <c r="C145" t="s">
        <v>70</v>
      </c>
      <c r="D145" s="8">
        <v>43609</v>
      </c>
      <c r="E145" t="s">
        <v>11</v>
      </c>
      <c r="F145" t="s">
        <v>18</v>
      </c>
      <c r="G145" t="s">
        <v>13</v>
      </c>
      <c r="H145" s="9">
        <v>5</v>
      </c>
      <c r="I145" s="9">
        <v>201</v>
      </c>
      <c r="J145" s="10">
        <v>150750</v>
      </c>
      <c r="K145" s="10">
        <v>36180</v>
      </c>
      <c r="L145">
        <v>21</v>
      </c>
      <c r="M145" s="8">
        <v>43556</v>
      </c>
      <c r="N145" s="23">
        <v>7.5936608169872302E-4</v>
      </c>
      <c r="O145" s="10" t="str">
        <f>IF(Sales_Data[[#This Row],[Total Profit]]&gt;0,"Profitable","Loss")</f>
        <v>Profitable</v>
      </c>
      <c r="P145" s="10" t="str">
        <f>IF(Sales_Data[[#This Row],[Total Profit]]&gt;100000,"High Value",IF(Sales_Data[[#This Row],[Total Profit]]&gt;60000,"Medium","Low"))</f>
        <v>Low</v>
      </c>
      <c r="Q145" s="11" t="str">
        <f>PROPER(Sales_Data[[#This Row],[Month Name]])</f>
        <v>Maio</v>
      </c>
      <c r="R145" s="11" t="str">
        <f>PROPER(Sales_Data[[#This Row],[Sales Manager]])</f>
        <v>Jane Doe</v>
      </c>
    </row>
    <row r="146" spans="1:18" hidden="1" x14ac:dyDescent="0.25">
      <c r="A146">
        <v>10145</v>
      </c>
      <c r="B146">
        <v>2019</v>
      </c>
      <c r="C146" t="s">
        <v>70</v>
      </c>
      <c r="D146" s="8">
        <v>43610</v>
      </c>
      <c r="E146" t="s">
        <v>19</v>
      </c>
      <c r="F146" t="s">
        <v>16</v>
      </c>
      <c r="G146" t="s">
        <v>17</v>
      </c>
      <c r="H146" s="9">
        <v>16</v>
      </c>
      <c r="I146" s="9">
        <v>375</v>
      </c>
      <c r="J146" s="10">
        <v>93750</v>
      </c>
      <c r="K146" s="10">
        <v>36562.5</v>
      </c>
      <c r="L146">
        <v>21</v>
      </c>
      <c r="M146" s="8">
        <v>43556</v>
      </c>
      <c r="N146" s="23">
        <v>4.7224258812109701E-4</v>
      </c>
      <c r="O146" s="10" t="str">
        <f>IF(Sales_Data[[#This Row],[Total Profit]]&gt;0,"Profitable","Loss")</f>
        <v>Profitable</v>
      </c>
      <c r="P146" s="10" t="str">
        <f>IF(Sales_Data[[#This Row],[Total Profit]]&gt;100000,"High Value",IF(Sales_Data[[#This Row],[Total Profit]]&gt;60000,"Medium","Low"))</f>
        <v>Low</v>
      </c>
      <c r="Q146" s="11" t="str">
        <f>PROPER(Sales_Data[[#This Row],[Month Name]])</f>
        <v>Maio</v>
      </c>
      <c r="R146" s="11" t="str">
        <f>PROPER(Sales_Data[[#This Row],[Sales Manager]])</f>
        <v>James Brown</v>
      </c>
    </row>
    <row r="147" spans="1:18" hidden="1" x14ac:dyDescent="0.25">
      <c r="A147">
        <v>10146</v>
      </c>
      <c r="B147">
        <v>2019</v>
      </c>
      <c r="C147" t="s">
        <v>70</v>
      </c>
      <c r="D147" s="8">
        <v>43611</v>
      </c>
      <c r="E147" t="s">
        <v>25</v>
      </c>
      <c r="F147" t="s">
        <v>24</v>
      </c>
      <c r="G147" t="s">
        <v>20</v>
      </c>
      <c r="H147" s="9">
        <v>10</v>
      </c>
      <c r="I147" s="9">
        <v>337</v>
      </c>
      <c r="J147" s="10">
        <v>286450</v>
      </c>
      <c r="K147" s="10">
        <v>60154.5</v>
      </c>
      <c r="L147">
        <v>22</v>
      </c>
      <c r="M147" s="8">
        <v>43556</v>
      </c>
      <c r="N147" s="23">
        <v>1.4429214865844099E-3</v>
      </c>
      <c r="O147" s="10" t="str">
        <f>IF(Sales_Data[[#This Row],[Total Profit]]&gt;0,"Profitable","Loss")</f>
        <v>Profitable</v>
      </c>
      <c r="P147" s="10" t="str">
        <f>IF(Sales_Data[[#This Row],[Total Profit]]&gt;100000,"High Value",IF(Sales_Data[[#This Row],[Total Profit]]&gt;60000,"Medium","Low"))</f>
        <v>Medium</v>
      </c>
      <c r="Q147" s="11" t="str">
        <f>PROPER(Sales_Data[[#This Row],[Month Name]])</f>
        <v>Maio</v>
      </c>
      <c r="R147" s="11" t="str">
        <f>PROPER(Sales_Data[[#This Row],[Sales Manager]])</f>
        <v>Liam Lee</v>
      </c>
    </row>
    <row r="148" spans="1:18" hidden="1" x14ac:dyDescent="0.25">
      <c r="A148">
        <v>10147</v>
      </c>
      <c r="B148">
        <v>2019</v>
      </c>
      <c r="C148" t="s">
        <v>70</v>
      </c>
      <c r="D148" s="8">
        <v>43612</v>
      </c>
      <c r="E148" t="s">
        <v>25</v>
      </c>
      <c r="F148" t="s">
        <v>21</v>
      </c>
      <c r="G148" t="s">
        <v>20</v>
      </c>
      <c r="H148" s="9">
        <v>22</v>
      </c>
      <c r="I148" s="9">
        <v>285</v>
      </c>
      <c r="J148" s="10">
        <v>242250</v>
      </c>
      <c r="K148" s="10">
        <v>99322.5</v>
      </c>
      <c r="L148">
        <v>22</v>
      </c>
      <c r="M148" s="8">
        <v>43556</v>
      </c>
      <c r="N148" s="23">
        <v>1.2202748477049101E-3</v>
      </c>
      <c r="O148" s="10" t="str">
        <f>IF(Sales_Data[[#This Row],[Total Profit]]&gt;0,"Profitable","Loss")</f>
        <v>Profitable</v>
      </c>
      <c r="P148" s="10" t="str">
        <f>IF(Sales_Data[[#This Row],[Total Profit]]&gt;100000,"High Value",IF(Sales_Data[[#This Row],[Total Profit]]&gt;60000,"Medium","Low"))</f>
        <v>Medium</v>
      </c>
      <c r="Q148" s="11" t="str">
        <f>PROPER(Sales_Data[[#This Row],[Month Name]])</f>
        <v>Maio</v>
      </c>
      <c r="R148" s="11" t="str">
        <f>PROPER(Sales_Data[[#This Row],[Sales Manager]])</f>
        <v>John Smith</v>
      </c>
    </row>
    <row r="149" spans="1:18" hidden="1" x14ac:dyDescent="0.25">
      <c r="A149">
        <v>10148</v>
      </c>
      <c r="B149">
        <v>2019</v>
      </c>
      <c r="C149" t="s">
        <v>70</v>
      </c>
      <c r="D149" s="8">
        <v>43613</v>
      </c>
      <c r="E149" t="s">
        <v>14</v>
      </c>
      <c r="F149" t="s">
        <v>16</v>
      </c>
      <c r="G149" t="s">
        <v>20</v>
      </c>
      <c r="H149" s="9">
        <v>10</v>
      </c>
      <c r="I149" s="9">
        <v>104</v>
      </c>
      <c r="J149" s="10">
        <v>88400</v>
      </c>
      <c r="K149" s="10">
        <v>20332</v>
      </c>
      <c r="L149">
        <v>22</v>
      </c>
      <c r="M149" s="8">
        <v>43556</v>
      </c>
      <c r="N149" s="23">
        <v>4.4529327775898598E-4</v>
      </c>
      <c r="O149" s="10" t="str">
        <f>IF(Sales_Data[[#This Row],[Total Profit]]&gt;0,"Profitable","Loss")</f>
        <v>Profitable</v>
      </c>
      <c r="P149" s="10" t="str">
        <f>IF(Sales_Data[[#This Row],[Total Profit]]&gt;100000,"High Value",IF(Sales_Data[[#This Row],[Total Profit]]&gt;60000,"Medium","Low"))</f>
        <v>Low</v>
      </c>
      <c r="Q149" s="11" t="str">
        <f>PROPER(Sales_Data[[#This Row],[Month Name]])</f>
        <v>Maio</v>
      </c>
      <c r="R149" s="11" t="str">
        <f>PROPER(Sales_Data[[#This Row],[Sales Manager]])</f>
        <v>James Brown</v>
      </c>
    </row>
    <row r="150" spans="1:18" hidden="1" x14ac:dyDescent="0.25">
      <c r="A150">
        <v>10149</v>
      </c>
      <c r="B150">
        <v>2019</v>
      </c>
      <c r="C150" t="s">
        <v>70</v>
      </c>
      <c r="D150" s="8">
        <v>43614</v>
      </c>
      <c r="E150" t="s">
        <v>22</v>
      </c>
      <c r="F150" t="s">
        <v>24</v>
      </c>
      <c r="G150" t="s">
        <v>23</v>
      </c>
      <c r="H150" s="9">
        <v>11</v>
      </c>
      <c r="I150" s="9">
        <v>247</v>
      </c>
      <c r="J150" s="10">
        <v>86450</v>
      </c>
      <c r="K150" s="10">
        <v>17290</v>
      </c>
      <c r="L150">
        <v>22</v>
      </c>
      <c r="M150" s="8">
        <v>43556</v>
      </c>
      <c r="N150" s="23">
        <v>4.3547063192606701E-4</v>
      </c>
      <c r="O150" s="10" t="str">
        <f>IF(Sales_Data[[#This Row],[Total Profit]]&gt;0,"Profitable","Loss")</f>
        <v>Profitable</v>
      </c>
      <c r="P150" s="10" t="str">
        <f>IF(Sales_Data[[#This Row],[Total Profit]]&gt;100000,"High Value",IF(Sales_Data[[#This Row],[Total Profit]]&gt;60000,"Medium","Low"))</f>
        <v>Low</v>
      </c>
      <c r="Q150" s="11" t="str">
        <f>PROPER(Sales_Data[[#This Row],[Month Name]])</f>
        <v>Maio</v>
      </c>
      <c r="R150" s="11" t="str">
        <f>PROPER(Sales_Data[[#This Row],[Sales Manager]])</f>
        <v>Liam Lee</v>
      </c>
    </row>
    <row r="151" spans="1:18" hidden="1" x14ac:dyDescent="0.25">
      <c r="A151">
        <v>10150</v>
      </c>
      <c r="B151">
        <v>2019</v>
      </c>
      <c r="C151" t="s">
        <v>70</v>
      </c>
      <c r="D151" s="8">
        <v>43615</v>
      </c>
      <c r="E151" t="s">
        <v>22</v>
      </c>
      <c r="F151" t="s">
        <v>18</v>
      </c>
      <c r="G151" t="s">
        <v>23</v>
      </c>
      <c r="H151" s="9">
        <v>11</v>
      </c>
      <c r="I151" s="9">
        <v>190</v>
      </c>
      <c r="J151" s="10">
        <v>66500</v>
      </c>
      <c r="K151" s="10">
        <v>25935</v>
      </c>
      <c r="L151">
        <v>22</v>
      </c>
      <c r="M151" s="8">
        <v>43556</v>
      </c>
      <c r="N151" s="23">
        <v>3.3497740917389803E-4</v>
      </c>
      <c r="O151" s="10" t="str">
        <f>IF(Sales_Data[[#This Row],[Total Profit]]&gt;0,"Profitable","Loss")</f>
        <v>Profitable</v>
      </c>
      <c r="P151" s="10" t="str">
        <f>IF(Sales_Data[[#This Row],[Total Profit]]&gt;100000,"High Value",IF(Sales_Data[[#This Row],[Total Profit]]&gt;60000,"Medium","Low"))</f>
        <v>Low</v>
      </c>
      <c r="Q151" s="11" t="str">
        <f>PROPER(Sales_Data[[#This Row],[Month Name]])</f>
        <v>Maio</v>
      </c>
      <c r="R151" s="11" t="str">
        <f>PROPER(Sales_Data[[#This Row],[Sales Manager]])</f>
        <v>Jane Doe</v>
      </c>
    </row>
    <row r="152" spans="1:18" hidden="1" x14ac:dyDescent="0.25">
      <c r="A152">
        <v>10151</v>
      </c>
      <c r="B152">
        <v>2019</v>
      </c>
      <c r="C152" t="s">
        <v>70</v>
      </c>
      <c r="D152" s="8">
        <v>43616</v>
      </c>
      <c r="E152" t="s">
        <v>14</v>
      </c>
      <c r="F152" t="s">
        <v>12</v>
      </c>
      <c r="G152" t="s">
        <v>15</v>
      </c>
      <c r="H152" s="9">
        <v>10</v>
      </c>
      <c r="I152" s="9">
        <v>249</v>
      </c>
      <c r="J152" s="10">
        <v>124500</v>
      </c>
      <c r="K152" s="10">
        <v>36105</v>
      </c>
      <c r="L152">
        <v>22</v>
      </c>
      <c r="M152" s="8">
        <v>43556</v>
      </c>
      <c r="N152" s="23">
        <v>6.2713815702481596E-4</v>
      </c>
      <c r="O152" s="10" t="str">
        <f>IF(Sales_Data[[#This Row],[Total Profit]]&gt;0,"Profitable","Loss")</f>
        <v>Profitable</v>
      </c>
      <c r="P152" s="10" t="str">
        <f>IF(Sales_Data[[#This Row],[Total Profit]]&gt;100000,"High Value",IF(Sales_Data[[#This Row],[Total Profit]]&gt;60000,"Medium","Low"))</f>
        <v>Low</v>
      </c>
      <c r="Q152" s="11" t="str">
        <f>PROPER(Sales_Data[[#This Row],[Month Name]])</f>
        <v>Maio</v>
      </c>
      <c r="R152" s="11" t="str">
        <f>PROPER(Sales_Data[[#This Row],[Sales Manager]])</f>
        <v>Emily White</v>
      </c>
    </row>
    <row r="153" spans="1:18" hidden="1" x14ac:dyDescent="0.25">
      <c r="A153">
        <v>10152</v>
      </c>
      <c r="B153">
        <v>2019</v>
      </c>
      <c r="C153" t="s">
        <v>71</v>
      </c>
      <c r="D153" s="8">
        <v>43617</v>
      </c>
      <c r="E153" t="s">
        <v>19</v>
      </c>
      <c r="F153" t="s">
        <v>16</v>
      </c>
      <c r="G153" t="s">
        <v>23</v>
      </c>
      <c r="H153" s="9">
        <v>5</v>
      </c>
      <c r="I153" s="9">
        <v>63</v>
      </c>
      <c r="J153" s="10">
        <v>22050</v>
      </c>
      <c r="K153" s="10">
        <v>9040.5</v>
      </c>
      <c r="L153">
        <v>22</v>
      </c>
      <c r="M153" s="8">
        <v>43556</v>
      </c>
      <c r="N153" s="23">
        <v>1.11071456726082E-4</v>
      </c>
      <c r="O153" s="10" t="str">
        <f>IF(Sales_Data[[#This Row],[Total Profit]]&gt;0,"Profitable","Loss")</f>
        <v>Profitable</v>
      </c>
      <c r="P153" s="10" t="str">
        <f>IF(Sales_Data[[#This Row],[Total Profit]]&gt;100000,"High Value",IF(Sales_Data[[#This Row],[Total Profit]]&gt;60000,"Medium","Low"))</f>
        <v>Low</v>
      </c>
      <c r="Q153" s="11" t="str">
        <f>PROPER(Sales_Data[[#This Row],[Month Name]])</f>
        <v>Junho</v>
      </c>
      <c r="R153" s="11" t="str">
        <f>PROPER(Sales_Data[[#This Row],[Sales Manager]])</f>
        <v>James Brown</v>
      </c>
    </row>
    <row r="154" spans="1:18" hidden="1" x14ac:dyDescent="0.25">
      <c r="A154">
        <v>10153</v>
      </c>
      <c r="B154">
        <v>2019</v>
      </c>
      <c r="C154" t="s">
        <v>71</v>
      </c>
      <c r="D154" s="8">
        <v>43618</v>
      </c>
      <c r="E154" t="s">
        <v>19</v>
      </c>
      <c r="F154" t="s">
        <v>16</v>
      </c>
      <c r="G154" t="s">
        <v>13</v>
      </c>
      <c r="H154" s="9">
        <v>18</v>
      </c>
      <c r="I154" s="9">
        <v>484</v>
      </c>
      <c r="J154" s="10">
        <v>363000</v>
      </c>
      <c r="K154" s="10">
        <v>72600</v>
      </c>
      <c r="L154">
        <v>23</v>
      </c>
      <c r="M154" s="8">
        <v>43556</v>
      </c>
      <c r="N154" s="23">
        <v>1.8285233012048901E-3</v>
      </c>
      <c r="O154" s="10" t="str">
        <f>IF(Sales_Data[[#This Row],[Total Profit]]&gt;0,"Profitable","Loss")</f>
        <v>Profitable</v>
      </c>
      <c r="P154" s="10" t="str">
        <f>IF(Sales_Data[[#This Row],[Total Profit]]&gt;100000,"High Value",IF(Sales_Data[[#This Row],[Total Profit]]&gt;60000,"Medium","Low"))</f>
        <v>Medium</v>
      </c>
      <c r="Q154" s="11" t="str">
        <f>PROPER(Sales_Data[[#This Row],[Month Name]])</f>
        <v>Junho</v>
      </c>
      <c r="R154" s="11" t="str">
        <f>PROPER(Sales_Data[[#This Row],[Sales Manager]])</f>
        <v>James Brown</v>
      </c>
    </row>
    <row r="155" spans="1:18" hidden="1" x14ac:dyDescent="0.25">
      <c r="A155">
        <v>10154</v>
      </c>
      <c r="B155">
        <v>2019</v>
      </c>
      <c r="C155" t="s">
        <v>71</v>
      </c>
      <c r="D155" s="8">
        <v>43619</v>
      </c>
      <c r="E155" t="s">
        <v>22</v>
      </c>
      <c r="F155" t="s">
        <v>12</v>
      </c>
      <c r="G155" t="s">
        <v>13</v>
      </c>
      <c r="H155" s="9">
        <v>4</v>
      </c>
      <c r="I155" s="9">
        <v>352</v>
      </c>
      <c r="J155" s="10">
        <v>264000</v>
      </c>
      <c r="K155" s="10">
        <v>36960</v>
      </c>
      <c r="L155">
        <v>23</v>
      </c>
      <c r="M155" s="8">
        <v>43556</v>
      </c>
      <c r="N155" s="23">
        <v>1.32983512814901E-3</v>
      </c>
      <c r="O155" s="10" t="str">
        <f>IF(Sales_Data[[#This Row],[Total Profit]]&gt;0,"Profitable","Loss")</f>
        <v>Profitable</v>
      </c>
      <c r="P155" s="10" t="str">
        <f>IF(Sales_Data[[#This Row],[Total Profit]]&gt;100000,"High Value",IF(Sales_Data[[#This Row],[Total Profit]]&gt;60000,"Medium","Low"))</f>
        <v>Low</v>
      </c>
      <c r="Q155" s="11" t="str">
        <f>PROPER(Sales_Data[[#This Row],[Month Name]])</f>
        <v>Junho</v>
      </c>
      <c r="R155" s="11" t="str">
        <f>PROPER(Sales_Data[[#This Row],[Sales Manager]])</f>
        <v>Emily White</v>
      </c>
    </row>
    <row r="156" spans="1:18" hidden="1" x14ac:dyDescent="0.25">
      <c r="A156">
        <v>10155</v>
      </c>
      <c r="B156">
        <v>2019</v>
      </c>
      <c r="C156" t="s">
        <v>71</v>
      </c>
      <c r="D156" s="8">
        <v>43620</v>
      </c>
      <c r="E156" t="s">
        <v>14</v>
      </c>
      <c r="F156" t="s">
        <v>12</v>
      </c>
      <c r="G156" t="s">
        <v>23</v>
      </c>
      <c r="H156" s="9">
        <v>8</v>
      </c>
      <c r="I156" s="9">
        <v>241</v>
      </c>
      <c r="J156" s="10">
        <v>84350</v>
      </c>
      <c r="K156" s="10">
        <v>9278.5</v>
      </c>
      <c r="L156">
        <v>23</v>
      </c>
      <c r="M156" s="8">
        <v>43556</v>
      </c>
      <c r="N156" s="23">
        <v>4.2489239795215502E-4</v>
      </c>
      <c r="O156" s="10" t="str">
        <f>IF(Sales_Data[[#This Row],[Total Profit]]&gt;0,"Profitable","Loss")</f>
        <v>Profitable</v>
      </c>
      <c r="P156" s="10" t="str">
        <f>IF(Sales_Data[[#This Row],[Total Profit]]&gt;100000,"High Value",IF(Sales_Data[[#This Row],[Total Profit]]&gt;60000,"Medium","Low"))</f>
        <v>Low</v>
      </c>
      <c r="Q156" s="11" t="str">
        <f>PROPER(Sales_Data[[#This Row],[Month Name]])</f>
        <v>Junho</v>
      </c>
      <c r="R156" s="11" t="str">
        <f>PROPER(Sales_Data[[#This Row],[Sales Manager]])</f>
        <v>Emily White</v>
      </c>
    </row>
    <row r="157" spans="1:18" hidden="1" x14ac:dyDescent="0.25">
      <c r="A157">
        <v>10156</v>
      </c>
      <c r="B157">
        <v>2019</v>
      </c>
      <c r="C157" t="s">
        <v>71</v>
      </c>
      <c r="D157" s="8">
        <v>43621</v>
      </c>
      <c r="E157" t="s">
        <v>14</v>
      </c>
      <c r="F157" t="s">
        <v>21</v>
      </c>
      <c r="G157" t="s">
        <v>13</v>
      </c>
      <c r="H157" s="9">
        <v>34</v>
      </c>
      <c r="I157" s="9">
        <v>431</v>
      </c>
      <c r="J157" s="10">
        <v>323250</v>
      </c>
      <c r="K157" s="10">
        <v>93742.5</v>
      </c>
      <c r="L157">
        <v>23</v>
      </c>
      <c r="M157" s="8">
        <v>43556</v>
      </c>
      <c r="N157" s="23">
        <v>1.6282924438415401E-3</v>
      </c>
      <c r="O157" s="10" t="str">
        <f>IF(Sales_Data[[#This Row],[Total Profit]]&gt;0,"Profitable","Loss")</f>
        <v>Profitable</v>
      </c>
      <c r="P157" s="10" t="str">
        <f>IF(Sales_Data[[#This Row],[Total Profit]]&gt;100000,"High Value",IF(Sales_Data[[#This Row],[Total Profit]]&gt;60000,"Medium","Low"))</f>
        <v>Medium</v>
      </c>
      <c r="Q157" s="11" t="str">
        <f>PROPER(Sales_Data[[#This Row],[Month Name]])</f>
        <v>Junho</v>
      </c>
      <c r="R157" s="11" t="str">
        <f>PROPER(Sales_Data[[#This Row],[Sales Manager]])</f>
        <v>John Smith</v>
      </c>
    </row>
    <row r="158" spans="1:18" hidden="1" x14ac:dyDescent="0.25">
      <c r="A158">
        <v>10157</v>
      </c>
      <c r="B158">
        <v>2019</v>
      </c>
      <c r="C158" t="s">
        <v>71</v>
      </c>
      <c r="D158" s="8">
        <v>43622</v>
      </c>
      <c r="E158" t="s">
        <v>11</v>
      </c>
      <c r="F158" t="s">
        <v>16</v>
      </c>
      <c r="G158" t="s">
        <v>13</v>
      </c>
      <c r="H158" s="9">
        <v>5</v>
      </c>
      <c r="I158" s="9">
        <v>64</v>
      </c>
      <c r="J158" s="10">
        <v>48000</v>
      </c>
      <c r="K158" s="10">
        <v>11040</v>
      </c>
      <c r="L158">
        <v>23</v>
      </c>
      <c r="M158" s="8">
        <v>43556</v>
      </c>
      <c r="N158" s="23">
        <v>2.41788205118001E-4</v>
      </c>
      <c r="O158" s="10" t="str">
        <f>IF(Sales_Data[[#This Row],[Total Profit]]&gt;0,"Profitable","Loss")</f>
        <v>Profitable</v>
      </c>
      <c r="P158" s="10" t="str">
        <f>IF(Sales_Data[[#This Row],[Total Profit]]&gt;100000,"High Value",IF(Sales_Data[[#This Row],[Total Profit]]&gt;60000,"Medium","Low"))</f>
        <v>Low</v>
      </c>
      <c r="Q158" s="11" t="str">
        <f>PROPER(Sales_Data[[#This Row],[Month Name]])</f>
        <v>Junho</v>
      </c>
      <c r="R158" s="11" t="str">
        <f>PROPER(Sales_Data[[#This Row],[Sales Manager]])</f>
        <v>James Brown</v>
      </c>
    </row>
    <row r="159" spans="1:18" hidden="1" x14ac:dyDescent="0.25">
      <c r="A159">
        <v>10158</v>
      </c>
      <c r="B159">
        <v>2019</v>
      </c>
      <c r="C159" t="s">
        <v>71</v>
      </c>
      <c r="D159" s="8">
        <v>43623</v>
      </c>
      <c r="E159" t="s">
        <v>19</v>
      </c>
      <c r="F159" t="s">
        <v>24</v>
      </c>
      <c r="G159" t="s">
        <v>13</v>
      </c>
      <c r="H159" s="9">
        <v>5</v>
      </c>
      <c r="I159" s="9">
        <v>53</v>
      </c>
      <c r="J159" s="10">
        <v>39750</v>
      </c>
      <c r="K159" s="10">
        <v>5565.0000000000009</v>
      </c>
      <c r="L159">
        <v>23</v>
      </c>
      <c r="M159" s="8">
        <v>43556</v>
      </c>
      <c r="N159" s="23">
        <v>2.00230857363345E-4</v>
      </c>
      <c r="O159" s="10" t="str">
        <f>IF(Sales_Data[[#This Row],[Total Profit]]&gt;0,"Profitable","Loss")</f>
        <v>Profitable</v>
      </c>
      <c r="P159" s="10" t="str">
        <f>IF(Sales_Data[[#This Row],[Total Profit]]&gt;100000,"High Value",IF(Sales_Data[[#This Row],[Total Profit]]&gt;60000,"Medium","Low"))</f>
        <v>Low</v>
      </c>
      <c r="Q159" s="11" t="str">
        <f>PROPER(Sales_Data[[#This Row],[Month Name]])</f>
        <v>Junho</v>
      </c>
      <c r="R159" s="11" t="str">
        <f>PROPER(Sales_Data[[#This Row],[Sales Manager]])</f>
        <v>Liam Lee</v>
      </c>
    </row>
    <row r="160" spans="1:18" hidden="1" x14ac:dyDescent="0.25">
      <c r="A160">
        <v>10159</v>
      </c>
      <c r="B160">
        <v>2019</v>
      </c>
      <c r="C160" t="s">
        <v>71</v>
      </c>
      <c r="D160" s="8">
        <v>43624</v>
      </c>
      <c r="E160" t="s">
        <v>22</v>
      </c>
      <c r="F160" t="s">
        <v>16</v>
      </c>
      <c r="G160" t="s">
        <v>15</v>
      </c>
      <c r="H160" s="9">
        <v>1</v>
      </c>
      <c r="I160" s="9">
        <v>23</v>
      </c>
      <c r="J160" s="10">
        <v>11500</v>
      </c>
      <c r="K160" s="10">
        <v>3220.0000000000005</v>
      </c>
      <c r="L160">
        <v>23</v>
      </c>
      <c r="M160" s="8">
        <v>43556</v>
      </c>
      <c r="N160" s="23">
        <v>5.7928424142854497E-5</v>
      </c>
      <c r="O160" s="10" t="str">
        <f>IF(Sales_Data[[#This Row],[Total Profit]]&gt;0,"Profitable","Loss")</f>
        <v>Profitable</v>
      </c>
      <c r="P160" s="10" t="str">
        <f>IF(Sales_Data[[#This Row],[Total Profit]]&gt;100000,"High Value",IF(Sales_Data[[#This Row],[Total Profit]]&gt;60000,"Medium","Low"))</f>
        <v>Low</v>
      </c>
      <c r="Q160" s="11" t="str">
        <f>PROPER(Sales_Data[[#This Row],[Month Name]])</f>
        <v>Junho</v>
      </c>
      <c r="R160" s="11" t="str">
        <f>PROPER(Sales_Data[[#This Row],[Sales Manager]])</f>
        <v>James Brown</v>
      </c>
    </row>
    <row r="161" spans="1:18" hidden="1" x14ac:dyDescent="0.25">
      <c r="A161">
        <v>10160</v>
      </c>
      <c r="B161">
        <v>2019</v>
      </c>
      <c r="C161" t="s">
        <v>71</v>
      </c>
      <c r="D161" s="8">
        <v>43625</v>
      </c>
      <c r="E161" t="s">
        <v>25</v>
      </c>
      <c r="F161" t="s">
        <v>12</v>
      </c>
      <c r="G161" t="s">
        <v>23</v>
      </c>
      <c r="H161" s="9">
        <v>1</v>
      </c>
      <c r="I161" s="9">
        <v>27</v>
      </c>
      <c r="J161" s="10">
        <v>9450</v>
      </c>
      <c r="K161" s="10">
        <v>4063.5</v>
      </c>
      <c r="L161">
        <v>24</v>
      </c>
      <c r="M161" s="8">
        <v>43556</v>
      </c>
      <c r="N161" s="23">
        <v>4.76020528826065E-5</v>
      </c>
      <c r="O161" s="10" t="str">
        <f>IF(Sales_Data[[#This Row],[Total Profit]]&gt;0,"Profitable","Loss")</f>
        <v>Profitable</v>
      </c>
      <c r="P161" s="10" t="str">
        <f>IF(Sales_Data[[#This Row],[Total Profit]]&gt;100000,"High Value",IF(Sales_Data[[#This Row],[Total Profit]]&gt;60000,"Medium","Low"))</f>
        <v>Low</v>
      </c>
      <c r="Q161" s="11" t="str">
        <f>PROPER(Sales_Data[[#This Row],[Month Name]])</f>
        <v>Junho</v>
      </c>
      <c r="R161" s="11" t="str">
        <f>PROPER(Sales_Data[[#This Row],[Sales Manager]])</f>
        <v>Emily White</v>
      </c>
    </row>
    <row r="162" spans="1:18" hidden="1" x14ac:dyDescent="0.25">
      <c r="A162">
        <v>10161</v>
      </c>
      <c r="B162">
        <v>2019</v>
      </c>
      <c r="C162" t="s">
        <v>71</v>
      </c>
      <c r="D162" s="8">
        <v>43626</v>
      </c>
      <c r="E162" t="s">
        <v>11</v>
      </c>
      <c r="F162" t="s">
        <v>12</v>
      </c>
      <c r="G162" t="s">
        <v>23</v>
      </c>
      <c r="H162" s="9">
        <v>10</v>
      </c>
      <c r="I162" s="9">
        <v>122</v>
      </c>
      <c r="J162" s="10">
        <v>42700</v>
      </c>
      <c r="K162" s="10">
        <v>11529</v>
      </c>
      <c r="L162">
        <v>24</v>
      </c>
      <c r="M162" s="8">
        <v>43556</v>
      </c>
      <c r="N162" s="23">
        <v>2.1509075746955499E-4</v>
      </c>
      <c r="O162" s="10" t="str">
        <f>IF(Sales_Data[[#This Row],[Total Profit]]&gt;0,"Profitable","Loss")</f>
        <v>Profitable</v>
      </c>
      <c r="P162" s="10" t="str">
        <f>IF(Sales_Data[[#This Row],[Total Profit]]&gt;100000,"High Value",IF(Sales_Data[[#This Row],[Total Profit]]&gt;60000,"Medium","Low"))</f>
        <v>Low</v>
      </c>
      <c r="Q162" s="11" t="str">
        <f>PROPER(Sales_Data[[#This Row],[Month Name]])</f>
        <v>Junho</v>
      </c>
      <c r="R162" s="11" t="str">
        <f>PROPER(Sales_Data[[#This Row],[Sales Manager]])</f>
        <v>Emily White</v>
      </c>
    </row>
    <row r="163" spans="1:18" hidden="1" x14ac:dyDescent="0.25">
      <c r="A163">
        <v>10162</v>
      </c>
      <c r="B163">
        <v>2019</v>
      </c>
      <c r="C163" t="s">
        <v>71</v>
      </c>
      <c r="D163" s="8">
        <v>43627</v>
      </c>
      <c r="E163" t="s">
        <v>19</v>
      </c>
      <c r="F163" t="s">
        <v>16</v>
      </c>
      <c r="G163" t="s">
        <v>20</v>
      </c>
      <c r="H163" s="9">
        <v>26</v>
      </c>
      <c r="I163" s="9">
        <v>339</v>
      </c>
      <c r="J163" s="10">
        <v>288150</v>
      </c>
      <c r="K163" s="10">
        <v>72037.5</v>
      </c>
      <c r="L163">
        <v>24</v>
      </c>
      <c r="M163" s="8">
        <v>43556</v>
      </c>
      <c r="N163" s="23">
        <v>1.451484818849E-3</v>
      </c>
      <c r="O163" s="10" t="str">
        <f>IF(Sales_Data[[#This Row],[Total Profit]]&gt;0,"Profitable","Loss")</f>
        <v>Profitable</v>
      </c>
      <c r="P163" s="10" t="str">
        <f>IF(Sales_Data[[#This Row],[Total Profit]]&gt;100000,"High Value",IF(Sales_Data[[#This Row],[Total Profit]]&gt;60000,"Medium","Low"))</f>
        <v>Medium</v>
      </c>
      <c r="Q163" s="11" t="str">
        <f>PROPER(Sales_Data[[#This Row],[Month Name]])</f>
        <v>Junho</v>
      </c>
      <c r="R163" s="11" t="str">
        <f>PROPER(Sales_Data[[#This Row],[Sales Manager]])</f>
        <v>James Brown</v>
      </c>
    </row>
    <row r="164" spans="1:18" hidden="1" x14ac:dyDescent="0.25">
      <c r="A164">
        <v>10163</v>
      </c>
      <c r="B164">
        <v>2019</v>
      </c>
      <c r="C164" t="s">
        <v>71</v>
      </c>
      <c r="D164" s="8">
        <v>43628</v>
      </c>
      <c r="E164" t="s">
        <v>19</v>
      </c>
      <c r="F164" t="s">
        <v>24</v>
      </c>
      <c r="G164" t="s">
        <v>17</v>
      </c>
      <c r="H164" s="9">
        <v>13</v>
      </c>
      <c r="I164" s="9">
        <v>414</v>
      </c>
      <c r="J164" s="10">
        <v>103500</v>
      </c>
      <c r="K164" s="10">
        <v>43470</v>
      </c>
      <c r="L164">
        <v>24</v>
      </c>
      <c r="M164" s="8">
        <v>43556</v>
      </c>
      <c r="N164" s="23">
        <v>5.2135581728569099E-4</v>
      </c>
      <c r="O164" s="10" t="str">
        <f>IF(Sales_Data[[#This Row],[Total Profit]]&gt;0,"Profitable","Loss")</f>
        <v>Profitable</v>
      </c>
      <c r="P164" s="10" t="str">
        <f>IF(Sales_Data[[#This Row],[Total Profit]]&gt;100000,"High Value",IF(Sales_Data[[#This Row],[Total Profit]]&gt;60000,"Medium","Low"))</f>
        <v>Low</v>
      </c>
      <c r="Q164" s="11" t="str">
        <f>PROPER(Sales_Data[[#This Row],[Month Name]])</f>
        <v>Junho</v>
      </c>
      <c r="R164" s="11" t="str">
        <f>PROPER(Sales_Data[[#This Row],[Sales Manager]])</f>
        <v>Liam Lee</v>
      </c>
    </row>
    <row r="165" spans="1:18" hidden="1" x14ac:dyDescent="0.25">
      <c r="A165">
        <v>10164</v>
      </c>
      <c r="B165">
        <v>2019</v>
      </c>
      <c r="C165" t="s">
        <v>71</v>
      </c>
      <c r="D165" s="8">
        <v>43629</v>
      </c>
      <c r="E165" t="s">
        <v>22</v>
      </c>
      <c r="F165" t="s">
        <v>12</v>
      </c>
      <c r="G165" t="s">
        <v>23</v>
      </c>
      <c r="H165" s="9">
        <v>25</v>
      </c>
      <c r="I165" s="9">
        <v>337</v>
      </c>
      <c r="J165" s="10">
        <v>117950</v>
      </c>
      <c r="K165" s="10">
        <v>15333.5</v>
      </c>
      <c r="L165">
        <v>24</v>
      </c>
      <c r="M165" s="8">
        <v>43556</v>
      </c>
      <c r="N165" s="23">
        <v>5.9414414153475604E-4</v>
      </c>
      <c r="O165" s="10" t="str">
        <f>IF(Sales_Data[[#This Row],[Total Profit]]&gt;0,"Profitable","Loss")</f>
        <v>Profitable</v>
      </c>
      <c r="P165" s="10" t="str">
        <f>IF(Sales_Data[[#This Row],[Total Profit]]&gt;100000,"High Value",IF(Sales_Data[[#This Row],[Total Profit]]&gt;60000,"Medium","Low"))</f>
        <v>Low</v>
      </c>
      <c r="Q165" s="11" t="str">
        <f>PROPER(Sales_Data[[#This Row],[Month Name]])</f>
        <v>Junho</v>
      </c>
      <c r="R165" s="11" t="str">
        <f>PROPER(Sales_Data[[#This Row],[Sales Manager]])</f>
        <v>Emily White</v>
      </c>
    </row>
    <row r="166" spans="1:18" hidden="1" x14ac:dyDescent="0.25">
      <c r="A166">
        <v>10165</v>
      </c>
      <c r="B166">
        <v>2019</v>
      </c>
      <c r="C166" t="s">
        <v>71</v>
      </c>
      <c r="D166" s="8">
        <v>43630</v>
      </c>
      <c r="E166" t="s">
        <v>11</v>
      </c>
      <c r="F166" t="s">
        <v>12</v>
      </c>
      <c r="G166" t="s">
        <v>23</v>
      </c>
      <c r="H166" s="9">
        <v>13</v>
      </c>
      <c r="I166" s="9">
        <v>490</v>
      </c>
      <c r="J166" s="10">
        <v>171500</v>
      </c>
      <c r="K166" s="10">
        <v>54880</v>
      </c>
      <c r="L166">
        <v>24</v>
      </c>
      <c r="M166" s="8">
        <v>43556</v>
      </c>
      <c r="N166" s="23">
        <v>8.6388910786952598E-4</v>
      </c>
      <c r="O166" s="10" t="str">
        <f>IF(Sales_Data[[#This Row],[Total Profit]]&gt;0,"Profitable","Loss")</f>
        <v>Profitable</v>
      </c>
      <c r="P166" s="10" t="str">
        <f>IF(Sales_Data[[#This Row],[Total Profit]]&gt;100000,"High Value",IF(Sales_Data[[#This Row],[Total Profit]]&gt;60000,"Medium","Low"))</f>
        <v>Low</v>
      </c>
      <c r="Q166" s="11" t="str">
        <f>PROPER(Sales_Data[[#This Row],[Month Name]])</f>
        <v>Junho</v>
      </c>
      <c r="R166" s="11" t="str">
        <f>PROPER(Sales_Data[[#This Row],[Sales Manager]])</f>
        <v>Emily White</v>
      </c>
    </row>
    <row r="167" spans="1:18" hidden="1" x14ac:dyDescent="0.25">
      <c r="A167">
        <v>10166</v>
      </c>
      <c r="B167">
        <v>2019</v>
      </c>
      <c r="C167" t="s">
        <v>71</v>
      </c>
      <c r="D167" s="8">
        <v>43631</v>
      </c>
      <c r="E167" t="s">
        <v>11</v>
      </c>
      <c r="F167" t="s">
        <v>24</v>
      </c>
      <c r="G167" t="s">
        <v>20</v>
      </c>
      <c r="H167" s="9">
        <v>11</v>
      </c>
      <c r="I167" s="9">
        <v>122</v>
      </c>
      <c r="J167" s="10">
        <v>103700</v>
      </c>
      <c r="K167" s="10">
        <v>26962</v>
      </c>
      <c r="L167">
        <v>24</v>
      </c>
      <c r="M167" s="8">
        <v>43556</v>
      </c>
      <c r="N167" s="23">
        <v>5.2236326814034898E-4</v>
      </c>
      <c r="O167" s="10" t="str">
        <f>IF(Sales_Data[[#This Row],[Total Profit]]&gt;0,"Profitable","Loss")</f>
        <v>Profitable</v>
      </c>
      <c r="P167" s="10" t="str">
        <f>IF(Sales_Data[[#This Row],[Total Profit]]&gt;100000,"High Value",IF(Sales_Data[[#This Row],[Total Profit]]&gt;60000,"Medium","Low"))</f>
        <v>Low</v>
      </c>
      <c r="Q167" s="11" t="str">
        <f>PROPER(Sales_Data[[#This Row],[Month Name]])</f>
        <v>Junho</v>
      </c>
      <c r="R167" s="11" t="str">
        <f>PROPER(Sales_Data[[#This Row],[Sales Manager]])</f>
        <v>Liam Lee</v>
      </c>
    </row>
    <row r="168" spans="1:18" hidden="1" x14ac:dyDescent="0.25">
      <c r="A168">
        <v>10167</v>
      </c>
      <c r="B168">
        <v>2019</v>
      </c>
      <c r="C168" t="s">
        <v>71</v>
      </c>
      <c r="D168" s="8">
        <v>43632</v>
      </c>
      <c r="E168" t="s">
        <v>11</v>
      </c>
      <c r="F168" t="s">
        <v>18</v>
      </c>
      <c r="G168" t="s">
        <v>15</v>
      </c>
      <c r="H168" s="9">
        <v>3</v>
      </c>
      <c r="I168" s="9">
        <v>105</v>
      </c>
      <c r="J168" s="10">
        <v>52500</v>
      </c>
      <c r="K168" s="10">
        <v>7350.0000000000009</v>
      </c>
      <c r="L168">
        <v>25</v>
      </c>
      <c r="M168" s="8">
        <v>43556</v>
      </c>
      <c r="N168" s="23">
        <v>2.6445584934781401E-4</v>
      </c>
      <c r="O168" s="10" t="str">
        <f>IF(Sales_Data[[#This Row],[Total Profit]]&gt;0,"Profitable","Loss")</f>
        <v>Profitable</v>
      </c>
      <c r="P168" s="10" t="str">
        <f>IF(Sales_Data[[#This Row],[Total Profit]]&gt;100000,"High Value",IF(Sales_Data[[#This Row],[Total Profit]]&gt;60000,"Medium","Low"))</f>
        <v>Low</v>
      </c>
      <c r="Q168" s="11" t="str">
        <f>PROPER(Sales_Data[[#This Row],[Month Name]])</f>
        <v>Junho</v>
      </c>
      <c r="R168" s="11" t="str">
        <f>PROPER(Sales_Data[[#This Row],[Sales Manager]])</f>
        <v>Jane Doe</v>
      </c>
    </row>
    <row r="169" spans="1:18" hidden="1" x14ac:dyDescent="0.25">
      <c r="A169">
        <v>10168</v>
      </c>
      <c r="B169">
        <v>2019</v>
      </c>
      <c r="C169" t="s">
        <v>71</v>
      </c>
      <c r="D169" s="8">
        <v>43633</v>
      </c>
      <c r="E169" t="s">
        <v>19</v>
      </c>
      <c r="F169" t="s">
        <v>24</v>
      </c>
      <c r="G169" t="s">
        <v>13</v>
      </c>
      <c r="H169" s="9">
        <v>6</v>
      </c>
      <c r="I169" s="9">
        <v>155</v>
      </c>
      <c r="J169" s="10">
        <v>116250</v>
      </c>
      <c r="K169" s="10">
        <v>46500</v>
      </c>
      <c r="L169">
        <v>25</v>
      </c>
      <c r="M169" s="8">
        <v>43556</v>
      </c>
      <c r="N169" s="23">
        <v>5.8558080927016004E-4</v>
      </c>
      <c r="O169" s="10" t="str">
        <f>IF(Sales_Data[[#This Row],[Total Profit]]&gt;0,"Profitable","Loss")</f>
        <v>Profitable</v>
      </c>
      <c r="P169" s="10" t="str">
        <f>IF(Sales_Data[[#This Row],[Total Profit]]&gt;100000,"High Value",IF(Sales_Data[[#This Row],[Total Profit]]&gt;60000,"Medium","Low"))</f>
        <v>Low</v>
      </c>
      <c r="Q169" s="11" t="str">
        <f>PROPER(Sales_Data[[#This Row],[Month Name]])</f>
        <v>Junho</v>
      </c>
      <c r="R169" s="11" t="str">
        <f>PROPER(Sales_Data[[#This Row],[Sales Manager]])</f>
        <v>Liam Lee</v>
      </c>
    </row>
    <row r="170" spans="1:18" hidden="1" x14ac:dyDescent="0.25">
      <c r="A170">
        <v>10169</v>
      </c>
      <c r="B170">
        <v>2019</v>
      </c>
      <c r="C170" t="s">
        <v>71</v>
      </c>
      <c r="D170" s="8">
        <v>43634</v>
      </c>
      <c r="E170" t="s">
        <v>14</v>
      </c>
      <c r="F170" t="s">
        <v>12</v>
      </c>
      <c r="G170" t="s">
        <v>20</v>
      </c>
      <c r="H170" s="9">
        <v>17</v>
      </c>
      <c r="I170" s="9">
        <v>179</v>
      </c>
      <c r="J170" s="10">
        <v>152150</v>
      </c>
      <c r="K170" s="10">
        <v>19779.5</v>
      </c>
      <c r="L170">
        <v>25</v>
      </c>
      <c r="M170" s="8">
        <v>43556</v>
      </c>
      <c r="N170" s="23">
        <v>7.6641823768133202E-4</v>
      </c>
      <c r="O170" s="10" t="str">
        <f>IF(Sales_Data[[#This Row],[Total Profit]]&gt;0,"Profitable","Loss")</f>
        <v>Profitable</v>
      </c>
      <c r="P170" s="10" t="str">
        <f>IF(Sales_Data[[#This Row],[Total Profit]]&gt;100000,"High Value",IF(Sales_Data[[#This Row],[Total Profit]]&gt;60000,"Medium","Low"))</f>
        <v>Low</v>
      </c>
      <c r="Q170" s="11" t="str">
        <f>PROPER(Sales_Data[[#This Row],[Month Name]])</f>
        <v>Junho</v>
      </c>
      <c r="R170" s="11" t="str">
        <f>PROPER(Sales_Data[[#This Row],[Sales Manager]])</f>
        <v>Emily White</v>
      </c>
    </row>
    <row r="171" spans="1:18" hidden="1" x14ac:dyDescent="0.25">
      <c r="A171">
        <v>10170</v>
      </c>
      <c r="B171">
        <v>2019</v>
      </c>
      <c r="C171" t="s">
        <v>71</v>
      </c>
      <c r="D171" s="8">
        <v>43635</v>
      </c>
      <c r="E171" t="s">
        <v>25</v>
      </c>
      <c r="F171" t="s">
        <v>12</v>
      </c>
      <c r="G171" t="s">
        <v>23</v>
      </c>
      <c r="H171" s="9">
        <v>4</v>
      </c>
      <c r="I171" s="9">
        <v>52</v>
      </c>
      <c r="J171" s="10">
        <v>18200</v>
      </c>
      <c r="K171" s="10">
        <v>2002</v>
      </c>
      <c r="L171">
        <v>25</v>
      </c>
      <c r="M171" s="8">
        <v>43556</v>
      </c>
      <c r="N171" s="23">
        <v>9.1678027773908904E-5</v>
      </c>
      <c r="O171" s="10" t="str">
        <f>IF(Sales_Data[[#This Row],[Total Profit]]&gt;0,"Profitable","Loss")</f>
        <v>Profitable</v>
      </c>
      <c r="P171" s="10" t="str">
        <f>IF(Sales_Data[[#This Row],[Total Profit]]&gt;100000,"High Value",IF(Sales_Data[[#This Row],[Total Profit]]&gt;60000,"Medium","Low"))</f>
        <v>Low</v>
      </c>
      <c r="Q171" s="11" t="str">
        <f>PROPER(Sales_Data[[#This Row],[Month Name]])</f>
        <v>Junho</v>
      </c>
      <c r="R171" s="11" t="str">
        <f>PROPER(Sales_Data[[#This Row],[Sales Manager]])</f>
        <v>Emily White</v>
      </c>
    </row>
    <row r="172" spans="1:18" hidden="1" x14ac:dyDescent="0.25">
      <c r="A172">
        <v>10171</v>
      </c>
      <c r="B172">
        <v>2019</v>
      </c>
      <c r="C172" t="s">
        <v>71</v>
      </c>
      <c r="D172" s="8">
        <v>43636</v>
      </c>
      <c r="E172" t="s">
        <v>19</v>
      </c>
      <c r="F172" t="s">
        <v>18</v>
      </c>
      <c r="G172" t="s">
        <v>17</v>
      </c>
      <c r="H172" s="9">
        <v>22</v>
      </c>
      <c r="I172" s="9">
        <v>317</v>
      </c>
      <c r="J172" s="10">
        <v>79250</v>
      </c>
      <c r="K172" s="10">
        <v>10302.5</v>
      </c>
      <c r="L172">
        <v>25</v>
      </c>
      <c r="M172" s="8">
        <v>43556</v>
      </c>
      <c r="N172" s="23">
        <v>3.9920240115836703E-4</v>
      </c>
      <c r="O172" s="10" t="str">
        <f>IF(Sales_Data[[#This Row],[Total Profit]]&gt;0,"Profitable","Loss")</f>
        <v>Profitable</v>
      </c>
      <c r="P172" s="10" t="str">
        <f>IF(Sales_Data[[#This Row],[Total Profit]]&gt;100000,"High Value",IF(Sales_Data[[#This Row],[Total Profit]]&gt;60000,"Medium","Low"))</f>
        <v>Low</v>
      </c>
      <c r="Q172" s="11" t="str">
        <f>PROPER(Sales_Data[[#This Row],[Month Name]])</f>
        <v>Junho</v>
      </c>
      <c r="R172" s="11" t="str">
        <f>PROPER(Sales_Data[[#This Row],[Sales Manager]])</f>
        <v>Jane Doe</v>
      </c>
    </row>
    <row r="173" spans="1:18" hidden="1" x14ac:dyDescent="0.25">
      <c r="A173">
        <v>10172</v>
      </c>
      <c r="B173">
        <v>2019</v>
      </c>
      <c r="C173" t="s">
        <v>71</v>
      </c>
      <c r="D173" s="8">
        <v>43637</v>
      </c>
      <c r="E173" t="s">
        <v>19</v>
      </c>
      <c r="F173" t="s">
        <v>12</v>
      </c>
      <c r="G173" t="s">
        <v>23</v>
      </c>
      <c r="H173" s="9">
        <v>28</v>
      </c>
      <c r="I173" s="9">
        <v>433</v>
      </c>
      <c r="J173" s="10">
        <v>151550</v>
      </c>
      <c r="K173" s="10">
        <v>22732.5</v>
      </c>
      <c r="L173">
        <v>25</v>
      </c>
      <c r="M173" s="8">
        <v>43556</v>
      </c>
      <c r="N173" s="23">
        <v>7.6339588511735695E-4</v>
      </c>
      <c r="O173" s="10" t="str">
        <f>IF(Sales_Data[[#This Row],[Total Profit]]&gt;0,"Profitable","Loss")</f>
        <v>Profitable</v>
      </c>
      <c r="P173" s="10" t="str">
        <f>IF(Sales_Data[[#This Row],[Total Profit]]&gt;100000,"High Value",IF(Sales_Data[[#This Row],[Total Profit]]&gt;60000,"Medium","Low"))</f>
        <v>Low</v>
      </c>
      <c r="Q173" s="11" t="str">
        <f>PROPER(Sales_Data[[#This Row],[Month Name]])</f>
        <v>Junho</v>
      </c>
      <c r="R173" s="11" t="str">
        <f>PROPER(Sales_Data[[#This Row],[Sales Manager]])</f>
        <v>Emily White</v>
      </c>
    </row>
    <row r="174" spans="1:18" hidden="1" x14ac:dyDescent="0.25">
      <c r="A174">
        <v>10173</v>
      </c>
      <c r="B174">
        <v>2019</v>
      </c>
      <c r="C174" t="s">
        <v>71</v>
      </c>
      <c r="D174" s="8">
        <v>43638</v>
      </c>
      <c r="E174" t="s">
        <v>14</v>
      </c>
      <c r="F174" t="s">
        <v>16</v>
      </c>
      <c r="G174" t="s">
        <v>13</v>
      </c>
      <c r="H174" s="9">
        <v>14</v>
      </c>
      <c r="I174" s="9">
        <v>260</v>
      </c>
      <c r="J174" s="10">
        <v>195000</v>
      </c>
      <c r="K174" s="10">
        <v>78000</v>
      </c>
      <c r="L174">
        <v>25</v>
      </c>
      <c r="M174" s="8">
        <v>43556</v>
      </c>
      <c r="N174" s="23">
        <v>9.82264583291881E-4</v>
      </c>
      <c r="O174" s="10" t="str">
        <f>IF(Sales_Data[[#This Row],[Total Profit]]&gt;0,"Profitable","Loss")</f>
        <v>Profitable</v>
      </c>
      <c r="P174" s="10" t="str">
        <f>IF(Sales_Data[[#This Row],[Total Profit]]&gt;100000,"High Value",IF(Sales_Data[[#This Row],[Total Profit]]&gt;60000,"Medium","Low"))</f>
        <v>Medium</v>
      </c>
      <c r="Q174" s="11" t="str">
        <f>PROPER(Sales_Data[[#This Row],[Month Name]])</f>
        <v>Junho</v>
      </c>
      <c r="R174" s="11" t="str">
        <f>PROPER(Sales_Data[[#This Row],[Sales Manager]])</f>
        <v>James Brown</v>
      </c>
    </row>
    <row r="175" spans="1:18" hidden="1" x14ac:dyDescent="0.25">
      <c r="A175">
        <v>10174</v>
      </c>
      <c r="B175">
        <v>2019</v>
      </c>
      <c r="C175" t="s">
        <v>71</v>
      </c>
      <c r="D175" s="8">
        <v>43639</v>
      </c>
      <c r="E175" t="s">
        <v>22</v>
      </c>
      <c r="F175" t="s">
        <v>12</v>
      </c>
      <c r="G175" t="s">
        <v>17</v>
      </c>
      <c r="H175" s="9">
        <v>28</v>
      </c>
      <c r="I175" s="9">
        <v>419</v>
      </c>
      <c r="J175" s="10">
        <v>104750</v>
      </c>
      <c r="K175" s="10">
        <v>11522.5</v>
      </c>
      <c r="L175">
        <v>26</v>
      </c>
      <c r="M175" s="8">
        <v>43556</v>
      </c>
      <c r="N175" s="23">
        <v>5.2765238512730503E-4</v>
      </c>
      <c r="O175" s="10" t="str">
        <f>IF(Sales_Data[[#This Row],[Total Profit]]&gt;0,"Profitable","Loss")</f>
        <v>Profitable</v>
      </c>
      <c r="P175" s="10" t="str">
        <f>IF(Sales_Data[[#This Row],[Total Profit]]&gt;100000,"High Value",IF(Sales_Data[[#This Row],[Total Profit]]&gt;60000,"Medium","Low"))</f>
        <v>Low</v>
      </c>
      <c r="Q175" s="11" t="str">
        <f>PROPER(Sales_Data[[#This Row],[Month Name]])</f>
        <v>Junho</v>
      </c>
      <c r="R175" s="11" t="str">
        <f>PROPER(Sales_Data[[#This Row],[Sales Manager]])</f>
        <v>Emily White</v>
      </c>
    </row>
    <row r="176" spans="1:18" hidden="1" x14ac:dyDescent="0.25">
      <c r="A176">
        <v>10175</v>
      </c>
      <c r="B176">
        <v>2019</v>
      </c>
      <c r="C176" t="s">
        <v>71</v>
      </c>
      <c r="D176" s="8">
        <v>43640</v>
      </c>
      <c r="E176" t="s">
        <v>14</v>
      </c>
      <c r="F176" t="s">
        <v>24</v>
      </c>
      <c r="G176" t="s">
        <v>13</v>
      </c>
      <c r="H176" s="9">
        <v>10</v>
      </c>
      <c r="I176" s="9">
        <v>183</v>
      </c>
      <c r="J176" s="10">
        <v>137250</v>
      </c>
      <c r="K176" s="10">
        <v>31567.5</v>
      </c>
      <c r="L176">
        <v>26</v>
      </c>
      <c r="M176" s="8">
        <v>43556</v>
      </c>
      <c r="N176" s="23">
        <v>6.9136314900928599E-4</v>
      </c>
      <c r="O176" s="10" t="str">
        <f>IF(Sales_Data[[#This Row],[Total Profit]]&gt;0,"Profitable","Loss")</f>
        <v>Profitable</v>
      </c>
      <c r="P176" s="10" t="str">
        <f>IF(Sales_Data[[#This Row],[Total Profit]]&gt;100000,"High Value",IF(Sales_Data[[#This Row],[Total Profit]]&gt;60000,"Medium","Low"))</f>
        <v>Low</v>
      </c>
      <c r="Q176" s="11" t="str">
        <f>PROPER(Sales_Data[[#This Row],[Month Name]])</f>
        <v>Junho</v>
      </c>
      <c r="R176" s="11" t="str">
        <f>PROPER(Sales_Data[[#This Row],[Sales Manager]])</f>
        <v>Liam Lee</v>
      </c>
    </row>
    <row r="177" spans="1:18" hidden="1" x14ac:dyDescent="0.25">
      <c r="A177">
        <v>10176</v>
      </c>
      <c r="B177">
        <v>2019</v>
      </c>
      <c r="C177" t="s">
        <v>71</v>
      </c>
      <c r="D177" s="8">
        <v>43641</v>
      </c>
      <c r="E177" t="s">
        <v>14</v>
      </c>
      <c r="F177" t="s">
        <v>21</v>
      </c>
      <c r="G177" t="s">
        <v>20</v>
      </c>
      <c r="H177" s="9">
        <v>4</v>
      </c>
      <c r="I177" s="9">
        <v>208</v>
      </c>
      <c r="J177" s="10">
        <v>176800</v>
      </c>
      <c r="K177" s="10">
        <v>53040</v>
      </c>
      <c r="L177">
        <v>26</v>
      </c>
      <c r="M177" s="8">
        <v>43556</v>
      </c>
      <c r="N177" s="23">
        <v>8.9058655551797197E-4</v>
      </c>
      <c r="O177" s="10" t="str">
        <f>IF(Sales_Data[[#This Row],[Total Profit]]&gt;0,"Profitable","Loss")</f>
        <v>Profitable</v>
      </c>
      <c r="P177" s="10" t="str">
        <f>IF(Sales_Data[[#This Row],[Total Profit]]&gt;100000,"High Value",IF(Sales_Data[[#This Row],[Total Profit]]&gt;60000,"Medium","Low"))</f>
        <v>Low</v>
      </c>
      <c r="Q177" s="11" t="str">
        <f>PROPER(Sales_Data[[#This Row],[Month Name]])</f>
        <v>Junho</v>
      </c>
      <c r="R177" s="11" t="str">
        <f>PROPER(Sales_Data[[#This Row],[Sales Manager]])</f>
        <v>John Smith</v>
      </c>
    </row>
    <row r="178" spans="1:18" hidden="1" x14ac:dyDescent="0.25">
      <c r="A178">
        <v>10177</v>
      </c>
      <c r="B178">
        <v>2019</v>
      </c>
      <c r="C178" t="s">
        <v>71</v>
      </c>
      <c r="D178" s="8">
        <v>43642</v>
      </c>
      <c r="E178" t="s">
        <v>19</v>
      </c>
      <c r="F178" t="s">
        <v>24</v>
      </c>
      <c r="G178" t="s">
        <v>15</v>
      </c>
      <c r="H178" s="9">
        <v>7</v>
      </c>
      <c r="I178" s="9">
        <v>302</v>
      </c>
      <c r="J178" s="10">
        <v>151000</v>
      </c>
      <c r="K178" s="10">
        <v>49830</v>
      </c>
      <c r="L178">
        <v>26</v>
      </c>
      <c r="M178" s="8">
        <v>43556</v>
      </c>
      <c r="N178" s="23">
        <v>7.60625395267046E-4</v>
      </c>
      <c r="O178" s="10" t="str">
        <f>IF(Sales_Data[[#This Row],[Total Profit]]&gt;0,"Profitable","Loss")</f>
        <v>Profitable</v>
      </c>
      <c r="P178" s="10" t="str">
        <f>IF(Sales_Data[[#This Row],[Total Profit]]&gt;100000,"High Value",IF(Sales_Data[[#This Row],[Total Profit]]&gt;60000,"Medium","Low"))</f>
        <v>Low</v>
      </c>
      <c r="Q178" s="11" t="str">
        <f>PROPER(Sales_Data[[#This Row],[Month Name]])</f>
        <v>Junho</v>
      </c>
      <c r="R178" s="11" t="str">
        <f>PROPER(Sales_Data[[#This Row],[Sales Manager]])</f>
        <v>Liam Lee</v>
      </c>
    </row>
    <row r="179" spans="1:18" hidden="1" x14ac:dyDescent="0.25">
      <c r="A179">
        <v>10178</v>
      </c>
      <c r="B179">
        <v>2019</v>
      </c>
      <c r="C179" t="s">
        <v>71</v>
      </c>
      <c r="D179" s="8">
        <v>43643</v>
      </c>
      <c r="E179" t="s">
        <v>11</v>
      </c>
      <c r="F179" t="s">
        <v>21</v>
      </c>
      <c r="G179" t="s">
        <v>13</v>
      </c>
      <c r="H179" s="9">
        <v>1</v>
      </c>
      <c r="I179" s="9">
        <v>69</v>
      </c>
      <c r="J179" s="10">
        <v>51750</v>
      </c>
      <c r="K179" s="10">
        <v>21735</v>
      </c>
      <c r="L179">
        <v>26</v>
      </c>
      <c r="M179" s="8">
        <v>43556</v>
      </c>
      <c r="N179" s="23">
        <v>2.60677908642845E-4</v>
      </c>
      <c r="O179" s="10" t="str">
        <f>IF(Sales_Data[[#This Row],[Total Profit]]&gt;0,"Profitable","Loss")</f>
        <v>Profitable</v>
      </c>
      <c r="P179" s="10" t="str">
        <f>IF(Sales_Data[[#This Row],[Total Profit]]&gt;100000,"High Value",IF(Sales_Data[[#This Row],[Total Profit]]&gt;60000,"Medium","Low"))</f>
        <v>Low</v>
      </c>
      <c r="Q179" s="11" t="str">
        <f>PROPER(Sales_Data[[#This Row],[Month Name]])</f>
        <v>Junho</v>
      </c>
      <c r="R179" s="11" t="str">
        <f>PROPER(Sales_Data[[#This Row],[Sales Manager]])</f>
        <v>John Smith</v>
      </c>
    </row>
    <row r="180" spans="1:18" hidden="1" x14ac:dyDescent="0.25">
      <c r="A180">
        <v>10179</v>
      </c>
      <c r="B180">
        <v>2019</v>
      </c>
      <c r="C180" t="s">
        <v>71</v>
      </c>
      <c r="D180" s="8">
        <v>43644</v>
      </c>
      <c r="E180" t="s">
        <v>14</v>
      </c>
      <c r="F180" t="s">
        <v>12</v>
      </c>
      <c r="G180" t="s">
        <v>23</v>
      </c>
      <c r="H180" s="9">
        <v>9</v>
      </c>
      <c r="I180" s="9">
        <v>392</v>
      </c>
      <c r="J180" s="10">
        <v>137200</v>
      </c>
      <c r="K180" s="10">
        <v>46648</v>
      </c>
      <c r="L180">
        <v>26</v>
      </c>
      <c r="M180" s="8">
        <v>43556</v>
      </c>
      <c r="N180" s="23">
        <v>6.91111286295621E-4</v>
      </c>
      <c r="O180" s="10" t="str">
        <f>IF(Sales_Data[[#This Row],[Total Profit]]&gt;0,"Profitable","Loss")</f>
        <v>Profitable</v>
      </c>
      <c r="P180" s="10" t="str">
        <f>IF(Sales_Data[[#This Row],[Total Profit]]&gt;100000,"High Value",IF(Sales_Data[[#This Row],[Total Profit]]&gt;60000,"Medium","Low"))</f>
        <v>Low</v>
      </c>
      <c r="Q180" s="11" t="str">
        <f>PROPER(Sales_Data[[#This Row],[Month Name]])</f>
        <v>Junho</v>
      </c>
      <c r="R180" s="11" t="str">
        <f>PROPER(Sales_Data[[#This Row],[Sales Manager]])</f>
        <v>Emily White</v>
      </c>
    </row>
    <row r="181" spans="1:18" hidden="1" x14ac:dyDescent="0.25">
      <c r="A181">
        <v>10180</v>
      </c>
      <c r="B181">
        <v>2019</v>
      </c>
      <c r="C181" t="s">
        <v>71</v>
      </c>
      <c r="D181" s="8">
        <v>43645</v>
      </c>
      <c r="E181" t="s">
        <v>14</v>
      </c>
      <c r="F181" t="s">
        <v>16</v>
      </c>
      <c r="G181" t="s">
        <v>15</v>
      </c>
      <c r="H181" s="9">
        <v>9</v>
      </c>
      <c r="I181" s="9">
        <v>128</v>
      </c>
      <c r="J181" s="10">
        <v>64000</v>
      </c>
      <c r="K181" s="10">
        <v>24320</v>
      </c>
      <c r="L181">
        <v>26</v>
      </c>
      <c r="M181" s="8">
        <v>43556</v>
      </c>
      <c r="N181" s="23">
        <v>3.2238427349066902E-4</v>
      </c>
      <c r="O181" s="10" t="str">
        <f>IF(Sales_Data[[#This Row],[Total Profit]]&gt;0,"Profitable","Loss")</f>
        <v>Profitable</v>
      </c>
      <c r="P181" s="10" t="str">
        <f>IF(Sales_Data[[#This Row],[Total Profit]]&gt;100000,"High Value",IF(Sales_Data[[#This Row],[Total Profit]]&gt;60000,"Medium","Low"))</f>
        <v>Low</v>
      </c>
      <c r="Q181" s="11" t="str">
        <f>PROPER(Sales_Data[[#This Row],[Month Name]])</f>
        <v>Junho</v>
      </c>
      <c r="R181" s="11" t="str">
        <f>PROPER(Sales_Data[[#This Row],[Sales Manager]])</f>
        <v>James Brown</v>
      </c>
    </row>
    <row r="182" spans="1:18" hidden="1" x14ac:dyDescent="0.25">
      <c r="A182">
        <v>10181</v>
      </c>
      <c r="B182">
        <v>2019</v>
      </c>
      <c r="C182" t="s">
        <v>71</v>
      </c>
      <c r="D182" s="8">
        <v>43646</v>
      </c>
      <c r="E182" t="s">
        <v>22</v>
      </c>
      <c r="F182" t="s">
        <v>24</v>
      </c>
      <c r="G182" t="s">
        <v>13</v>
      </c>
      <c r="H182" s="9">
        <v>5</v>
      </c>
      <c r="I182" s="9">
        <v>146</v>
      </c>
      <c r="J182" s="10">
        <v>109500</v>
      </c>
      <c r="K182" s="10">
        <v>45990</v>
      </c>
      <c r="L182">
        <v>27</v>
      </c>
      <c r="M182" s="8">
        <v>43556</v>
      </c>
      <c r="N182" s="23">
        <v>5.5157934292544104E-4</v>
      </c>
      <c r="O182" s="10" t="str">
        <f>IF(Sales_Data[[#This Row],[Total Profit]]&gt;0,"Profitable","Loss")</f>
        <v>Profitable</v>
      </c>
      <c r="P182" s="10" t="str">
        <f>IF(Sales_Data[[#This Row],[Total Profit]]&gt;100000,"High Value",IF(Sales_Data[[#This Row],[Total Profit]]&gt;60000,"Medium","Low"))</f>
        <v>Low</v>
      </c>
      <c r="Q182" s="11" t="str">
        <f>PROPER(Sales_Data[[#This Row],[Month Name]])</f>
        <v>Junho</v>
      </c>
      <c r="R182" s="11" t="str">
        <f>PROPER(Sales_Data[[#This Row],[Sales Manager]])</f>
        <v>Liam Lee</v>
      </c>
    </row>
    <row r="183" spans="1:18" hidden="1" x14ac:dyDescent="0.25">
      <c r="A183">
        <v>10182</v>
      </c>
      <c r="B183">
        <v>2019</v>
      </c>
      <c r="C183" t="s">
        <v>72</v>
      </c>
      <c r="D183" s="8">
        <v>43647</v>
      </c>
      <c r="E183" t="s">
        <v>25</v>
      </c>
      <c r="F183" t="s">
        <v>18</v>
      </c>
      <c r="G183" t="s">
        <v>15</v>
      </c>
      <c r="H183" s="9">
        <v>10</v>
      </c>
      <c r="I183" s="9">
        <v>190</v>
      </c>
      <c r="J183" s="10">
        <v>95000</v>
      </c>
      <c r="K183" s="10">
        <v>29450</v>
      </c>
      <c r="L183">
        <v>27</v>
      </c>
      <c r="M183" s="8">
        <v>43647</v>
      </c>
      <c r="N183" s="23">
        <v>4.78539155962711E-4</v>
      </c>
      <c r="O183" s="10" t="str">
        <f>IF(Sales_Data[[#This Row],[Total Profit]]&gt;0,"Profitable","Loss")</f>
        <v>Profitable</v>
      </c>
      <c r="P183" s="10" t="str">
        <f>IF(Sales_Data[[#This Row],[Total Profit]]&gt;100000,"High Value",IF(Sales_Data[[#This Row],[Total Profit]]&gt;60000,"Medium","Low"))</f>
        <v>Low</v>
      </c>
      <c r="Q183" s="11" t="str">
        <f>PROPER(Sales_Data[[#This Row],[Month Name]])</f>
        <v>Julho</v>
      </c>
      <c r="R183" s="11" t="str">
        <f>PROPER(Sales_Data[[#This Row],[Sales Manager]])</f>
        <v>Jane Doe</v>
      </c>
    </row>
    <row r="184" spans="1:18" hidden="1" x14ac:dyDescent="0.25">
      <c r="A184">
        <v>10183</v>
      </c>
      <c r="B184">
        <v>2019</v>
      </c>
      <c r="C184" t="s">
        <v>72</v>
      </c>
      <c r="D184" s="8">
        <v>43648</v>
      </c>
      <c r="E184" t="s">
        <v>14</v>
      </c>
      <c r="F184" t="s">
        <v>24</v>
      </c>
      <c r="G184" t="s">
        <v>15</v>
      </c>
      <c r="H184" s="9">
        <v>13</v>
      </c>
      <c r="I184" s="9">
        <v>176</v>
      </c>
      <c r="J184" s="10">
        <v>88000</v>
      </c>
      <c r="K184" s="10">
        <v>37840</v>
      </c>
      <c r="L184">
        <v>27</v>
      </c>
      <c r="M184" s="8">
        <v>43647</v>
      </c>
      <c r="N184" s="23">
        <v>4.4327837604966902E-4</v>
      </c>
      <c r="O184" s="10" t="str">
        <f>IF(Sales_Data[[#This Row],[Total Profit]]&gt;0,"Profitable","Loss")</f>
        <v>Profitable</v>
      </c>
      <c r="P184" s="10" t="str">
        <f>IF(Sales_Data[[#This Row],[Total Profit]]&gt;100000,"High Value",IF(Sales_Data[[#This Row],[Total Profit]]&gt;60000,"Medium","Low"))</f>
        <v>Low</v>
      </c>
      <c r="Q184" s="11" t="str">
        <f>PROPER(Sales_Data[[#This Row],[Month Name]])</f>
        <v>Julho</v>
      </c>
      <c r="R184" s="11" t="str">
        <f>PROPER(Sales_Data[[#This Row],[Sales Manager]])</f>
        <v>Liam Lee</v>
      </c>
    </row>
    <row r="185" spans="1:18" hidden="1" x14ac:dyDescent="0.25">
      <c r="A185">
        <v>10184</v>
      </c>
      <c r="B185">
        <v>2019</v>
      </c>
      <c r="C185" t="s">
        <v>72</v>
      </c>
      <c r="D185" s="8">
        <v>43649</v>
      </c>
      <c r="E185" t="s">
        <v>19</v>
      </c>
      <c r="F185" t="s">
        <v>24</v>
      </c>
      <c r="G185" t="s">
        <v>13</v>
      </c>
      <c r="H185" s="9">
        <v>1</v>
      </c>
      <c r="I185" s="9">
        <v>80</v>
      </c>
      <c r="J185" s="10">
        <v>60000</v>
      </c>
      <c r="K185" s="10">
        <v>16200.000000000002</v>
      </c>
      <c r="L185">
        <v>27</v>
      </c>
      <c r="M185" s="8">
        <v>43647</v>
      </c>
      <c r="N185" s="23">
        <v>3.0223525639750201E-4</v>
      </c>
      <c r="O185" s="10" t="str">
        <f>IF(Sales_Data[[#This Row],[Total Profit]]&gt;0,"Profitable","Loss")</f>
        <v>Profitable</v>
      </c>
      <c r="P185" s="10" t="str">
        <f>IF(Sales_Data[[#This Row],[Total Profit]]&gt;100000,"High Value",IF(Sales_Data[[#This Row],[Total Profit]]&gt;60000,"Medium","Low"))</f>
        <v>Low</v>
      </c>
      <c r="Q185" s="11" t="str">
        <f>PROPER(Sales_Data[[#This Row],[Month Name]])</f>
        <v>Julho</v>
      </c>
      <c r="R185" s="11" t="str">
        <f>PROPER(Sales_Data[[#This Row],[Sales Manager]])</f>
        <v>Liam Lee</v>
      </c>
    </row>
    <row r="186" spans="1:18" hidden="1" x14ac:dyDescent="0.25">
      <c r="A186">
        <v>10185</v>
      </c>
      <c r="B186">
        <v>2019</v>
      </c>
      <c r="C186" t="s">
        <v>72</v>
      </c>
      <c r="D186" s="8">
        <v>43650</v>
      </c>
      <c r="E186" t="s">
        <v>11</v>
      </c>
      <c r="F186" t="s">
        <v>18</v>
      </c>
      <c r="G186" t="s">
        <v>13</v>
      </c>
      <c r="H186" s="9">
        <v>13</v>
      </c>
      <c r="I186" s="9">
        <v>247</v>
      </c>
      <c r="J186" s="10">
        <v>185250</v>
      </c>
      <c r="K186" s="10">
        <v>46312.5</v>
      </c>
      <c r="L186">
        <v>27</v>
      </c>
      <c r="M186" s="8">
        <v>43647</v>
      </c>
      <c r="N186" s="23">
        <v>9.3315135412728697E-4</v>
      </c>
      <c r="O186" s="10" t="str">
        <f>IF(Sales_Data[[#This Row],[Total Profit]]&gt;0,"Profitable","Loss")</f>
        <v>Profitable</v>
      </c>
      <c r="P186" s="10" t="str">
        <f>IF(Sales_Data[[#This Row],[Total Profit]]&gt;100000,"High Value",IF(Sales_Data[[#This Row],[Total Profit]]&gt;60000,"Medium","Low"))</f>
        <v>Low</v>
      </c>
      <c r="Q186" s="11" t="str">
        <f>PROPER(Sales_Data[[#This Row],[Month Name]])</f>
        <v>Julho</v>
      </c>
      <c r="R186" s="11" t="str">
        <f>PROPER(Sales_Data[[#This Row],[Sales Manager]])</f>
        <v>Jane Doe</v>
      </c>
    </row>
    <row r="187" spans="1:18" hidden="1" x14ac:dyDescent="0.25">
      <c r="A187">
        <v>10186</v>
      </c>
      <c r="B187">
        <v>2019</v>
      </c>
      <c r="C187" t="s">
        <v>72</v>
      </c>
      <c r="D187" s="8">
        <v>43651</v>
      </c>
      <c r="E187" t="s">
        <v>19</v>
      </c>
      <c r="F187" t="s">
        <v>16</v>
      </c>
      <c r="G187" t="s">
        <v>23</v>
      </c>
      <c r="H187" s="9">
        <v>9</v>
      </c>
      <c r="I187" s="9">
        <v>160</v>
      </c>
      <c r="J187" s="10">
        <v>56000</v>
      </c>
      <c r="K187" s="10">
        <v>6720</v>
      </c>
      <c r="L187">
        <v>27</v>
      </c>
      <c r="M187" s="8">
        <v>43647</v>
      </c>
      <c r="N187" s="23">
        <v>2.82086239304335E-4</v>
      </c>
      <c r="O187" s="10" t="str">
        <f>IF(Sales_Data[[#This Row],[Total Profit]]&gt;0,"Profitable","Loss")</f>
        <v>Profitable</v>
      </c>
      <c r="P187" s="10" t="str">
        <f>IF(Sales_Data[[#This Row],[Total Profit]]&gt;100000,"High Value",IF(Sales_Data[[#This Row],[Total Profit]]&gt;60000,"Medium","Low"))</f>
        <v>Low</v>
      </c>
      <c r="Q187" s="11" t="str">
        <f>PROPER(Sales_Data[[#This Row],[Month Name]])</f>
        <v>Julho</v>
      </c>
      <c r="R187" s="11" t="str">
        <f>PROPER(Sales_Data[[#This Row],[Sales Manager]])</f>
        <v>James Brown</v>
      </c>
    </row>
    <row r="188" spans="1:18" hidden="1" x14ac:dyDescent="0.25">
      <c r="A188">
        <v>10187</v>
      </c>
      <c r="B188">
        <v>2019</v>
      </c>
      <c r="C188" t="s">
        <v>72</v>
      </c>
      <c r="D188" s="8">
        <v>43652</v>
      </c>
      <c r="E188" t="s">
        <v>19</v>
      </c>
      <c r="F188" t="s">
        <v>21</v>
      </c>
      <c r="G188" t="s">
        <v>23</v>
      </c>
      <c r="H188" s="9">
        <v>2</v>
      </c>
      <c r="I188" s="9">
        <v>49</v>
      </c>
      <c r="J188" s="10">
        <v>17150</v>
      </c>
      <c r="K188" s="10">
        <v>2744</v>
      </c>
      <c r="L188">
        <v>27</v>
      </c>
      <c r="M188" s="8">
        <v>43647</v>
      </c>
      <c r="N188" s="23">
        <v>8.6388910786952598E-5</v>
      </c>
      <c r="O188" s="10" t="str">
        <f>IF(Sales_Data[[#This Row],[Total Profit]]&gt;0,"Profitable","Loss")</f>
        <v>Profitable</v>
      </c>
      <c r="P188" s="10" t="str">
        <f>IF(Sales_Data[[#This Row],[Total Profit]]&gt;100000,"High Value",IF(Sales_Data[[#This Row],[Total Profit]]&gt;60000,"Medium","Low"))</f>
        <v>Low</v>
      </c>
      <c r="Q188" s="11" t="str">
        <f>PROPER(Sales_Data[[#This Row],[Month Name]])</f>
        <v>Julho</v>
      </c>
      <c r="R188" s="11" t="str">
        <f>PROPER(Sales_Data[[#This Row],[Sales Manager]])</f>
        <v>John Smith</v>
      </c>
    </row>
    <row r="189" spans="1:18" hidden="1" x14ac:dyDescent="0.25">
      <c r="A189">
        <v>10188</v>
      </c>
      <c r="B189">
        <v>2019</v>
      </c>
      <c r="C189" t="s">
        <v>72</v>
      </c>
      <c r="D189" s="8">
        <v>43653</v>
      </c>
      <c r="E189" t="s">
        <v>11</v>
      </c>
      <c r="F189" t="s">
        <v>24</v>
      </c>
      <c r="G189" t="s">
        <v>17</v>
      </c>
      <c r="H189" s="9">
        <v>5</v>
      </c>
      <c r="I189" s="9">
        <v>75</v>
      </c>
      <c r="J189" s="10">
        <v>18750</v>
      </c>
      <c r="K189" s="10">
        <v>3000</v>
      </c>
      <c r="L189">
        <v>28</v>
      </c>
      <c r="M189" s="8">
        <v>43647</v>
      </c>
      <c r="N189" s="23">
        <v>9.4448517624219299E-5</v>
      </c>
      <c r="O189" s="10" t="str">
        <f>IF(Sales_Data[[#This Row],[Total Profit]]&gt;0,"Profitable","Loss")</f>
        <v>Profitable</v>
      </c>
      <c r="P189" s="10" t="str">
        <f>IF(Sales_Data[[#This Row],[Total Profit]]&gt;100000,"High Value",IF(Sales_Data[[#This Row],[Total Profit]]&gt;60000,"Medium","Low"))</f>
        <v>Low</v>
      </c>
      <c r="Q189" s="11" t="str">
        <f>PROPER(Sales_Data[[#This Row],[Month Name]])</f>
        <v>Julho</v>
      </c>
      <c r="R189" s="11" t="str">
        <f>PROPER(Sales_Data[[#This Row],[Sales Manager]])</f>
        <v>Liam Lee</v>
      </c>
    </row>
    <row r="190" spans="1:18" hidden="1" x14ac:dyDescent="0.25">
      <c r="A190">
        <v>10189</v>
      </c>
      <c r="B190">
        <v>2019</v>
      </c>
      <c r="C190" t="s">
        <v>72</v>
      </c>
      <c r="D190" s="8">
        <v>43654</v>
      </c>
      <c r="E190" t="s">
        <v>22</v>
      </c>
      <c r="F190" t="s">
        <v>24</v>
      </c>
      <c r="G190" t="s">
        <v>15</v>
      </c>
      <c r="H190" s="9">
        <v>2</v>
      </c>
      <c r="I190" s="9">
        <v>42</v>
      </c>
      <c r="J190" s="10">
        <v>21000</v>
      </c>
      <c r="K190" s="10">
        <v>6510</v>
      </c>
      <c r="L190">
        <v>28</v>
      </c>
      <c r="M190" s="8">
        <v>43647</v>
      </c>
      <c r="N190" s="23">
        <v>1.05782339739126E-4</v>
      </c>
      <c r="O190" s="10" t="str">
        <f>IF(Sales_Data[[#This Row],[Total Profit]]&gt;0,"Profitable","Loss")</f>
        <v>Profitable</v>
      </c>
      <c r="P190" s="10" t="str">
        <f>IF(Sales_Data[[#This Row],[Total Profit]]&gt;100000,"High Value",IF(Sales_Data[[#This Row],[Total Profit]]&gt;60000,"Medium","Low"))</f>
        <v>Low</v>
      </c>
      <c r="Q190" s="11" t="str">
        <f>PROPER(Sales_Data[[#This Row],[Month Name]])</f>
        <v>Julho</v>
      </c>
      <c r="R190" s="11" t="str">
        <f>PROPER(Sales_Data[[#This Row],[Sales Manager]])</f>
        <v>Liam Lee</v>
      </c>
    </row>
    <row r="191" spans="1:18" hidden="1" x14ac:dyDescent="0.25">
      <c r="A191">
        <v>10190</v>
      </c>
      <c r="B191">
        <v>2019</v>
      </c>
      <c r="C191" t="s">
        <v>72</v>
      </c>
      <c r="D191" s="8">
        <v>43655</v>
      </c>
      <c r="E191" t="s">
        <v>25</v>
      </c>
      <c r="F191" t="s">
        <v>21</v>
      </c>
      <c r="G191" t="s">
        <v>20</v>
      </c>
      <c r="H191" s="9">
        <v>3</v>
      </c>
      <c r="I191" s="9">
        <v>39</v>
      </c>
      <c r="J191" s="10">
        <v>33150</v>
      </c>
      <c r="K191" s="10">
        <v>7956</v>
      </c>
      <c r="L191">
        <v>28</v>
      </c>
      <c r="M191" s="8">
        <v>43647</v>
      </c>
      <c r="N191" s="23">
        <v>1.6698497915961999E-4</v>
      </c>
      <c r="O191" s="10" t="str">
        <f>IF(Sales_Data[[#This Row],[Total Profit]]&gt;0,"Profitable","Loss")</f>
        <v>Profitable</v>
      </c>
      <c r="P191" s="10" t="str">
        <f>IF(Sales_Data[[#This Row],[Total Profit]]&gt;100000,"High Value",IF(Sales_Data[[#This Row],[Total Profit]]&gt;60000,"Medium","Low"))</f>
        <v>Low</v>
      </c>
      <c r="Q191" s="11" t="str">
        <f>PROPER(Sales_Data[[#This Row],[Month Name]])</f>
        <v>Julho</v>
      </c>
      <c r="R191" s="11" t="str">
        <f>PROPER(Sales_Data[[#This Row],[Sales Manager]])</f>
        <v>John Smith</v>
      </c>
    </row>
    <row r="192" spans="1:18" hidden="1" x14ac:dyDescent="0.25">
      <c r="A192">
        <v>10191</v>
      </c>
      <c r="B192">
        <v>2019</v>
      </c>
      <c r="C192" t="s">
        <v>72</v>
      </c>
      <c r="D192" s="8">
        <v>43656</v>
      </c>
      <c r="E192" t="s">
        <v>19</v>
      </c>
      <c r="F192" t="s">
        <v>21</v>
      </c>
      <c r="G192" t="s">
        <v>23</v>
      </c>
      <c r="H192" s="9">
        <v>35</v>
      </c>
      <c r="I192" s="9">
        <v>479</v>
      </c>
      <c r="J192" s="10">
        <v>167650</v>
      </c>
      <c r="K192" s="10">
        <v>35206.5</v>
      </c>
      <c r="L192">
        <v>28</v>
      </c>
      <c r="M192" s="8">
        <v>43647</v>
      </c>
      <c r="N192" s="23">
        <v>8.4449567891735301E-4</v>
      </c>
      <c r="O192" s="10" t="str">
        <f>IF(Sales_Data[[#This Row],[Total Profit]]&gt;0,"Profitable","Loss")</f>
        <v>Profitable</v>
      </c>
      <c r="P192" s="10" t="str">
        <f>IF(Sales_Data[[#This Row],[Total Profit]]&gt;100000,"High Value",IF(Sales_Data[[#This Row],[Total Profit]]&gt;60000,"Medium","Low"))</f>
        <v>Low</v>
      </c>
      <c r="Q192" s="11" t="str">
        <f>PROPER(Sales_Data[[#This Row],[Month Name]])</f>
        <v>Julho</v>
      </c>
      <c r="R192" s="11" t="str">
        <f>PROPER(Sales_Data[[#This Row],[Sales Manager]])</f>
        <v>John Smith</v>
      </c>
    </row>
    <row r="193" spans="1:18" hidden="1" x14ac:dyDescent="0.25">
      <c r="A193">
        <v>10192</v>
      </c>
      <c r="B193">
        <v>2019</v>
      </c>
      <c r="C193" t="s">
        <v>72</v>
      </c>
      <c r="D193" s="8">
        <v>43657</v>
      </c>
      <c r="E193" t="s">
        <v>19</v>
      </c>
      <c r="F193" t="s">
        <v>21</v>
      </c>
      <c r="G193" t="s">
        <v>20</v>
      </c>
      <c r="H193" s="9">
        <v>25</v>
      </c>
      <c r="I193" s="9">
        <v>274</v>
      </c>
      <c r="J193" s="10">
        <v>232900</v>
      </c>
      <c r="K193" s="10">
        <v>58225</v>
      </c>
      <c r="L193">
        <v>28</v>
      </c>
      <c r="M193" s="8">
        <v>43647</v>
      </c>
      <c r="N193" s="23">
        <v>1.17317652024964E-3</v>
      </c>
      <c r="O193" s="10" t="str">
        <f>IF(Sales_Data[[#This Row],[Total Profit]]&gt;0,"Profitable","Loss")</f>
        <v>Profitable</v>
      </c>
      <c r="P193" s="10" t="str">
        <f>IF(Sales_Data[[#This Row],[Total Profit]]&gt;100000,"High Value",IF(Sales_Data[[#This Row],[Total Profit]]&gt;60000,"Medium","Low"))</f>
        <v>Low</v>
      </c>
      <c r="Q193" s="11" t="str">
        <f>PROPER(Sales_Data[[#This Row],[Month Name]])</f>
        <v>Julho</v>
      </c>
      <c r="R193" s="11" t="str">
        <f>PROPER(Sales_Data[[#This Row],[Sales Manager]])</f>
        <v>John Smith</v>
      </c>
    </row>
    <row r="194" spans="1:18" hidden="1" x14ac:dyDescent="0.25">
      <c r="A194">
        <v>10193</v>
      </c>
      <c r="B194">
        <v>2019</v>
      </c>
      <c r="C194" t="s">
        <v>72</v>
      </c>
      <c r="D194" s="8">
        <v>43658</v>
      </c>
      <c r="E194" t="s">
        <v>11</v>
      </c>
      <c r="F194" t="s">
        <v>16</v>
      </c>
      <c r="G194" t="s">
        <v>20</v>
      </c>
      <c r="H194" s="9">
        <v>17</v>
      </c>
      <c r="I194" s="9">
        <v>317</v>
      </c>
      <c r="J194" s="10">
        <v>269450</v>
      </c>
      <c r="K194" s="10">
        <v>35028.5</v>
      </c>
      <c r="L194">
        <v>28</v>
      </c>
      <c r="M194" s="8">
        <v>43647</v>
      </c>
      <c r="N194" s="23">
        <v>1.35728816393845E-3</v>
      </c>
      <c r="O194" s="10" t="str">
        <f>IF(Sales_Data[[#This Row],[Total Profit]]&gt;0,"Profitable","Loss")</f>
        <v>Profitable</v>
      </c>
      <c r="P194" s="10" t="str">
        <f>IF(Sales_Data[[#This Row],[Total Profit]]&gt;100000,"High Value",IF(Sales_Data[[#This Row],[Total Profit]]&gt;60000,"Medium","Low"))</f>
        <v>Low</v>
      </c>
      <c r="Q194" s="11" t="str">
        <f>PROPER(Sales_Data[[#This Row],[Month Name]])</f>
        <v>Julho</v>
      </c>
      <c r="R194" s="11" t="str">
        <f>PROPER(Sales_Data[[#This Row],[Sales Manager]])</f>
        <v>James Brown</v>
      </c>
    </row>
    <row r="195" spans="1:18" hidden="1" x14ac:dyDescent="0.25">
      <c r="A195">
        <v>10194</v>
      </c>
      <c r="B195">
        <v>2019</v>
      </c>
      <c r="C195" t="s">
        <v>72</v>
      </c>
      <c r="D195" s="8">
        <v>43659</v>
      </c>
      <c r="E195" t="s">
        <v>22</v>
      </c>
      <c r="F195" t="s">
        <v>21</v>
      </c>
      <c r="G195" t="s">
        <v>17</v>
      </c>
      <c r="H195" s="9">
        <v>35</v>
      </c>
      <c r="I195" s="9">
        <v>381</v>
      </c>
      <c r="J195" s="10">
        <v>95250</v>
      </c>
      <c r="K195" s="10">
        <v>27622.499999999996</v>
      </c>
      <c r="L195">
        <v>28</v>
      </c>
      <c r="M195" s="8">
        <v>43647</v>
      </c>
      <c r="N195" s="23">
        <v>4.7979846953103398E-4</v>
      </c>
      <c r="O195" s="10" t="str">
        <f>IF(Sales_Data[[#This Row],[Total Profit]]&gt;0,"Profitable","Loss")</f>
        <v>Profitable</v>
      </c>
      <c r="P195" s="10" t="str">
        <f>IF(Sales_Data[[#This Row],[Total Profit]]&gt;100000,"High Value",IF(Sales_Data[[#This Row],[Total Profit]]&gt;60000,"Medium","Low"))</f>
        <v>Low</v>
      </c>
      <c r="Q195" s="11" t="str">
        <f>PROPER(Sales_Data[[#This Row],[Month Name]])</f>
        <v>Julho</v>
      </c>
      <c r="R195" s="11" t="str">
        <f>PROPER(Sales_Data[[#This Row],[Sales Manager]])</f>
        <v>John Smith</v>
      </c>
    </row>
    <row r="196" spans="1:18" hidden="1" x14ac:dyDescent="0.25">
      <c r="A196">
        <v>10195</v>
      </c>
      <c r="B196">
        <v>2019</v>
      </c>
      <c r="C196" t="s">
        <v>72</v>
      </c>
      <c r="D196" s="8">
        <v>43660</v>
      </c>
      <c r="E196" t="s">
        <v>25</v>
      </c>
      <c r="F196" t="s">
        <v>21</v>
      </c>
      <c r="G196" t="s">
        <v>20</v>
      </c>
      <c r="H196" s="9">
        <v>12</v>
      </c>
      <c r="I196" s="9">
        <v>171</v>
      </c>
      <c r="J196" s="10">
        <v>145350</v>
      </c>
      <c r="K196" s="10">
        <v>21802.5</v>
      </c>
      <c r="L196">
        <v>29</v>
      </c>
      <c r="M196" s="8">
        <v>43647</v>
      </c>
      <c r="N196" s="23">
        <v>7.3216490862294803E-4</v>
      </c>
      <c r="O196" s="10" t="str">
        <f>IF(Sales_Data[[#This Row],[Total Profit]]&gt;0,"Profitable","Loss")</f>
        <v>Profitable</v>
      </c>
      <c r="P196" s="10" t="str">
        <f>IF(Sales_Data[[#This Row],[Total Profit]]&gt;100000,"High Value",IF(Sales_Data[[#This Row],[Total Profit]]&gt;60000,"Medium","Low"))</f>
        <v>Low</v>
      </c>
      <c r="Q196" s="11" t="str">
        <f>PROPER(Sales_Data[[#This Row],[Month Name]])</f>
        <v>Julho</v>
      </c>
      <c r="R196" s="11" t="str">
        <f>PROPER(Sales_Data[[#This Row],[Sales Manager]])</f>
        <v>John Smith</v>
      </c>
    </row>
    <row r="197" spans="1:18" hidden="1" x14ac:dyDescent="0.25">
      <c r="A197">
        <v>10196</v>
      </c>
      <c r="B197">
        <v>2019</v>
      </c>
      <c r="C197" t="s">
        <v>72</v>
      </c>
      <c r="D197" s="8">
        <v>43661</v>
      </c>
      <c r="E197" t="s">
        <v>19</v>
      </c>
      <c r="F197" t="s">
        <v>21</v>
      </c>
      <c r="G197" t="s">
        <v>23</v>
      </c>
      <c r="H197" s="9">
        <v>22</v>
      </c>
      <c r="I197" s="9">
        <v>268</v>
      </c>
      <c r="J197" s="10">
        <v>93800</v>
      </c>
      <c r="K197" s="10">
        <v>26264.000000000004</v>
      </c>
      <c r="L197">
        <v>29</v>
      </c>
      <c r="M197" s="8">
        <v>43647</v>
      </c>
      <c r="N197" s="23">
        <v>4.7249445083476102E-4</v>
      </c>
      <c r="O197" s="10" t="str">
        <f>IF(Sales_Data[[#This Row],[Total Profit]]&gt;0,"Profitable","Loss")</f>
        <v>Profitable</v>
      </c>
      <c r="P197" s="10" t="str">
        <f>IF(Sales_Data[[#This Row],[Total Profit]]&gt;100000,"High Value",IF(Sales_Data[[#This Row],[Total Profit]]&gt;60000,"Medium","Low"))</f>
        <v>Low</v>
      </c>
      <c r="Q197" s="11" t="str">
        <f>PROPER(Sales_Data[[#This Row],[Month Name]])</f>
        <v>Julho</v>
      </c>
      <c r="R197" s="11" t="str">
        <f>PROPER(Sales_Data[[#This Row],[Sales Manager]])</f>
        <v>John Smith</v>
      </c>
    </row>
    <row r="198" spans="1:18" hidden="1" x14ac:dyDescent="0.25">
      <c r="A198">
        <v>10197</v>
      </c>
      <c r="B198">
        <v>2019</v>
      </c>
      <c r="C198" t="s">
        <v>72</v>
      </c>
      <c r="D198" s="8">
        <v>43662</v>
      </c>
      <c r="E198" t="s">
        <v>11</v>
      </c>
      <c r="F198" t="s">
        <v>12</v>
      </c>
      <c r="G198" t="s">
        <v>15</v>
      </c>
      <c r="H198" s="9">
        <v>4</v>
      </c>
      <c r="I198" s="9">
        <v>295</v>
      </c>
      <c r="J198" s="10">
        <v>147500</v>
      </c>
      <c r="K198" s="10">
        <v>38350</v>
      </c>
      <c r="L198">
        <v>29</v>
      </c>
      <c r="M198" s="8">
        <v>43647</v>
      </c>
      <c r="N198" s="23">
        <v>7.4299500531052501E-4</v>
      </c>
      <c r="O198" s="10" t="str">
        <f>IF(Sales_Data[[#This Row],[Total Profit]]&gt;0,"Profitable","Loss")</f>
        <v>Profitable</v>
      </c>
      <c r="P198" s="10" t="str">
        <f>IF(Sales_Data[[#This Row],[Total Profit]]&gt;100000,"High Value",IF(Sales_Data[[#This Row],[Total Profit]]&gt;60000,"Medium","Low"))</f>
        <v>Low</v>
      </c>
      <c r="Q198" s="11" t="str">
        <f>PROPER(Sales_Data[[#This Row],[Month Name]])</f>
        <v>Julho</v>
      </c>
      <c r="R198" s="11" t="str">
        <f>PROPER(Sales_Data[[#This Row],[Sales Manager]])</f>
        <v>Emily White</v>
      </c>
    </row>
    <row r="199" spans="1:18" hidden="1" x14ac:dyDescent="0.25">
      <c r="A199">
        <v>10198</v>
      </c>
      <c r="B199">
        <v>2019</v>
      </c>
      <c r="C199" t="s">
        <v>72</v>
      </c>
      <c r="D199" s="8">
        <v>43663</v>
      </c>
      <c r="E199" t="s">
        <v>11</v>
      </c>
      <c r="F199" t="s">
        <v>16</v>
      </c>
      <c r="G199" t="s">
        <v>23</v>
      </c>
      <c r="H199" s="9">
        <v>1</v>
      </c>
      <c r="I199" s="9">
        <v>70</v>
      </c>
      <c r="J199" s="10">
        <v>24500</v>
      </c>
      <c r="K199" s="10">
        <v>5390</v>
      </c>
      <c r="L199">
        <v>29</v>
      </c>
      <c r="M199" s="8">
        <v>43647</v>
      </c>
      <c r="N199" s="23">
        <v>1.2341272969564699E-4</v>
      </c>
      <c r="O199" s="10" t="str">
        <f>IF(Sales_Data[[#This Row],[Total Profit]]&gt;0,"Profitable","Loss")</f>
        <v>Profitable</v>
      </c>
      <c r="P199" s="10" t="str">
        <f>IF(Sales_Data[[#This Row],[Total Profit]]&gt;100000,"High Value",IF(Sales_Data[[#This Row],[Total Profit]]&gt;60000,"Medium","Low"))</f>
        <v>Low</v>
      </c>
      <c r="Q199" s="11" t="str">
        <f>PROPER(Sales_Data[[#This Row],[Month Name]])</f>
        <v>Julho</v>
      </c>
      <c r="R199" s="11" t="str">
        <f>PROPER(Sales_Data[[#This Row],[Sales Manager]])</f>
        <v>James Brown</v>
      </c>
    </row>
    <row r="200" spans="1:18" hidden="1" x14ac:dyDescent="0.25">
      <c r="A200">
        <v>10199</v>
      </c>
      <c r="B200">
        <v>2019</v>
      </c>
      <c r="C200" t="s">
        <v>72</v>
      </c>
      <c r="D200" s="8">
        <v>43664</v>
      </c>
      <c r="E200" t="s">
        <v>19</v>
      </c>
      <c r="F200" t="s">
        <v>18</v>
      </c>
      <c r="G200" t="s">
        <v>23</v>
      </c>
      <c r="H200" s="9">
        <v>9</v>
      </c>
      <c r="I200" s="9">
        <v>110</v>
      </c>
      <c r="J200" s="10">
        <v>38500</v>
      </c>
      <c r="K200" s="10">
        <v>7315</v>
      </c>
      <c r="L200">
        <v>29</v>
      </c>
      <c r="M200" s="8">
        <v>43647</v>
      </c>
      <c r="N200" s="23">
        <v>1.9393428952173001E-4</v>
      </c>
      <c r="O200" s="10" t="str">
        <f>IF(Sales_Data[[#This Row],[Total Profit]]&gt;0,"Profitable","Loss")</f>
        <v>Profitable</v>
      </c>
      <c r="P200" s="10" t="str">
        <f>IF(Sales_Data[[#This Row],[Total Profit]]&gt;100000,"High Value",IF(Sales_Data[[#This Row],[Total Profit]]&gt;60000,"Medium","Low"))</f>
        <v>Low</v>
      </c>
      <c r="Q200" s="11" t="str">
        <f>PROPER(Sales_Data[[#This Row],[Month Name]])</f>
        <v>Julho</v>
      </c>
      <c r="R200" s="11" t="str">
        <f>PROPER(Sales_Data[[#This Row],[Sales Manager]])</f>
        <v>Jane Doe</v>
      </c>
    </row>
    <row r="201" spans="1:18" hidden="1" x14ac:dyDescent="0.25">
      <c r="A201">
        <v>10200</v>
      </c>
      <c r="B201">
        <v>2019</v>
      </c>
      <c r="C201" t="s">
        <v>72</v>
      </c>
      <c r="D201" s="8">
        <v>43665</v>
      </c>
      <c r="E201" t="s">
        <v>14</v>
      </c>
      <c r="F201" t="s">
        <v>24</v>
      </c>
      <c r="G201" t="s">
        <v>20</v>
      </c>
      <c r="H201" s="9">
        <v>24</v>
      </c>
      <c r="I201" s="9">
        <v>299</v>
      </c>
      <c r="J201" s="10">
        <v>254150</v>
      </c>
      <c r="K201" s="10">
        <v>94035.5</v>
      </c>
      <c r="L201">
        <v>29</v>
      </c>
      <c r="M201" s="8">
        <v>43647</v>
      </c>
      <c r="N201" s="23">
        <v>1.28021817355708E-3</v>
      </c>
      <c r="O201" s="10" t="str">
        <f>IF(Sales_Data[[#This Row],[Total Profit]]&gt;0,"Profitable","Loss")</f>
        <v>Profitable</v>
      </c>
      <c r="P201" s="10" t="str">
        <f>IF(Sales_Data[[#This Row],[Total Profit]]&gt;100000,"High Value",IF(Sales_Data[[#This Row],[Total Profit]]&gt;60000,"Medium","Low"))</f>
        <v>Medium</v>
      </c>
      <c r="Q201" s="11" t="str">
        <f>PROPER(Sales_Data[[#This Row],[Month Name]])</f>
        <v>Julho</v>
      </c>
      <c r="R201" s="11" t="str">
        <f>PROPER(Sales_Data[[#This Row],[Sales Manager]])</f>
        <v>Liam Lee</v>
      </c>
    </row>
    <row r="202" spans="1:18" hidden="1" x14ac:dyDescent="0.25">
      <c r="A202">
        <v>10201</v>
      </c>
      <c r="B202">
        <v>2019</v>
      </c>
      <c r="C202" t="s">
        <v>72</v>
      </c>
      <c r="D202" s="8">
        <v>43666</v>
      </c>
      <c r="E202" t="s">
        <v>19</v>
      </c>
      <c r="F202" t="s">
        <v>18</v>
      </c>
      <c r="G202" t="s">
        <v>17</v>
      </c>
      <c r="H202" s="9">
        <v>21</v>
      </c>
      <c r="I202" s="9">
        <v>343</v>
      </c>
      <c r="J202" s="10">
        <v>85750</v>
      </c>
      <c r="K202" s="10">
        <v>24867.5</v>
      </c>
      <c r="L202">
        <v>29</v>
      </c>
      <c r="M202" s="8">
        <v>43647</v>
      </c>
      <c r="N202" s="23">
        <v>4.3194455393476299E-4</v>
      </c>
      <c r="O202" s="10" t="str">
        <f>IF(Sales_Data[[#This Row],[Total Profit]]&gt;0,"Profitable","Loss")</f>
        <v>Profitable</v>
      </c>
      <c r="P202" s="10" t="str">
        <f>IF(Sales_Data[[#This Row],[Total Profit]]&gt;100000,"High Value",IF(Sales_Data[[#This Row],[Total Profit]]&gt;60000,"Medium","Low"))</f>
        <v>Low</v>
      </c>
      <c r="Q202" s="11" t="str">
        <f>PROPER(Sales_Data[[#This Row],[Month Name]])</f>
        <v>Julho</v>
      </c>
      <c r="R202" s="11" t="str">
        <f>PROPER(Sales_Data[[#This Row],[Sales Manager]])</f>
        <v>Jane Doe</v>
      </c>
    </row>
    <row r="203" spans="1:18" hidden="1" x14ac:dyDescent="0.25">
      <c r="A203">
        <v>10202</v>
      </c>
      <c r="B203">
        <v>2019</v>
      </c>
      <c r="C203" t="s">
        <v>72</v>
      </c>
      <c r="D203" s="8">
        <v>43667</v>
      </c>
      <c r="E203" t="s">
        <v>25</v>
      </c>
      <c r="F203" t="s">
        <v>16</v>
      </c>
      <c r="G203" t="s">
        <v>17</v>
      </c>
      <c r="H203" s="9">
        <v>7</v>
      </c>
      <c r="I203" s="9">
        <v>104</v>
      </c>
      <c r="J203" s="10">
        <v>26000</v>
      </c>
      <c r="K203" s="10">
        <v>7020.0000000000009</v>
      </c>
      <c r="L203">
        <v>30</v>
      </c>
      <c r="M203" s="8">
        <v>43647</v>
      </c>
      <c r="N203" s="23">
        <v>1.3096861110558399E-4</v>
      </c>
      <c r="O203" s="10" t="str">
        <f>IF(Sales_Data[[#This Row],[Total Profit]]&gt;0,"Profitable","Loss")</f>
        <v>Profitable</v>
      </c>
      <c r="P203" s="10" t="str">
        <f>IF(Sales_Data[[#This Row],[Total Profit]]&gt;100000,"High Value",IF(Sales_Data[[#This Row],[Total Profit]]&gt;60000,"Medium","Low"))</f>
        <v>Low</v>
      </c>
      <c r="Q203" s="11" t="str">
        <f>PROPER(Sales_Data[[#This Row],[Month Name]])</f>
        <v>Julho</v>
      </c>
      <c r="R203" s="11" t="str">
        <f>PROPER(Sales_Data[[#This Row],[Sales Manager]])</f>
        <v>James Brown</v>
      </c>
    </row>
    <row r="204" spans="1:18" hidden="1" x14ac:dyDescent="0.25">
      <c r="A204">
        <v>10203</v>
      </c>
      <c r="B204">
        <v>2019</v>
      </c>
      <c r="C204" t="s">
        <v>72</v>
      </c>
      <c r="D204" s="8">
        <v>43668</v>
      </c>
      <c r="E204" t="s">
        <v>25</v>
      </c>
      <c r="F204" t="s">
        <v>18</v>
      </c>
      <c r="G204" t="s">
        <v>17</v>
      </c>
      <c r="H204" s="9">
        <v>6</v>
      </c>
      <c r="I204" s="9">
        <v>293</v>
      </c>
      <c r="J204" s="10">
        <v>73250</v>
      </c>
      <c r="K204" s="10">
        <v>7325</v>
      </c>
      <c r="L204">
        <v>30</v>
      </c>
      <c r="M204" s="8">
        <v>43647</v>
      </c>
      <c r="N204" s="23">
        <v>3.6897887551861703E-4</v>
      </c>
      <c r="O204" s="10" t="str">
        <f>IF(Sales_Data[[#This Row],[Total Profit]]&gt;0,"Profitable","Loss")</f>
        <v>Profitable</v>
      </c>
      <c r="P204" s="10" t="str">
        <f>IF(Sales_Data[[#This Row],[Total Profit]]&gt;100000,"High Value",IF(Sales_Data[[#This Row],[Total Profit]]&gt;60000,"Medium","Low"))</f>
        <v>Low</v>
      </c>
      <c r="Q204" s="11" t="str">
        <f>PROPER(Sales_Data[[#This Row],[Month Name]])</f>
        <v>Julho</v>
      </c>
      <c r="R204" s="11" t="str">
        <f>PROPER(Sales_Data[[#This Row],[Sales Manager]])</f>
        <v>Jane Doe</v>
      </c>
    </row>
    <row r="205" spans="1:18" hidden="1" x14ac:dyDescent="0.25">
      <c r="A205">
        <v>10204</v>
      </c>
      <c r="B205">
        <v>2019</v>
      </c>
      <c r="C205" t="s">
        <v>72</v>
      </c>
      <c r="D205" s="8">
        <v>43669</v>
      </c>
      <c r="E205" t="s">
        <v>25</v>
      </c>
      <c r="F205" t="s">
        <v>12</v>
      </c>
      <c r="G205" t="s">
        <v>13</v>
      </c>
      <c r="H205" s="9">
        <v>17</v>
      </c>
      <c r="I205" s="9">
        <v>351</v>
      </c>
      <c r="J205" s="10">
        <v>263250</v>
      </c>
      <c r="K205" s="10">
        <v>97402.5</v>
      </c>
      <c r="L205">
        <v>30</v>
      </c>
      <c r="M205" s="8">
        <v>43647</v>
      </c>
      <c r="N205" s="23">
        <v>1.32605718744404E-3</v>
      </c>
      <c r="O205" s="10" t="str">
        <f>IF(Sales_Data[[#This Row],[Total Profit]]&gt;0,"Profitable","Loss")</f>
        <v>Profitable</v>
      </c>
      <c r="P205" s="10" t="str">
        <f>IF(Sales_Data[[#This Row],[Total Profit]]&gt;100000,"High Value",IF(Sales_Data[[#This Row],[Total Profit]]&gt;60000,"Medium","Low"))</f>
        <v>Medium</v>
      </c>
      <c r="Q205" s="11" t="str">
        <f>PROPER(Sales_Data[[#This Row],[Month Name]])</f>
        <v>Julho</v>
      </c>
      <c r="R205" s="11" t="str">
        <f>PROPER(Sales_Data[[#This Row],[Sales Manager]])</f>
        <v>Emily White</v>
      </c>
    </row>
    <row r="206" spans="1:18" hidden="1" x14ac:dyDescent="0.25">
      <c r="A206">
        <v>10205</v>
      </c>
      <c r="B206">
        <v>2019</v>
      </c>
      <c r="C206" t="s">
        <v>72</v>
      </c>
      <c r="D206" s="8">
        <v>43670</v>
      </c>
      <c r="E206" t="s">
        <v>19</v>
      </c>
      <c r="F206" t="s">
        <v>24</v>
      </c>
      <c r="G206" t="s">
        <v>20</v>
      </c>
      <c r="H206" s="9">
        <v>14</v>
      </c>
      <c r="I206" s="9">
        <v>328</v>
      </c>
      <c r="J206" s="10">
        <v>278800</v>
      </c>
      <c r="K206" s="10">
        <v>55760</v>
      </c>
      <c r="L206">
        <v>30</v>
      </c>
      <c r="M206" s="8">
        <v>43647</v>
      </c>
      <c r="N206" s="23">
        <v>1.4043864913937201E-3</v>
      </c>
      <c r="O206" s="10" t="str">
        <f>IF(Sales_Data[[#This Row],[Total Profit]]&gt;0,"Profitable","Loss")</f>
        <v>Profitable</v>
      </c>
      <c r="P206" s="10" t="str">
        <f>IF(Sales_Data[[#This Row],[Total Profit]]&gt;100000,"High Value",IF(Sales_Data[[#This Row],[Total Profit]]&gt;60000,"Medium","Low"))</f>
        <v>Low</v>
      </c>
      <c r="Q206" s="11" t="str">
        <f>PROPER(Sales_Data[[#This Row],[Month Name]])</f>
        <v>Julho</v>
      </c>
      <c r="R206" s="11" t="str">
        <f>PROPER(Sales_Data[[#This Row],[Sales Manager]])</f>
        <v>Liam Lee</v>
      </c>
    </row>
    <row r="207" spans="1:18" hidden="1" x14ac:dyDescent="0.25">
      <c r="A207">
        <v>10206</v>
      </c>
      <c r="B207">
        <v>2019</v>
      </c>
      <c r="C207" t="s">
        <v>72</v>
      </c>
      <c r="D207" s="8">
        <v>43671</v>
      </c>
      <c r="E207" t="s">
        <v>14</v>
      </c>
      <c r="F207" t="s">
        <v>12</v>
      </c>
      <c r="G207" t="s">
        <v>17</v>
      </c>
      <c r="H207" s="9">
        <v>32</v>
      </c>
      <c r="I207" s="9">
        <v>378</v>
      </c>
      <c r="J207" s="10">
        <v>94500</v>
      </c>
      <c r="K207" s="10">
        <v>15120</v>
      </c>
      <c r="L207">
        <v>30</v>
      </c>
      <c r="M207" s="8">
        <v>43647</v>
      </c>
      <c r="N207" s="23">
        <v>4.7602052882606498E-4</v>
      </c>
      <c r="O207" s="10" t="str">
        <f>IF(Sales_Data[[#This Row],[Total Profit]]&gt;0,"Profitable","Loss")</f>
        <v>Profitable</v>
      </c>
      <c r="P207" s="10" t="str">
        <f>IF(Sales_Data[[#This Row],[Total Profit]]&gt;100000,"High Value",IF(Sales_Data[[#This Row],[Total Profit]]&gt;60000,"Medium","Low"))</f>
        <v>Low</v>
      </c>
      <c r="Q207" s="11" t="str">
        <f>PROPER(Sales_Data[[#This Row],[Month Name]])</f>
        <v>Julho</v>
      </c>
      <c r="R207" s="11" t="str">
        <f>PROPER(Sales_Data[[#This Row],[Sales Manager]])</f>
        <v>Emily White</v>
      </c>
    </row>
    <row r="208" spans="1:18" hidden="1" x14ac:dyDescent="0.25">
      <c r="A208">
        <v>10207</v>
      </c>
      <c r="B208">
        <v>2019</v>
      </c>
      <c r="C208" t="s">
        <v>72</v>
      </c>
      <c r="D208" s="8">
        <v>43672</v>
      </c>
      <c r="E208" t="s">
        <v>19</v>
      </c>
      <c r="F208" t="s">
        <v>18</v>
      </c>
      <c r="G208" t="s">
        <v>17</v>
      </c>
      <c r="H208" s="9">
        <v>5</v>
      </c>
      <c r="I208" s="9">
        <v>95</v>
      </c>
      <c r="J208" s="10">
        <v>23750</v>
      </c>
      <c r="K208" s="10">
        <v>9737.5</v>
      </c>
      <c r="L208">
        <v>30</v>
      </c>
      <c r="M208" s="8">
        <v>43647</v>
      </c>
      <c r="N208" s="23">
        <v>1.1963478899067799E-4</v>
      </c>
      <c r="O208" s="10" t="str">
        <f>IF(Sales_Data[[#This Row],[Total Profit]]&gt;0,"Profitable","Loss")</f>
        <v>Profitable</v>
      </c>
      <c r="P208" s="10" t="str">
        <f>IF(Sales_Data[[#This Row],[Total Profit]]&gt;100000,"High Value",IF(Sales_Data[[#This Row],[Total Profit]]&gt;60000,"Medium","Low"))</f>
        <v>Low</v>
      </c>
      <c r="Q208" s="11" t="str">
        <f>PROPER(Sales_Data[[#This Row],[Month Name]])</f>
        <v>Julho</v>
      </c>
      <c r="R208" s="11" t="str">
        <f>PROPER(Sales_Data[[#This Row],[Sales Manager]])</f>
        <v>Jane Doe</v>
      </c>
    </row>
    <row r="209" spans="1:18" hidden="1" x14ac:dyDescent="0.25">
      <c r="A209">
        <v>10208</v>
      </c>
      <c r="B209">
        <v>2019</v>
      </c>
      <c r="C209" t="s">
        <v>72</v>
      </c>
      <c r="D209" s="8">
        <v>43673</v>
      </c>
      <c r="E209" t="s">
        <v>11</v>
      </c>
      <c r="F209" t="s">
        <v>16</v>
      </c>
      <c r="G209" t="s">
        <v>13</v>
      </c>
      <c r="H209" s="9">
        <v>2</v>
      </c>
      <c r="I209" s="9">
        <v>47</v>
      </c>
      <c r="J209" s="10">
        <v>35250</v>
      </c>
      <c r="K209" s="10">
        <v>4582.5</v>
      </c>
      <c r="L209">
        <v>30</v>
      </c>
      <c r="M209" s="8">
        <v>43647</v>
      </c>
      <c r="N209" s="23">
        <v>1.77563213133532E-4</v>
      </c>
      <c r="O209" s="10" t="str">
        <f>IF(Sales_Data[[#This Row],[Total Profit]]&gt;0,"Profitable","Loss")</f>
        <v>Profitable</v>
      </c>
      <c r="P209" s="10" t="str">
        <f>IF(Sales_Data[[#This Row],[Total Profit]]&gt;100000,"High Value",IF(Sales_Data[[#This Row],[Total Profit]]&gt;60000,"Medium","Low"))</f>
        <v>Low</v>
      </c>
      <c r="Q209" s="11" t="str">
        <f>PROPER(Sales_Data[[#This Row],[Month Name]])</f>
        <v>Julho</v>
      </c>
      <c r="R209" s="11" t="str">
        <f>PROPER(Sales_Data[[#This Row],[Sales Manager]])</f>
        <v>James Brown</v>
      </c>
    </row>
    <row r="210" spans="1:18" hidden="1" x14ac:dyDescent="0.25">
      <c r="A210">
        <v>10209</v>
      </c>
      <c r="B210">
        <v>2019</v>
      </c>
      <c r="C210" t="s">
        <v>72</v>
      </c>
      <c r="D210" s="8">
        <v>43674</v>
      </c>
      <c r="E210" t="s">
        <v>19</v>
      </c>
      <c r="F210" t="s">
        <v>21</v>
      </c>
      <c r="G210" t="s">
        <v>23</v>
      </c>
      <c r="H210" s="9">
        <v>21</v>
      </c>
      <c r="I210" s="9">
        <v>243</v>
      </c>
      <c r="J210" s="10">
        <v>85050</v>
      </c>
      <c r="K210" s="10">
        <v>16159.5</v>
      </c>
      <c r="L210">
        <v>31</v>
      </c>
      <c r="M210" s="8">
        <v>43647</v>
      </c>
      <c r="N210" s="23">
        <v>4.2841847594345898E-4</v>
      </c>
      <c r="O210" s="10" t="str">
        <f>IF(Sales_Data[[#This Row],[Total Profit]]&gt;0,"Profitable","Loss")</f>
        <v>Profitable</v>
      </c>
      <c r="P210" s="10" t="str">
        <f>IF(Sales_Data[[#This Row],[Total Profit]]&gt;100000,"High Value",IF(Sales_Data[[#This Row],[Total Profit]]&gt;60000,"Medium","Low"))</f>
        <v>Low</v>
      </c>
      <c r="Q210" s="11" t="str">
        <f>PROPER(Sales_Data[[#This Row],[Month Name]])</f>
        <v>Julho</v>
      </c>
      <c r="R210" s="11" t="str">
        <f>PROPER(Sales_Data[[#This Row],[Sales Manager]])</f>
        <v>John Smith</v>
      </c>
    </row>
    <row r="211" spans="1:18" hidden="1" x14ac:dyDescent="0.25">
      <c r="A211">
        <v>10210</v>
      </c>
      <c r="B211">
        <v>2019</v>
      </c>
      <c r="C211" t="s">
        <v>72</v>
      </c>
      <c r="D211" s="8">
        <v>43675</v>
      </c>
      <c r="E211" t="s">
        <v>11</v>
      </c>
      <c r="F211" t="s">
        <v>12</v>
      </c>
      <c r="G211" t="s">
        <v>13</v>
      </c>
      <c r="H211" s="9">
        <v>17</v>
      </c>
      <c r="I211" s="9">
        <v>455</v>
      </c>
      <c r="J211" s="10">
        <v>341250</v>
      </c>
      <c r="K211" s="10">
        <v>129675</v>
      </c>
      <c r="L211">
        <v>31</v>
      </c>
      <c r="M211" s="8">
        <v>43647</v>
      </c>
      <c r="N211" s="23">
        <v>1.71896302076079E-3</v>
      </c>
      <c r="O211" s="10" t="str">
        <f>IF(Sales_Data[[#This Row],[Total Profit]]&gt;0,"Profitable","Loss")</f>
        <v>Profitable</v>
      </c>
      <c r="P211" s="10" t="str">
        <f>IF(Sales_Data[[#This Row],[Total Profit]]&gt;100000,"High Value",IF(Sales_Data[[#This Row],[Total Profit]]&gt;60000,"Medium","Low"))</f>
        <v>High Value</v>
      </c>
      <c r="Q211" s="11" t="str">
        <f>PROPER(Sales_Data[[#This Row],[Month Name]])</f>
        <v>Julho</v>
      </c>
      <c r="R211" s="11" t="str">
        <f>PROPER(Sales_Data[[#This Row],[Sales Manager]])</f>
        <v>Emily White</v>
      </c>
    </row>
    <row r="212" spans="1:18" hidden="1" x14ac:dyDescent="0.25">
      <c r="A212">
        <v>10211</v>
      </c>
      <c r="B212">
        <v>2019</v>
      </c>
      <c r="C212" t="s">
        <v>72</v>
      </c>
      <c r="D212" s="8">
        <v>43676</v>
      </c>
      <c r="E212" t="s">
        <v>22</v>
      </c>
      <c r="F212" t="s">
        <v>12</v>
      </c>
      <c r="G212" t="s">
        <v>13</v>
      </c>
      <c r="H212" s="9">
        <v>3</v>
      </c>
      <c r="I212" s="9">
        <v>50</v>
      </c>
      <c r="J212" s="10">
        <v>37500</v>
      </c>
      <c r="K212" s="10">
        <v>4875</v>
      </c>
      <c r="L212">
        <v>31</v>
      </c>
      <c r="M212" s="8">
        <v>43647</v>
      </c>
      <c r="N212" s="23">
        <v>1.8889703524843901E-4</v>
      </c>
      <c r="O212" s="10" t="str">
        <f>IF(Sales_Data[[#This Row],[Total Profit]]&gt;0,"Profitable","Loss")</f>
        <v>Profitable</v>
      </c>
      <c r="P212" s="10" t="str">
        <f>IF(Sales_Data[[#This Row],[Total Profit]]&gt;100000,"High Value",IF(Sales_Data[[#This Row],[Total Profit]]&gt;60000,"Medium","Low"))</f>
        <v>Low</v>
      </c>
      <c r="Q212" s="11" t="str">
        <f>PROPER(Sales_Data[[#This Row],[Month Name]])</f>
        <v>Julho</v>
      </c>
      <c r="R212" s="11" t="str">
        <f>PROPER(Sales_Data[[#This Row],[Sales Manager]])</f>
        <v>Emily White</v>
      </c>
    </row>
    <row r="213" spans="1:18" hidden="1" x14ac:dyDescent="0.25">
      <c r="A213">
        <v>10212</v>
      </c>
      <c r="B213">
        <v>2019</v>
      </c>
      <c r="C213" t="s">
        <v>72</v>
      </c>
      <c r="D213" s="8">
        <v>43677</v>
      </c>
      <c r="E213" t="s">
        <v>19</v>
      </c>
      <c r="F213" t="s">
        <v>21</v>
      </c>
      <c r="G213" t="s">
        <v>15</v>
      </c>
      <c r="H213" s="9">
        <v>9</v>
      </c>
      <c r="I213" s="9">
        <v>310</v>
      </c>
      <c r="J213" s="10">
        <v>155000</v>
      </c>
      <c r="K213" s="10">
        <v>66650</v>
      </c>
      <c r="L213">
        <v>31</v>
      </c>
      <c r="M213" s="8">
        <v>43647</v>
      </c>
      <c r="N213" s="23">
        <v>7.8077441236021295E-4</v>
      </c>
      <c r="O213" s="10" t="str">
        <f>IF(Sales_Data[[#This Row],[Total Profit]]&gt;0,"Profitable","Loss")</f>
        <v>Profitable</v>
      </c>
      <c r="P213" s="10" t="str">
        <f>IF(Sales_Data[[#This Row],[Total Profit]]&gt;100000,"High Value",IF(Sales_Data[[#This Row],[Total Profit]]&gt;60000,"Medium","Low"))</f>
        <v>Medium</v>
      </c>
      <c r="Q213" s="11" t="str">
        <f>PROPER(Sales_Data[[#This Row],[Month Name]])</f>
        <v>Julho</v>
      </c>
      <c r="R213" s="11" t="str">
        <f>PROPER(Sales_Data[[#This Row],[Sales Manager]])</f>
        <v>John Smith</v>
      </c>
    </row>
    <row r="214" spans="1:18" hidden="1" x14ac:dyDescent="0.25">
      <c r="A214">
        <v>10213</v>
      </c>
      <c r="B214">
        <v>2019</v>
      </c>
      <c r="C214" t="s">
        <v>73</v>
      </c>
      <c r="D214" s="8">
        <v>43678</v>
      </c>
      <c r="E214" t="s">
        <v>19</v>
      </c>
      <c r="F214" t="s">
        <v>21</v>
      </c>
      <c r="G214" t="s">
        <v>23</v>
      </c>
      <c r="H214" s="9">
        <v>16</v>
      </c>
      <c r="I214" s="9">
        <v>171</v>
      </c>
      <c r="J214" s="10">
        <v>59850</v>
      </c>
      <c r="K214" s="10">
        <v>11970</v>
      </c>
      <c r="L214">
        <v>31</v>
      </c>
      <c r="M214" s="8">
        <v>43647</v>
      </c>
      <c r="N214" s="23">
        <v>3.0147966825650802E-4</v>
      </c>
      <c r="O214" s="10" t="str">
        <f>IF(Sales_Data[[#This Row],[Total Profit]]&gt;0,"Profitable","Loss")</f>
        <v>Profitable</v>
      </c>
      <c r="P214" s="10" t="str">
        <f>IF(Sales_Data[[#This Row],[Total Profit]]&gt;100000,"High Value",IF(Sales_Data[[#This Row],[Total Profit]]&gt;60000,"Medium","Low"))</f>
        <v>Low</v>
      </c>
      <c r="Q214" s="11" t="str">
        <f>PROPER(Sales_Data[[#This Row],[Month Name]])</f>
        <v>Agosto</v>
      </c>
      <c r="R214" s="11" t="str">
        <f>PROPER(Sales_Data[[#This Row],[Sales Manager]])</f>
        <v>John Smith</v>
      </c>
    </row>
    <row r="215" spans="1:18" hidden="1" x14ac:dyDescent="0.25">
      <c r="A215">
        <v>10214</v>
      </c>
      <c r="B215">
        <v>2019</v>
      </c>
      <c r="C215" t="s">
        <v>73</v>
      </c>
      <c r="D215" s="8">
        <v>43679</v>
      </c>
      <c r="E215" t="s">
        <v>14</v>
      </c>
      <c r="F215" t="s">
        <v>21</v>
      </c>
      <c r="G215" t="s">
        <v>23</v>
      </c>
      <c r="H215" s="9">
        <v>11</v>
      </c>
      <c r="I215" s="9">
        <v>234</v>
      </c>
      <c r="J215" s="10">
        <v>81900</v>
      </c>
      <c r="K215" s="10">
        <v>30303</v>
      </c>
      <c r="L215">
        <v>31</v>
      </c>
      <c r="M215" s="8">
        <v>43647</v>
      </c>
      <c r="N215" s="23">
        <v>4.1255112498259002E-4</v>
      </c>
      <c r="O215" s="10" t="str">
        <f>IF(Sales_Data[[#This Row],[Total Profit]]&gt;0,"Profitable","Loss")</f>
        <v>Profitable</v>
      </c>
      <c r="P215" s="10" t="str">
        <f>IF(Sales_Data[[#This Row],[Total Profit]]&gt;100000,"High Value",IF(Sales_Data[[#This Row],[Total Profit]]&gt;60000,"Medium","Low"))</f>
        <v>Low</v>
      </c>
      <c r="Q215" s="11" t="str">
        <f>PROPER(Sales_Data[[#This Row],[Month Name]])</f>
        <v>Agosto</v>
      </c>
      <c r="R215" s="11" t="str">
        <f>PROPER(Sales_Data[[#This Row],[Sales Manager]])</f>
        <v>John Smith</v>
      </c>
    </row>
    <row r="216" spans="1:18" hidden="1" x14ac:dyDescent="0.25">
      <c r="A216">
        <v>10215</v>
      </c>
      <c r="B216">
        <v>2019</v>
      </c>
      <c r="C216" t="s">
        <v>73</v>
      </c>
      <c r="D216" s="8">
        <v>43680</v>
      </c>
      <c r="E216" t="s">
        <v>14</v>
      </c>
      <c r="F216" t="s">
        <v>18</v>
      </c>
      <c r="G216" t="s">
        <v>20</v>
      </c>
      <c r="H216" s="9">
        <v>15</v>
      </c>
      <c r="I216" s="9">
        <v>259</v>
      </c>
      <c r="J216" s="10">
        <v>220150</v>
      </c>
      <c r="K216" s="10">
        <v>59440.500000000007</v>
      </c>
      <c r="L216">
        <v>31</v>
      </c>
      <c r="M216" s="8">
        <v>43647</v>
      </c>
      <c r="N216" s="23">
        <v>1.1089515282651701E-3</v>
      </c>
      <c r="O216" s="10" t="str">
        <f>IF(Sales_Data[[#This Row],[Total Profit]]&gt;0,"Profitable","Loss")</f>
        <v>Profitable</v>
      </c>
      <c r="P216" s="10" t="str">
        <f>IF(Sales_Data[[#This Row],[Total Profit]]&gt;100000,"High Value",IF(Sales_Data[[#This Row],[Total Profit]]&gt;60000,"Medium","Low"))</f>
        <v>Low</v>
      </c>
      <c r="Q216" s="11" t="str">
        <f>PROPER(Sales_Data[[#This Row],[Month Name]])</f>
        <v>Agosto</v>
      </c>
      <c r="R216" s="11" t="str">
        <f>PROPER(Sales_Data[[#This Row],[Sales Manager]])</f>
        <v>Jane Doe</v>
      </c>
    </row>
    <row r="217" spans="1:18" hidden="1" x14ac:dyDescent="0.25">
      <c r="A217">
        <v>10216</v>
      </c>
      <c r="B217">
        <v>2019</v>
      </c>
      <c r="C217" t="s">
        <v>73</v>
      </c>
      <c r="D217" s="8">
        <v>43681</v>
      </c>
      <c r="E217" t="s">
        <v>19</v>
      </c>
      <c r="F217" t="s">
        <v>16</v>
      </c>
      <c r="G217" t="s">
        <v>20</v>
      </c>
      <c r="H217" s="9">
        <v>11</v>
      </c>
      <c r="I217" s="9">
        <v>340</v>
      </c>
      <c r="J217" s="10">
        <v>289000</v>
      </c>
      <c r="K217" s="10">
        <v>92480</v>
      </c>
      <c r="L217">
        <v>32</v>
      </c>
      <c r="M217" s="8">
        <v>43647</v>
      </c>
      <c r="N217" s="23">
        <v>1.4557664849813E-3</v>
      </c>
      <c r="O217" s="10" t="str">
        <f>IF(Sales_Data[[#This Row],[Total Profit]]&gt;0,"Profitable","Loss")</f>
        <v>Profitable</v>
      </c>
      <c r="P217" s="10" t="str">
        <f>IF(Sales_Data[[#This Row],[Total Profit]]&gt;100000,"High Value",IF(Sales_Data[[#This Row],[Total Profit]]&gt;60000,"Medium","Low"))</f>
        <v>Medium</v>
      </c>
      <c r="Q217" s="11" t="str">
        <f>PROPER(Sales_Data[[#This Row],[Month Name]])</f>
        <v>Agosto</v>
      </c>
      <c r="R217" s="11" t="str">
        <f>PROPER(Sales_Data[[#This Row],[Sales Manager]])</f>
        <v>James Brown</v>
      </c>
    </row>
    <row r="218" spans="1:18" hidden="1" x14ac:dyDescent="0.25">
      <c r="A218">
        <v>10217</v>
      </c>
      <c r="B218">
        <v>2019</v>
      </c>
      <c r="C218" t="s">
        <v>73</v>
      </c>
      <c r="D218" s="8">
        <v>43682</v>
      </c>
      <c r="E218" t="s">
        <v>11</v>
      </c>
      <c r="F218" t="s">
        <v>16</v>
      </c>
      <c r="G218" t="s">
        <v>15</v>
      </c>
      <c r="H218" s="9">
        <v>13</v>
      </c>
      <c r="I218" s="9">
        <v>460</v>
      </c>
      <c r="J218" s="10">
        <v>230000</v>
      </c>
      <c r="K218" s="10">
        <v>89700</v>
      </c>
      <c r="L218">
        <v>32</v>
      </c>
      <c r="M218" s="8">
        <v>43647</v>
      </c>
      <c r="N218" s="23">
        <v>1.15856848285709E-3</v>
      </c>
      <c r="O218" s="10" t="str">
        <f>IF(Sales_Data[[#This Row],[Total Profit]]&gt;0,"Profitable","Loss")</f>
        <v>Profitable</v>
      </c>
      <c r="P218" s="10" t="str">
        <f>IF(Sales_Data[[#This Row],[Total Profit]]&gt;100000,"High Value",IF(Sales_Data[[#This Row],[Total Profit]]&gt;60000,"Medium","Low"))</f>
        <v>Medium</v>
      </c>
      <c r="Q218" s="11" t="str">
        <f>PROPER(Sales_Data[[#This Row],[Month Name]])</f>
        <v>Agosto</v>
      </c>
      <c r="R218" s="11" t="str">
        <f>PROPER(Sales_Data[[#This Row],[Sales Manager]])</f>
        <v>James Brown</v>
      </c>
    </row>
    <row r="219" spans="1:18" hidden="1" x14ac:dyDescent="0.25">
      <c r="A219">
        <v>10218</v>
      </c>
      <c r="B219">
        <v>2019</v>
      </c>
      <c r="C219" t="s">
        <v>73</v>
      </c>
      <c r="D219" s="8">
        <v>43683</v>
      </c>
      <c r="E219" t="s">
        <v>14</v>
      </c>
      <c r="F219" t="s">
        <v>24</v>
      </c>
      <c r="G219" t="s">
        <v>23</v>
      </c>
      <c r="H219" s="9">
        <v>37</v>
      </c>
      <c r="I219" s="9">
        <v>422</v>
      </c>
      <c r="J219" s="10">
        <v>147700</v>
      </c>
      <c r="K219" s="10">
        <v>31017</v>
      </c>
      <c r="L219">
        <v>32</v>
      </c>
      <c r="M219" s="8">
        <v>43647</v>
      </c>
      <c r="N219" s="23">
        <v>7.4400245616518398E-4</v>
      </c>
      <c r="O219" s="10" t="str">
        <f>IF(Sales_Data[[#This Row],[Total Profit]]&gt;0,"Profitable","Loss")</f>
        <v>Profitable</v>
      </c>
      <c r="P219" s="10" t="str">
        <f>IF(Sales_Data[[#This Row],[Total Profit]]&gt;100000,"High Value",IF(Sales_Data[[#This Row],[Total Profit]]&gt;60000,"Medium","Low"))</f>
        <v>Low</v>
      </c>
      <c r="Q219" s="11" t="str">
        <f>PROPER(Sales_Data[[#This Row],[Month Name]])</f>
        <v>Agosto</v>
      </c>
      <c r="R219" s="11" t="str">
        <f>PROPER(Sales_Data[[#This Row],[Sales Manager]])</f>
        <v>Liam Lee</v>
      </c>
    </row>
    <row r="220" spans="1:18" hidden="1" x14ac:dyDescent="0.25">
      <c r="A220">
        <v>10219</v>
      </c>
      <c r="B220">
        <v>2019</v>
      </c>
      <c r="C220" t="s">
        <v>73</v>
      </c>
      <c r="D220" s="8">
        <v>43684</v>
      </c>
      <c r="E220" t="s">
        <v>25</v>
      </c>
      <c r="F220" t="s">
        <v>18</v>
      </c>
      <c r="G220" t="s">
        <v>15</v>
      </c>
      <c r="H220" s="9">
        <v>20</v>
      </c>
      <c r="I220" s="9">
        <v>332</v>
      </c>
      <c r="J220" s="10">
        <v>166000</v>
      </c>
      <c r="K220" s="10">
        <v>28220.000000000004</v>
      </c>
      <c r="L220">
        <v>32</v>
      </c>
      <c r="M220" s="8">
        <v>43647</v>
      </c>
      <c r="N220" s="23">
        <v>8.36184209366422E-4</v>
      </c>
      <c r="O220" s="10" t="str">
        <f>IF(Sales_Data[[#This Row],[Total Profit]]&gt;0,"Profitable","Loss")</f>
        <v>Profitable</v>
      </c>
      <c r="P220" s="10" t="str">
        <f>IF(Sales_Data[[#This Row],[Total Profit]]&gt;100000,"High Value",IF(Sales_Data[[#This Row],[Total Profit]]&gt;60000,"Medium","Low"))</f>
        <v>Low</v>
      </c>
      <c r="Q220" s="11" t="str">
        <f>PROPER(Sales_Data[[#This Row],[Month Name]])</f>
        <v>Agosto</v>
      </c>
      <c r="R220" s="11" t="str">
        <f>PROPER(Sales_Data[[#This Row],[Sales Manager]])</f>
        <v>Jane Doe</v>
      </c>
    </row>
    <row r="221" spans="1:18" hidden="1" x14ac:dyDescent="0.25">
      <c r="A221">
        <v>10220</v>
      </c>
      <c r="B221">
        <v>2019</v>
      </c>
      <c r="C221" t="s">
        <v>73</v>
      </c>
      <c r="D221" s="8">
        <v>43685</v>
      </c>
      <c r="E221" t="s">
        <v>22</v>
      </c>
      <c r="F221" t="s">
        <v>21</v>
      </c>
      <c r="G221" t="s">
        <v>13</v>
      </c>
      <c r="H221" s="9">
        <v>21</v>
      </c>
      <c r="I221" s="9">
        <v>327</v>
      </c>
      <c r="J221" s="10">
        <v>245250</v>
      </c>
      <c r="K221" s="10">
        <v>110362.5</v>
      </c>
      <c r="L221">
        <v>32</v>
      </c>
      <c r="M221" s="8">
        <v>43647</v>
      </c>
      <c r="N221" s="23">
        <v>1.23538661052479E-3</v>
      </c>
      <c r="O221" s="10" t="str">
        <f>IF(Sales_Data[[#This Row],[Total Profit]]&gt;0,"Profitable","Loss")</f>
        <v>Profitable</v>
      </c>
      <c r="P221" s="10" t="str">
        <f>IF(Sales_Data[[#This Row],[Total Profit]]&gt;100000,"High Value",IF(Sales_Data[[#This Row],[Total Profit]]&gt;60000,"Medium","Low"))</f>
        <v>High Value</v>
      </c>
      <c r="Q221" s="11" t="str">
        <f>PROPER(Sales_Data[[#This Row],[Month Name]])</f>
        <v>Agosto</v>
      </c>
      <c r="R221" s="11" t="str">
        <f>PROPER(Sales_Data[[#This Row],[Sales Manager]])</f>
        <v>John Smith</v>
      </c>
    </row>
    <row r="222" spans="1:18" hidden="1" x14ac:dyDescent="0.25">
      <c r="A222">
        <v>10221</v>
      </c>
      <c r="B222">
        <v>2019</v>
      </c>
      <c r="C222" t="s">
        <v>73</v>
      </c>
      <c r="D222" s="8">
        <v>43686</v>
      </c>
      <c r="E222" t="s">
        <v>14</v>
      </c>
      <c r="F222" t="s">
        <v>18</v>
      </c>
      <c r="G222" t="s">
        <v>20</v>
      </c>
      <c r="H222" s="9">
        <v>23</v>
      </c>
      <c r="I222" s="9">
        <v>452</v>
      </c>
      <c r="J222" s="10">
        <v>384200</v>
      </c>
      <c r="K222" s="10">
        <v>161364</v>
      </c>
      <c r="L222">
        <v>32</v>
      </c>
      <c r="M222" s="8">
        <v>43647</v>
      </c>
      <c r="N222" s="23">
        <v>1.9353130917986699E-3</v>
      </c>
      <c r="O222" s="10" t="str">
        <f>IF(Sales_Data[[#This Row],[Total Profit]]&gt;0,"Profitable","Loss")</f>
        <v>Profitable</v>
      </c>
      <c r="P222" s="10" t="str">
        <f>IF(Sales_Data[[#This Row],[Total Profit]]&gt;100000,"High Value",IF(Sales_Data[[#This Row],[Total Profit]]&gt;60000,"Medium","Low"))</f>
        <v>High Value</v>
      </c>
      <c r="Q222" s="11" t="str">
        <f>PROPER(Sales_Data[[#This Row],[Month Name]])</f>
        <v>Agosto</v>
      </c>
      <c r="R222" s="11" t="str">
        <f>PROPER(Sales_Data[[#This Row],[Sales Manager]])</f>
        <v>Jane Doe</v>
      </c>
    </row>
    <row r="223" spans="1:18" hidden="1" x14ac:dyDescent="0.25">
      <c r="A223">
        <v>10222</v>
      </c>
      <c r="B223">
        <v>2019</v>
      </c>
      <c r="C223" t="s">
        <v>73</v>
      </c>
      <c r="D223" s="8">
        <v>43687</v>
      </c>
      <c r="E223" t="s">
        <v>25</v>
      </c>
      <c r="F223" t="s">
        <v>18</v>
      </c>
      <c r="G223" t="s">
        <v>23</v>
      </c>
      <c r="H223" s="9">
        <v>5</v>
      </c>
      <c r="I223" s="9">
        <v>154</v>
      </c>
      <c r="J223" s="10">
        <v>53900</v>
      </c>
      <c r="K223" s="10">
        <v>19404</v>
      </c>
      <c r="L223">
        <v>32</v>
      </c>
      <c r="M223" s="8">
        <v>43647</v>
      </c>
      <c r="N223" s="23">
        <v>2.7150800533042198E-4</v>
      </c>
      <c r="O223" s="10" t="str">
        <f>IF(Sales_Data[[#This Row],[Total Profit]]&gt;0,"Profitable","Loss")</f>
        <v>Profitable</v>
      </c>
      <c r="P223" s="10" t="str">
        <f>IF(Sales_Data[[#This Row],[Total Profit]]&gt;100000,"High Value",IF(Sales_Data[[#This Row],[Total Profit]]&gt;60000,"Medium","Low"))</f>
        <v>Low</v>
      </c>
      <c r="Q223" s="11" t="str">
        <f>PROPER(Sales_Data[[#This Row],[Month Name]])</f>
        <v>Agosto</v>
      </c>
      <c r="R223" s="11" t="str">
        <f>PROPER(Sales_Data[[#This Row],[Sales Manager]])</f>
        <v>Jane Doe</v>
      </c>
    </row>
    <row r="224" spans="1:18" hidden="1" x14ac:dyDescent="0.25">
      <c r="A224">
        <v>10223</v>
      </c>
      <c r="B224">
        <v>2019</v>
      </c>
      <c r="C224" t="s">
        <v>73</v>
      </c>
      <c r="D224" s="8">
        <v>43688</v>
      </c>
      <c r="E224" t="s">
        <v>22</v>
      </c>
      <c r="F224" t="s">
        <v>12</v>
      </c>
      <c r="G224" t="s">
        <v>17</v>
      </c>
      <c r="H224" s="9">
        <v>8</v>
      </c>
      <c r="I224" s="9">
        <v>171</v>
      </c>
      <c r="J224" s="10">
        <v>42750</v>
      </c>
      <c r="K224" s="10">
        <v>10260</v>
      </c>
      <c r="L224">
        <v>33</v>
      </c>
      <c r="M224" s="8">
        <v>43647</v>
      </c>
      <c r="N224" s="23">
        <v>2.1534262018322E-4</v>
      </c>
      <c r="O224" s="10" t="str">
        <f>IF(Sales_Data[[#This Row],[Total Profit]]&gt;0,"Profitable","Loss")</f>
        <v>Profitable</v>
      </c>
      <c r="P224" s="10" t="str">
        <f>IF(Sales_Data[[#This Row],[Total Profit]]&gt;100000,"High Value",IF(Sales_Data[[#This Row],[Total Profit]]&gt;60000,"Medium","Low"))</f>
        <v>Low</v>
      </c>
      <c r="Q224" s="11" t="str">
        <f>PROPER(Sales_Data[[#This Row],[Month Name]])</f>
        <v>Agosto</v>
      </c>
      <c r="R224" s="11" t="str">
        <f>PROPER(Sales_Data[[#This Row],[Sales Manager]])</f>
        <v>Emily White</v>
      </c>
    </row>
    <row r="225" spans="1:18" hidden="1" x14ac:dyDescent="0.25">
      <c r="A225">
        <v>10224</v>
      </c>
      <c r="B225">
        <v>2019</v>
      </c>
      <c r="C225" t="s">
        <v>73</v>
      </c>
      <c r="D225" s="8">
        <v>43689</v>
      </c>
      <c r="E225" t="s">
        <v>22</v>
      </c>
      <c r="F225" t="s">
        <v>16</v>
      </c>
      <c r="G225" t="s">
        <v>15</v>
      </c>
      <c r="H225" s="9">
        <v>12</v>
      </c>
      <c r="I225" s="9">
        <v>377</v>
      </c>
      <c r="J225" s="10">
        <v>188500</v>
      </c>
      <c r="K225" s="10">
        <v>32045.000000000004</v>
      </c>
      <c r="L225">
        <v>33</v>
      </c>
      <c r="M225" s="8">
        <v>43647</v>
      </c>
      <c r="N225" s="23">
        <v>9.4952243051548498E-4</v>
      </c>
      <c r="O225" s="10" t="str">
        <f>IF(Sales_Data[[#This Row],[Total Profit]]&gt;0,"Profitable","Loss")</f>
        <v>Profitable</v>
      </c>
      <c r="P225" s="10" t="str">
        <f>IF(Sales_Data[[#This Row],[Total Profit]]&gt;100000,"High Value",IF(Sales_Data[[#This Row],[Total Profit]]&gt;60000,"Medium","Low"))</f>
        <v>Low</v>
      </c>
      <c r="Q225" s="11" t="str">
        <f>PROPER(Sales_Data[[#This Row],[Month Name]])</f>
        <v>Agosto</v>
      </c>
      <c r="R225" s="11" t="str">
        <f>PROPER(Sales_Data[[#This Row],[Sales Manager]])</f>
        <v>James Brown</v>
      </c>
    </row>
    <row r="226" spans="1:18" hidden="1" x14ac:dyDescent="0.25">
      <c r="A226">
        <v>10225</v>
      </c>
      <c r="B226">
        <v>2019</v>
      </c>
      <c r="C226" t="s">
        <v>73</v>
      </c>
      <c r="D226" s="8">
        <v>43690</v>
      </c>
      <c r="E226" t="s">
        <v>11</v>
      </c>
      <c r="F226" t="s">
        <v>18</v>
      </c>
      <c r="G226" t="s">
        <v>17</v>
      </c>
      <c r="H226" s="9">
        <v>5</v>
      </c>
      <c r="I226" s="9">
        <v>231</v>
      </c>
      <c r="J226" s="10">
        <v>57750</v>
      </c>
      <c r="K226" s="10">
        <v>13282.5</v>
      </c>
      <c r="L226">
        <v>33</v>
      </c>
      <c r="M226" s="8">
        <v>43647</v>
      </c>
      <c r="N226" s="23">
        <v>2.9090143428259598E-4</v>
      </c>
      <c r="O226" s="10" t="str">
        <f>IF(Sales_Data[[#This Row],[Total Profit]]&gt;0,"Profitable","Loss")</f>
        <v>Profitable</v>
      </c>
      <c r="P226" s="10" t="str">
        <f>IF(Sales_Data[[#This Row],[Total Profit]]&gt;100000,"High Value",IF(Sales_Data[[#This Row],[Total Profit]]&gt;60000,"Medium","Low"))</f>
        <v>Low</v>
      </c>
      <c r="Q226" s="11" t="str">
        <f>PROPER(Sales_Data[[#This Row],[Month Name]])</f>
        <v>Agosto</v>
      </c>
      <c r="R226" s="11" t="str">
        <f>PROPER(Sales_Data[[#This Row],[Sales Manager]])</f>
        <v>Jane Doe</v>
      </c>
    </row>
    <row r="227" spans="1:18" hidden="1" x14ac:dyDescent="0.25">
      <c r="A227">
        <v>10226</v>
      </c>
      <c r="B227">
        <v>2019</v>
      </c>
      <c r="C227" t="s">
        <v>73</v>
      </c>
      <c r="D227" s="8">
        <v>43691</v>
      </c>
      <c r="E227" t="s">
        <v>25</v>
      </c>
      <c r="F227" t="s">
        <v>21</v>
      </c>
      <c r="G227" t="s">
        <v>13</v>
      </c>
      <c r="H227" s="9">
        <v>2</v>
      </c>
      <c r="I227" s="9">
        <v>173</v>
      </c>
      <c r="J227" s="10">
        <v>129750</v>
      </c>
      <c r="K227" s="10">
        <v>46710</v>
      </c>
      <c r="L227">
        <v>33</v>
      </c>
      <c r="M227" s="8">
        <v>43647</v>
      </c>
      <c r="N227" s="23">
        <v>6.5358374195959804E-4</v>
      </c>
      <c r="O227" s="10" t="str">
        <f>IF(Sales_Data[[#This Row],[Total Profit]]&gt;0,"Profitable","Loss")</f>
        <v>Profitable</v>
      </c>
      <c r="P227" s="10" t="str">
        <f>IF(Sales_Data[[#This Row],[Total Profit]]&gt;100000,"High Value",IF(Sales_Data[[#This Row],[Total Profit]]&gt;60000,"Medium","Low"))</f>
        <v>Low</v>
      </c>
      <c r="Q227" s="11" t="str">
        <f>PROPER(Sales_Data[[#This Row],[Month Name]])</f>
        <v>Agosto</v>
      </c>
      <c r="R227" s="11" t="str">
        <f>PROPER(Sales_Data[[#This Row],[Sales Manager]])</f>
        <v>John Smith</v>
      </c>
    </row>
    <row r="228" spans="1:18" hidden="1" x14ac:dyDescent="0.25">
      <c r="A228">
        <v>10227</v>
      </c>
      <c r="B228">
        <v>2019</v>
      </c>
      <c r="C228" t="s">
        <v>73</v>
      </c>
      <c r="D228" s="8">
        <v>43692</v>
      </c>
      <c r="E228" t="s">
        <v>11</v>
      </c>
      <c r="F228" t="s">
        <v>21</v>
      </c>
      <c r="G228" t="s">
        <v>20</v>
      </c>
      <c r="H228" s="9">
        <v>8</v>
      </c>
      <c r="I228" s="9">
        <v>260</v>
      </c>
      <c r="J228" s="10">
        <v>221000</v>
      </c>
      <c r="K228" s="10">
        <v>33150</v>
      </c>
      <c r="L228">
        <v>33</v>
      </c>
      <c r="M228" s="8">
        <v>43647</v>
      </c>
      <c r="N228" s="23">
        <v>1.1132331943974601E-3</v>
      </c>
      <c r="O228" s="10" t="str">
        <f>IF(Sales_Data[[#This Row],[Total Profit]]&gt;0,"Profitable","Loss")</f>
        <v>Profitable</v>
      </c>
      <c r="P228" s="10" t="str">
        <f>IF(Sales_Data[[#This Row],[Total Profit]]&gt;100000,"High Value",IF(Sales_Data[[#This Row],[Total Profit]]&gt;60000,"Medium","Low"))</f>
        <v>Low</v>
      </c>
      <c r="Q228" s="11" t="str">
        <f>PROPER(Sales_Data[[#This Row],[Month Name]])</f>
        <v>Agosto</v>
      </c>
      <c r="R228" s="11" t="str">
        <f>PROPER(Sales_Data[[#This Row],[Sales Manager]])</f>
        <v>John Smith</v>
      </c>
    </row>
    <row r="229" spans="1:18" hidden="1" x14ac:dyDescent="0.25">
      <c r="A229">
        <v>10228</v>
      </c>
      <c r="B229">
        <v>2019</v>
      </c>
      <c r="C229" t="s">
        <v>73</v>
      </c>
      <c r="D229" s="8">
        <v>43693</v>
      </c>
      <c r="E229" t="s">
        <v>25</v>
      </c>
      <c r="F229" t="s">
        <v>21</v>
      </c>
      <c r="G229" t="s">
        <v>15</v>
      </c>
      <c r="H229" s="9">
        <v>35</v>
      </c>
      <c r="I229" s="9">
        <v>432</v>
      </c>
      <c r="J229" s="10">
        <v>216000</v>
      </c>
      <c r="K229" s="10">
        <v>54000</v>
      </c>
      <c r="L229">
        <v>33</v>
      </c>
      <c r="M229" s="8">
        <v>43647</v>
      </c>
      <c r="N229" s="23">
        <v>1.08804692303101E-3</v>
      </c>
      <c r="O229" s="10" t="str">
        <f>IF(Sales_Data[[#This Row],[Total Profit]]&gt;0,"Profitable","Loss")</f>
        <v>Profitable</v>
      </c>
      <c r="P229" s="10" t="str">
        <f>IF(Sales_Data[[#This Row],[Total Profit]]&gt;100000,"High Value",IF(Sales_Data[[#This Row],[Total Profit]]&gt;60000,"Medium","Low"))</f>
        <v>Low</v>
      </c>
      <c r="Q229" s="11" t="str">
        <f>PROPER(Sales_Data[[#This Row],[Month Name]])</f>
        <v>Agosto</v>
      </c>
      <c r="R229" s="11" t="str">
        <f>PROPER(Sales_Data[[#This Row],[Sales Manager]])</f>
        <v>John Smith</v>
      </c>
    </row>
    <row r="230" spans="1:18" hidden="1" x14ac:dyDescent="0.25">
      <c r="A230">
        <v>10229</v>
      </c>
      <c r="B230">
        <v>2019</v>
      </c>
      <c r="C230" t="s">
        <v>73</v>
      </c>
      <c r="D230" s="8">
        <v>43694</v>
      </c>
      <c r="E230" t="s">
        <v>19</v>
      </c>
      <c r="F230" t="s">
        <v>21</v>
      </c>
      <c r="G230" t="s">
        <v>20</v>
      </c>
      <c r="H230" s="9">
        <v>12</v>
      </c>
      <c r="I230" s="9">
        <v>299</v>
      </c>
      <c r="J230" s="10">
        <v>254150</v>
      </c>
      <c r="K230" s="10">
        <v>63537.5</v>
      </c>
      <c r="L230">
        <v>33</v>
      </c>
      <c r="M230" s="8">
        <v>43647</v>
      </c>
      <c r="N230" s="23">
        <v>1.28021817355708E-3</v>
      </c>
      <c r="O230" s="10" t="str">
        <f>IF(Sales_Data[[#This Row],[Total Profit]]&gt;0,"Profitable","Loss")</f>
        <v>Profitable</v>
      </c>
      <c r="P230" s="10" t="str">
        <f>IF(Sales_Data[[#This Row],[Total Profit]]&gt;100000,"High Value",IF(Sales_Data[[#This Row],[Total Profit]]&gt;60000,"Medium","Low"))</f>
        <v>Medium</v>
      </c>
      <c r="Q230" s="11" t="str">
        <f>PROPER(Sales_Data[[#This Row],[Month Name]])</f>
        <v>Agosto</v>
      </c>
      <c r="R230" s="11" t="str">
        <f>PROPER(Sales_Data[[#This Row],[Sales Manager]])</f>
        <v>John Smith</v>
      </c>
    </row>
    <row r="231" spans="1:18" hidden="1" x14ac:dyDescent="0.25">
      <c r="A231">
        <v>10230</v>
      </c>
      <c r="B231">
        <v>2019</v>
      </c>
      <c r="C231" t="s">
        <v>73</v>
      </c>
      <c r="D231" s="8">
        <v>43695</v>
      </c>
      <c r="E231" t="s">
        <v>22</v>
      </c>
      <c r="F231" t="s">
        <v>21</v>
      </c>
      <c r="G231" t="s">
        <v>17</v>
      </c>
      <c r="H231" s="9">
        <v>11</v>
      </c>
      <c r="I231" s="9">
        <v>110</v>
      </c>
      <c r="J231" s="10">
        <v>27500</v>
      </c>
      <c r="K231" s="10">
        <v>3850.0000000000005</v>
      </c>
      <c r="L231">
        <v>34</v>
      </c>
      <c r="M231" s="8">
        <v>43647</v>
      </c>
      <c r="N231" s="23">
        <v>1.38524492515522E-4</v>
      </c>
      <c r="O231" s="10" t="str">
        <f>IF(Sales_Data[[#This Row],[Total Profit]]&gt;0,"Profitable","Loss")</f>
        <v>Profitable</v>
      </c>
      <c r="P231" s="10" t="str">
        <f>IF(Sales_Data[[#This Row],[Total Profit]]&gt;100000,"High Value",IF(Sales_Data[[#This Row],[Total Profit]]&gt;60000,"Medium","Low"))</f>
        <v>Low</v>
      </c>
      <c r="Q231" s="11" t="str">
        <f>PROPER(Sales_Data[[#This Row],[Month Name]])</f>
        <v>Agosto</v>
      </c>
      <c r="R231" s="11" t="str">
        <f>PROPER(Sales_Data[[#This Row],[Sales Manager]])</f>
        <v>John Smith</v>
      </c>
    </row>
    <row r="232" spans="1:18" hidden="1" x14ac:dyDescent="0.25">
      <c r="A232">
        <v>10231</v>
      </c>
      <c r="B232">
        <v>2019</v>
      </c>
      <c r="C232" t="s">
        <v>73</v>
      </c>
      <c r="D232" s="8">
        <v>43696</v>
      </c>
      <c r="E232" t="s">
        <v>19</v>
      </c>
      <c r="F232" t="s">
        <v>21</v>
      </c>
      <c r="G232" t="s">
        <v>15</v>
      </c>
      <c r="H232" s="9">
        <v>3</v>
      </c>
      <c r="I232" s="9">
        <v>101</v>
      </c>
      <c r="J232" s="10">
        <v>50500</v>
      </c>
      <c r="K232" s="10">
        <v>8585</v>
      </c>
      <c r="L232">
        <v>34</v>
      </c>
      <c r="M232" s="8">
        <v>43647</v>
      </c>
      <c r="N232" s="23">
        <v>2.5438134080123102E-4</v>
      </c>
      <c r="O232" s="10" t="str">
        <f>IF(Sales_Data[[#This Row],[Total Profit]]&gt;0,"Profitable","Loss")</f>
        <v>Profitable</v>
      </c>
      <c r="P232" s="10" t="str">
        <f>IF(Sales_Data[[#This Row],[Total Profit]]&gt;100000,"High Value",IF(Sales_Data[[#This Row],[Total Profit]]&gt;60000,"Medium","Low"))</f>
        <v>Low</v>
      </c>
      <c r="Q232" s="11" t="str">
        <f>PROPER(Sales_Data[[#This Row],[Month Name]])</f>
        <v>Agosto</v>
      </c>
      <c r="R232" s="11" t="str">
        <f>PROPER(Sales_Data[[#This Row],[Sales Manager]])</f>
        <v>John Smith</v>
      </c>
    </row>
    <row r="233" spans="1:18" hidden="1" x14ac:dyDescent="0.25">
      <c r="A233">
        <v>10232</v>
      </c>
      <c r="B233">
        <v>2019</v>
      </c>
      <c r="C233" t="s">
        <v>73</v>
      </c>
      <c r="D233" s="8">
        <v>43697</v>
      </c>
      <c r="E233" t="s">
        <v>11</v>
      </c>
      <c r="F233" t="s">
        <v>16</v>
      </c>
      <c r="G233" t="s">
        <v>15</v>
      </c>
      <c r="H233" s="9">
        <v>17</v>
      </c>
      <c r="I233" s="9">
        <v>450</v>
      </c>
      <c r="J233" s="10">
        <v>225000</v>
      </c>
      <c r="K233" s="10">
        <v>49500</v>
      </c>
      <c r="L233">
        <v>34</v>
      </c>
      <c r="M233" s="8">
        <v>43647</v>
      </c>
      <c r="N233" s="23">
        <v>1.13338221149063E-3</v>
      </c>
      <c r="O233" s="10" t="str">
        <f>IF(Sales_Data[[#This Row],[Total Profit]]&gt;0,"Profitable","Loss")</f>
        <v>Profitable</v>
      </c>
      <c r="P233" s="10" t="str">
        <f>IF(Sales_Data[[#This Row],[Total Profit]]&gt;100000,"High Value",IF(Sales_Data[[#This Row],[Total Profit]]&gt;60000,"Medium","Low"))</f>
        <v>Low</v>
      </c>
      <c r="Q233" s="11" t="str">
        <f>PROPER(Sales_Data[[#This Row],[Month Name]])</f>
        <v>Agosto</v>
      </c>
      <c r="R233" s="11" t="str">
        <f>PROPER(Sales_Data[[#This Row],[Sales Manager]])</f>
        <v>James Brown</v>
      </c>
    </row>
    <row r="234" spans="1:18" hidden="1" x14ac:dyDescent="0.25">
      <c r="A234">
        <v>10233</v>
      </c>
      <c r="B234">
        <v>2019</v>
      </c>
      <c r="C234" t="s">
        <v>73</v>
      </c>
      <c r="D234" s="8">
        <v>43698</v>
      </c>
      <c r="E234" t="s">
        <v>11</v>
      </c>
      <c r="F234" t="s">
        <v>18</v>
      </c>
      <c r="G234" t="s">
        <v>20</v>
      </c>
      <c r="H234" s="9">
        <v>6</v>
      </c>
      <c r="I234" s="9">
        <v>345</v>
      </c>
      <c r="J234" s="10">
        <v>293250</v>
      </c>
      <c r="K234" s="10">
        <v>73312.5</v>
      </c>
      <c r="L234">
        <v>34</v>
      </c>
      <c r="M234" s="8">
        <v>43647</v>
      </c>
      <c r="N234" s="23">
        <v>1.47717481564279E-3</v>
      </c>
      <c r="O234" s="10" t="str">
        <f>IF(Sales_Data[[#This Row],[Total Profit]]&gt;0,"Profitable","Loss")</f>
        <v>Profitable</v>
      </c>
      <c r="P234" s="10" t="str">
        <f>IF(Sales_Data[[#This Row],[Total Profit]]&gt;100000,"High Value",IF(Sales_Data[[#This Row],[Total Profit]]&gt;60000,"Medium","Low"))</f>
        <v>Medium</v>
      </c>
      <c r="Q234" s="11" t="str">
        <f>PROPER(Sales_Data[[#This Row],[Month Name]])</f>
        <v>Agosto</v>
      </c>
      <c r="R234" s="11" t="str">
        <f>PROPER(Sales_Data[[#This Row],[Sales Manager]])</f>
        <v>Jane Doe</v>
      </c>
    </row>
    <row r="235" spans="1:18" hidden="1" x14ac:dyDescent="0.25">
      <c r="A235">
        <v>10234</v>
      </c>
      <c r="B235">
        <v>2019</v>
      </c>
      <c r="C235" t="s">
        <v>73</v>
      </c>
      <c r="D235" s="8">
        <v>43699</v>
      </c>
      <c r="E235" t="s">
        <v>14</v>
      </c>
      <c r="F235" t="s">
        <v>12</v>
      </c>
      <c r="G235" t="s">
        <v>15</v>
      </c>
      <c r="H235" s="9">
        <v>7</v>
      </c>
      <c r="I235" s="9">
        <v>88</v>
      </c>
      <c r="J235" s="10">
        <v>44000</v>
      </c>
      <c r="K235" s="10">
        <v>13200</v>
      </c>
      <c r="L235">
        <v>34</v>
      </c>
      <c r="M235" s="8">
        <v>43647</v>
      </c>
      <c r="N235" s="23">
        <v>2.21639188024835E-4</v>
      </c>
      <c r="O235" s="10" t="str">
        <f>IF(Sales_Data[[#This Row],[Total Profit]]&gt;0,"Profitable","Loss")</f>
        <v>Profitable</v>
      </c>
      <c r="P235" s="10" t="str">
        <f>IF(Sales_Data[[#This Row],[Total Profit]]&gt;100000,"High Value",IF(Sales_Data[[#This Row],[Total Profit]]&gt;60000,"Medium","Low"))</f>
        <v>Low</v>
      </c>
      <c r="Q235" s="11" t="str">
        <f>PROPER(Sales_Data[[#This Row],[Month Name]])</f>
        <v>Agosto</v>
      </c>
      <c r="R235" s="11" t="str">
        <f>PROPER(Sales_Data[[#This Row],[Sales Manager]])</f>
        <v>Emily White</v>
      </c>
    </row>
    <row r="236" spans="1:18" hidden="1" x14ac:dyDescent="0.25">
      <c r="A236">
        <v>10235</v>
      </c>
      <c r="B236">
        <v>2019</v>
      </c>
      <c r="C236" t="s">
        <v>73</v>
      </c>
      <c r="D236" s="8">
        <v>43700</v>
      </c>
      <c r="E236" t="s">
        <v>22</v>
      </c>
      <c r="F236" t="s">
        <v>18</v>
      </c>
      <c r="G236" t="s">
        <v>23</v>
      </c>
      <c r="H236" s="9">
        <v>17</v>
      </c>
      <c r="I236" s="9">
        <v>472</v>
      </c>
      <c r="J236" s="10">
        <v>165200</v>
      </c>
      <c r="K236" s="10">
        <v>64428</v>
      </c>
      <c r="L236">
        <v>34</v>
      </c>
      <c r="M236" s="8">
        <v>43647</v>
      </c>
      <c r="N236" s="23">
        <v>8.3215440594778796E-4</v>
      </c>
      <c r="O236" s="10" t="str">
        <f>IF(Sales_Data[[#This Row],[Total Profit]]&gt;0,"Profitable","Loss")</f>
        <v>Profitable</v>
      </c>
      <c r="P236" s="10" t="str">
        <f>IF(Sales_Data[[#This Row],[Total Profit]]&gt;100000,"High Value",IF(Sales_Data[[#This Row],[Total Profit]]&gt;60000,"Medium","Low"))</f>
        <v>Medium</v>
      </c>
      <c r="Q236" s="11" t="str">
        <f>PROPER(Sales_Data[[#This Row],[Month Name]])</f>
        <v>Agosto</v>
      </c>
      <c r="R236" s="11" t="str">
        <f>PROPER(Sales_Data[[#This Row],[Sales Manager]])</f>
        <v>Jane Doe</v>
      </c>
    </row>
    <row r="237" spans="1:18" hidden="1" x14ac:dyDescent="0.25">
      <c r="A237">
        <v>10236</v>
      </c>
      <c r="B237">
        <v>2019</v>
      </c>
      <c r="C237" t="s">
        <v>73</v>
      </c>
      <c r="D237" s="8">
        <v>43701</v>
      </c>
      <c r="E237" t="s">
        <v>22</v>
      </c>
      <c r="F237" t="s">
        <v>12</v>
      </c>
      <c r="G237" t="s">
        <v>17</v>
      </c>
      <c r="H237" s="9">
        <v>4</v>
      </c>
      <c r="I237" s="9">
        <v>130</v>
      </c>
      <c r="J237" s="10">
        <v>32500</v>
      </c>
      <c r="K237" s="10">
        <v>11050</v>
      </c>
      <c r="L237">
        <v>34</v>
      </c>
      <c r="M237" s="8">
        <v>43647</v>
      </c>
      <c r="N237" s="23">
        <v>1.6371076388198001E-4</v>
      </c>
      <c r="O237" s="10" t="str">
        <f>IF(Sales_Data[[#This Row],[Total Profit]]&gt;0,"Profitable","Loss")</f>
        <v>Profitable</v>
      </c>
      <c r="P237" s="10" t="str">
        <f>IF(Sales_Data[[#This Row],[Total Profit]]&gt;100000,"High Value",IF(Sales_Data[[#This Row],[Total Profit]]&gt;60000,"Medium","Low"))</f>
        <v>Low</v>
      </c>
      <c r="Q237" s="11" t="str">
        <f>PROPER(Sales_Data[[#This Row],[Month Name]])</f>
        <v>Agosto</v>
      </c>
      <c r="R237" s="11" t="str">
        <f>PROPER(Sales_Data[[#This Row],[Sales Manager]])</f>
        <v>Emily White</v>
      </c>
    </row>
    <row r="238" spans="1:18" hidden="1" x14ac:dyDescent="0.25">
      <c r="A238">
        <v>10237</v>
      </c>
      <c r="B238">
        <v>2019</v>
      </c>
      <c r="C238" t="s">
        <v>73</v>
      </c>
      <c r="D238" s="8">
        <v>43702</v>
      </c>
      <c r="E238" t="s">
        <v>25</v>
      </c>
      <c r="F238" t="s">
        <v>12</v>
      </c>
      <c r="G238" t="s">
        <v>23</v>
      </c>
      <c r="H238" s="9">
        <v>22</v>
      </c>
      <c r="I238" s="9">
        <v>425</v>
      </c>
      <c r="J238" s="10">
        <v>148750</v>
      </c>
      <c r="K238" s="10">
        <v>49087.5</v>
      </c>
      <c r="L238">
        <v>35</v>
      </c>
      <c r="M238" s="8">
        <v>43647</v>
      </c>
      <c r="N238" s="23">
        <v>7.4929157315214003E-4</v>
      </c>
      <c r="O238" s="10" t="str">
        <f>IF(Sales_Data[[#This Row],[Total Profit]]&gt;0,"Profitable","Loss")</f>
        <v>Profitable</v>
      </c>
      <c r="P238" s="10" t="str">
        <f>IF(Sales_Data[[#This Row],[Total Profit]]&gt;100000,"High Value",IF(Sales_Data[[#This Row],[Total Profit]]&gt;60000,"Medium","Low"))</f>
        <v>Low</v>
      </c>
      <c r="Q238" s="11" t="str">
        <f>PROPER(Sales_Data[[#This Row],[Month Name]])</f>
        <v>Agosto</v>
      </c>
      <c r="R238" s="11" t="str">
        <f>PROPER(Sales_Data[[#This Row],[Sales Manager]])</f>
        <v>Emily White</v>
      </c>
    </row>
    <row r="239" spans="1:18" hidden="1" x14ac:dyDescent="0.25">
      <c r="A239">
        <v>10238</v>
      </c>
      <c r="B239">
        <v>2019</v>
      </c>
      <c r="C239" t="s">
        <v>73</v>
      </c>
      <c r="D239" s="8">
        <v>43703</v>
      </c>
      <c r="E239" t="s">
        <v>19</v>
      </c>
      <c r="F239" t="s">
        <v>12</v>
      </c>
      <c r="G239" t="s">
        <v>15</v>
      </c>
      <c r="H239" s="9">
        <v>3</v>
      </c>
      <c r="I239" s="9">
        <v>207</v>
      </c>
      <c r="J239" s="10">
        <v>103500</v>
      </c>
      <c r="K239" s="10">
        <v>30014.999999999996</v>
      </c>
      <c r="L239">
        <v>35</v>
      </c>
      <c r="M239" s="8">
        <v>43647</v>
      </c>
      <c r="N239" s="23">
        <v>5.2135581728569099E-4</v>
      </c>
      <c r="O239" s="10" t="str">
        <f>IF(Sales_Data[[#This Row],[Total Profit]]&gt;0,"Profitable","Loss")</f>
        <v>Profitable</v>
      </c>
      <c r="P239" s="10" t="str">
        <f>IF(Sales_Data[[#This Row],[Total Profit]]&gt;100000,"High Value",IF(Sales_Data[[#This Row],[Total Profit]]&gt;60000,"Medium","Low"))</f>
        <v>Low</v>
      </c>
      <c r="Q239" s="11" t="str">
        <f>PROPER(Sales_Data[[#This Row],[Month Name]])</f>
        <v>Agosto</v>
      </c>
      <c r="R239" s="11" t="str">
        <f>PROPER(Sales_Data[[#This Row],[Sales Manager]])</f>
        <v>Emily White</v>
      </c>
    </row>
    <row r="240" spans="1:18" hidden="1" x14ac:dyDescent="0.25">
      <c r="A240">
        <v>10239</v>
      </c>
      <c r="B240">
        <v>2019</v>
      </c>
      <c r="C240" t="s">
        <v>73</v>
      </c>
      <c r="D240" s="8">
        <v>43704</v>
      </c>
      <c r="E240" t="s">
        <v>25</v>
      </c>
      <c r="F240" t="s">
        <v>16</v>
      </c>
      <c r="G240" t="s">
        <v>13</v>
      </c>
      <c r="H240" s="9">
        <v>23</v>
      </c>
      <c r="I240" s="9">
        <v>368</v>
      </c>
      <c r="J240" s="10">
        <v>276000</v>
      </c>
      <c r="K240" s="10">
        <v>30360</v>
      </c>
      <c r="L240">
        <v>35</v>
      </c>
      <c r="M240" s="8">
        <v>43647</v>
      </c>
      <c r="N240" s="23">
        <v>1.3902821794285101E-3</v>
      </c>
      <c r="O240" s="10" t="str">
        <f>IF(Sales_Data[[#This Row],[Total Profit]]&gt;0,"Profitable","Loss")</f>
        <v>Profitable</v>
      </c>
      <c r="P240" s="10" t="str">
        <f>IF(Sales_Data[[#This Row],[Total Profit]]&gt;100000,"High Value",IF(Sales_Data[[#This Row],[Total Profit]]&gt;60000,"Medium","Low"))</f>
        <v>Low</v>
      </c>
      <c r="Q240" s="11" t="str">
        <f>PROPER(Sales_Data[[#This Row],[Month Name]])</f>
        <v>Agosto</v>
      </c>
      <c r="R240" s="11" t="str">
        <f>PROPER(Sales_Data[[#This Row],[Sales Manager]])</f>
        <v>James Brown</v>
      </c>
    </row>
    <row r="241" spans="1:18" hidden="1" x14ac:dyDescent="0.25">
      <c r="A241">
        <v>10240</v>
      </c>
      <c r="B241">
        <v>2019</v>
      </c>
      <c r="C241" t="s">
        <v>73</v>
      </c>
      <c r="D241" s="8">
        <v>43705</v>
      </c>
      <c r="E241" t="s">
        <v>14</v>
      </c>
      <c r="F241" t="s">
        <v>21</v>
      </c>
      <c r="G241" t="s">
        <v>13</v>
      </c>
      <c r="H241" s="9">
        <v>7</v>
      </c>
      <c r="I241" s="9">
        <v>360</v>
      </c>
      <c r="J241" s="10">
        <v>270000</v>
      </c>
      <c r="K241" s="10">
        <v>78300</v>
      </c>
      <c r="L241">
        <v>35</v>
      </c>
      <c r="M241" s="8">
        <v>43647</v>
      </c>
      <c r="N241" s="23">
        <v>1.36005865378876E-3</v>
      </c>
      <c r="O241" s="10" t="str">
        <f>IF(Sales_Data[[#This Row],[Total Profit]]&gt;0,"Profitable","Loss")</f>
        <v>Profitable</v>
      </c>
      <c r="P241" s="10" t="str">
        <f>IF(Sales_Data[[#This Row],[Total Profit]]&gt;100000,"High Value",IF(Sales_Data[[#This Row],[Total Profit]]&gt;60000,"Medium","Low"))</f>
        <v>Medium</v>
      </c>
      <c r="Q241" s="11" t="str">
        <f>PROPER(Sales_Data[[#This Row],[Month Name]])</f>
        <v>Agosto</v>
      </c>
      <c r="R241" s="11" t="str">
        <f>PROPER(Sales_Data[[#This Row],[Sales Manager]])</f>
        <v>John Smith</v>
      </c>
    </row>
    <row r="242" spans="1:18" hidden="1" x14ac:dyDescent="0.25">
      <c r="A242">
        <v>10241</v>
      </c>
      <c r="B242">
        <v>2019</v>
      </c>
      <c r="C242" t="s">
        <v>73</v>
      </c>
      <c r="D242" s="8">
        <v>43706</v>
      </c>
      <c r="E242" t="s">
        <v>22</v>
      </c>
      <c r="F242" t="s">
        <v>12</v>
      </c>
      <c r="G242" t="s">
        <v>17</v>
      </c>
      <c r="H242" s="9">
        <v>29</v>
      </c>
      <c r="I242" s="9">
        <v>498</v>
      </c>
      <c r="J242" s="10">
        <v>124500</v>
      </c>
      <c r="K242" s="10">
        <v>33615</v>
      </c>
      <c r="L242">
        <v>35</v>
      </c>
      <c r="M242" s="8">
        <v>43647</v>
      </c>
      <c r="N242" s="23">
        <v>6.2713815702481596E-4</v>
      </c>
      <c r="O242" s="10" t="str">
        <f>IF(Sales_Data[[#This Row],[Total Profit]]&gt;0,"Profitable","Loss")</f>
        <v>Profitable</v>
      </c>
      <c r="P242" s="10" t="str">
        <f>IF(Sales_Data[[#This Row],[Total Profit]]&gt;100000,"High Value",IF(Sales_Data[[#This Row],[Total Profit]]&gt;60000,"Medium","Low"))</f>
        <v>Low</v>
      </c>
      <c r="Q242" s="11" t="str">
        <f>PROPER(Sales_Data[[#This Row],[Month Name]])</f>
        <v>Agosto</v>
      </c>
      <c r="R242" s="11" t="str">
        <f>PROPER(Sales_Data[[#This Row],[Sales Manager]])</f>
        <v>Emily White</v>
      </c>
    </row>
    <row r="243" spans="1:18" hidden="1" x14ac:dyDescent="0.25">
      <c r="A243">
        <v>10242</v>
      </c>
      <c r="B243">
        <v>2019</v>
      </c>
      <c r="C243" t="s">
        <v>73</v>
      </c>
      <c r="D243" s="8">
        <v>43707</v>
      </c>
      <c r="E243" t="s">
        <v>22</v>
      </c>
      <c r="F243" t="s">
        <v>18</v>
      </c>
      <c r="G243" t="s">
        <v>20</v>
      </c>
      <c r="H243" s="9">
        <v>7</v>
      </c>
      <c r="I243" s="9">
        <v>111</v>
      </c>
      <c r="J243" s="10">
        <v>94350</v>
      </c>
      <c r="K243" s="10">
        <v>23587.5</v>
      </c>
      <c r="L243">
        <v>35</v>
      </c>
      <c r="M243" s="8">
        <v>43647</v>
      </c>
      <c r="N243" s="23">
        <v>4.7526494068507197E-4</v>
      </c>
      <c r="O243" s="10" t="str">
        <f>IF(Sales_Data[[#This Row],[Total Profit]]&gt;0,"Profitable","Loss")</f>
        <v>Profitable</v>
      </c>
      <c r="P243" s="10" t="str">
        <f>IF(Sales_Data[[#This Row],[Total Profit]]&gt;100000,"High Value",IF(Sales_Data[[#This Row],[Total Profit]]&gt;60000,"Medium","Low"))</f>
        <v>Low</v>
      </c>
      <c r="Q243" s="11" t="str">
        <f>PROPER(Sales_Data[[#This Row],[Month Name]])</f>
        <v>Agosto</v>
      </c>
      <c r="R243" s="11" t="str">
        <f>PROPER(Sales_Data[[#This Row],[Sales Manager]])</f>
        <v>Jane Doe</v>
      </c>
    </row>
    <row r="244" spans="1:18" hidden="1" x14ac:dyDescent="0.25">
      <c r="A244">
        <v>10243</v>
      </c>
      <c r="B244">
        <v>2019</v>
      </c>
      <c r="C244" t="s">
        <v>73</v>
      </c>
      <c r="D244" s="8">
        <v>43708</v>
      </c>
      <c r="E244" t="s">
        <v>25</v>
      </c>
      <c r="F244" t="s">
        <v>21</v>
      </c>
      <c r="G244" t="s">
        <v>13</v>
      </c>
      <c r="H244" s="9">
        <v>8</v>
      </c>
      <c r="I244" s="9">
        <v>446</v>
      </c>
      <c r="J244" s="10">
        <v>334500</v>
      </c>
      <c r="K244" s="10">
        <v>43485</v>
      </c>
      <c r="L244">
        <v>35</v>
      </c>
      <c r="M244" s="8">
        <v>43647</v>
      </c>
      <c r="N244" s="23">
        <v>1.6849615544160699E-3</v>
      </c>
      <c r="O244" s="10" t="str">
        <f>IF(Sales_Data[[#This Row],[Total Profit]]&gt;0,"Profitable","Loss")</f>
        <v>Profitable</v>
      </c>
      <c r="P244" s="10" t="str">
        <f>IF(Sales_Data[[#This Row],[Total Profit]]&gt;100000,"High Value",IF(Sales_Data[[#This Row],[Total Profit]]&gt;60000,"Medium","Low"))</f>
        <v>Low</v>
      </c>
      <c r="Q244" s="11" t="str">
        <f>PROPER(Sales_Data[[#This Row],[Month Name]])</f>
        <v>Agosto</v>
      </c>
      <c r="R244" s="11" t="str">
        <f>PROPER(Sales_Data[[#This Row],[Sales Manager]])</f>
        <v>John Smith</v>
      </c>
    </row>
    <row r="245" spans="1:18" hidden="1" x14ac:dyDescent="0.25">
      <c r="A245">
        <v>10244</v>
      </c>
      <c r="B245">
        <v>2019</v>
      </c>
      <c r="C245" t="s">
        <v>74</v>
      </c>
      <c r="D245" s="8">
        <v>43709</v>
      </c>
      <c r="E245" t="s">
        <v>11</v>
      </c>
      <c r="F245" t="s">
        <v>21</v>
      </c>
      <c r="G245" t="s">
        <v>20</v>
      </c>
      <c r="H245" s="9">
        <v>13</v>
      </c>
      <c r="I245" s="9">
        <v>142</v>
      </c>
      <c r="J245" s="10">
        <v>120700</v>
      </c>
      <c r="K245" s="10">
        <v>39831</v>
      </c>
      <c r="L245">
        <v>36</v>
      </c>
      <c r="M245" s="8">
        <v>43647</v>
      </c>
      <c r="N245" s="23">
        <v>6.0799659078630797E-4</v>
      </c>
      <c r="O245" s="10" t="str">
        <f>IF(Sales_Data[[#This Row],[Total Profit]]&gt;0,"Profitable","Loss")</f>
        <v>Profitable</v>
      </c>
      <c r="P245" s="10" t="str">
        <f>IF(Sales_Data[[#This Row],[Total Profit]]&gt;100000,"High Value",IF(Sales_Data[[#This Row],[Total Profit]]&gt;60000,"Medium","Low"))</f>
        <v>Low</v>
      </c>
      <c r="Q245" s="11" t="str">
        <f>PROPER(Sales_Data[[#This Row],[Month Name]])</f>
        <v>Setembro</v>
      </c>
      <c r="R245" s="11" t="str">
        <f>PROPER(Sales_Data[[#This Row],[Sales Manager]])</f>
        <v>John Smith</v>
      </c>
    </row>
    <row r="246" spans="1:18" hidden="1" x14ac:dyDescent="0.25">
      <c r="A246">
        <v>10245</v>
      </c>
      <c r="B246">
        <v>2019</v>
      </c>
      <c r="C246" t="s">
        <v>74</v>
      </c>
      <c r="D246" s="8">
        <v>43710</v>
      </c>
      <c r="E246" t="s">
        <v>19</v>
      </c>
      <c r="F246" t="s">
        <v>12</v>
      </c>
      <c r="G246" t="s">
        <v>13</v>
      </c>
      <c r="H246" s="9">
        <v>10</v>
      </c>
      <c r="I246" s="9">
        <v>100</v>
      </c>
      <c r="J246" s="10">
        <v>75000</v>
      </c>
      <c r="K246" s="10">
        <v>9750</v>
      </c>
      <c r="L246">
        <v>36</v>
      </c>
      <c r="M246" s="8">
        <v>43647</v>
      </c>
      <c r="N246" s="23">
        <v>3.7779407049687698E-4</v>
      </c>
      <c r="O246" s="10" t="str">
        <f>IF(Sales_Data[[#This Row],[Total Profit]]&gt;0,"Profitable","Loss")</f>
        <v>Profitable</v>
      </c>
      <c r="P246" s="10" t="str">
        <f>IF(Sales_Data[[#This Row],[Total Profit]]&gt;100000,"High Value",IF(Sales_Data[[#This Row],[Total Profit]]&gt;60000,"Medium","Low"))</f>
        <v>Low</v>
      </c>
      <c r="Q246" s="11" t="str">
        <f>PROPER(Sales_Data[[#This Row],[Month Name]])</f>
        <v>Setembro</v>
      </c>
      <c r="R246" s="11" t="str">
        <f>PROPER(Sales_Data[[#This Row],[Sales Manager]])</f>
        <v>Emily White</v>
      </c>
    </row>
    <row r="247" spans="1:18" hidden="1" x14ac:dyDescent="0.25">
      <c r="A247">
        <v>10246</v>
      </c>
      <c r="B247">
        <v>2019</v>
      </c>
      <c r="C247" t="s">
        <v>74</v>
      </c>
      <c r="D247" s="8">
        <v>43711</v>
      </c>
      <c r="E247" t="s">
        <v>22</v>
      </c>
      <c r="F247" t="s">
        <v>24</v>
      </c>
      <c r="G247" t="s">
        <v>20</v>
      </c>
      <c r="H247" s="9">
        <v>37</v>
      </c>
      <c r="I247" s="9">
        <v>381</v>
      </c>
      <c r="J247" s="10">
        <v>323850</v>
      </c>
      <c r="K247" s="10">
        <v>45339.000000000007</v>
      </c>
      <c r="L247">
        <v>36</v>
      </c>
      <c r="M247" s="8">
        <v>43647</v>
      </c>
      <c r="N247" s="23">
        <v>1.6313147964055199E-3</v>
      </c>
      <c r="O247" s="10" t="str">
        <f>IF(Sales_Data[[#This Row],[Total Profit]]&gt;0,"Profitable","Loss")</f>
        <v>Profitable</v>
      </c>
      <c r="P247" s="10" t="str">
        <f>IF(Sales_Data[[#This Row],[Total Profit]]&gt;100000,"High Value",IF(Sales_Data[[#This Row],[Total Profit]]&gt;60000,"Medium","Low"))</f>
        <v>Low</v>
      </c>
      <c r="Q247" s="11" t="str">
        <f>PROPER(Sales_Data[[#This Row],[Month Name]])</f>
        <v>Setembro</v>
      </c>
      <c r="R247" s="11" t="str">
        <f>PROPER(Sales_Data[[#This Row],[Sales Manager]])</f>
        <v>Liam Lee</v>
      </c>
    </row>
    <row r="248" spans="1:18" hidden="1" x14ac:dyDescent="0.25">
      <c r="A248">
        <v>10247</v>
      </c>
      <c r="B248">
        <v>2019</v>
      </c>
      <c r="C248" t="s">
        <v>74</v>
      </c>
      <c r="D248" s="8">
        <v>43712</v>
      </c>
      <c r="E248" t="s">
        <v>22</v>
      </c>
      <c r="F248" t="s">
        <v>18</v>
      </c>
      <c r="G248" t="s">
        <v>15</v>
      </c>
      <c r="H248" s="9">
        <v>8</v>
      </c>
      <c r="I248" s="9">
        <v>192</v>
      </c>
      <c r="J248" s="10">
        <v>96000</v>
      </c>
      <c r="K248" s="10">
        <v>25920</v>
      </c>
      <c r="L248">
        <v>36</v>
      </c>
      <c r="M248" s="8">
        <v>43647</v>
      </c>
      <c r="N248" s="23">
        <v>4.8357641023600298E-4</v>
      </c>
      <c r="O248" s="10" t="str">
        <f>IF(Sales_Data[[#This Row],[Total Profit]]&gt;0,"Profitable","Loss")</f>
        <v>Profitable</v>
      </c>
      <c r="P248" s="10" t="str">
        <f>IF(Sales_Data[[#This Row],[Total Profit]]&gt;100000,"High Value",IF(Sales_Data[[#This Row],[Total Profit]]&gt;60000,"Medium","Low"))</f>
        <v>Low</v>
      </c>
      <c r="Q248" s="11" t="str">
        <f>PROPER(Sales_Data[[#This Row],[Month Name]])</f>
        <v>Setembro</v>
      </c>
      <c r="R248" s="11" t="str">
        <f>PROPER(Sales_Data[[#This Row],[Sales Manager]])</f>
        <v>Jane Doe</v>
      </c>
    </row>
    <row r="249" spans="1:18" hidden="1" x14ac:dyDescent="0.25">
      <c r="A249">
        <v>10248</v>
      </c>
      <c r="B249">
        <v>2019</v>
      </c>
      <c r="C249" t="s">
        <v>74</v>
      </c>
      <c r="D249" s="8">
        <v>43713</v>
      </c>
      <c r="E249" t="s">
        <v>11</v>
      </c>
      <c r="F249" t="s">
        <v>16</v>
      </c>
      <c r="G249" t="s">
        <v>20</v>
      </c>
      <c r="H249" s="9">
        <v>18</v>
      </c>
      <c r="I249" s="9">
        <v>182</v>
      </c>
      <c r="J249" s="10">
        <v>154700</v>
      </c>
      <c r="K249" s="10">
        <v>18564</v>
      </c>
      <c r="L249">
        <v>36</v>
      </c>
      <c r="M249" s="8">
        <v>43647</v>
      </c>
      <c r="N249" s="23">
        <v>7.7926323607822596E-4</v>
      </c>
      <c r="O249" s="10" t="str">
        <f>IF(Sales_Data[[#This Row],[Total Profit]]&gt;0,"Profitable","Loss")</f>
        <v>Profitable</v>
      </c>
      <c r="P249" s="10" t="str">
        <f>IF(Sales_Data[[#This Row],[Total Profit]]&gt;100000,"High Value",IF(Sales_Data[[#This Row],[Total Profit]]&gt;60000,"Medium","Low"))</f>
        <v>Low</v>
      </c>
      <c r="Q249" s="11" t="str">
        <f>PROPER(Sales_Data[[#This Row],[Month Name]])</f>
        <v>Setembro</v>
      </c>
      <c r="R249" s="11" t="str">
        <f>PROPER(Sales_Data[[#This Row],[Sales Manager]])</f>
        <v>James Brown</v>
      </c>
    </row>
    <row r="250" spans="1:18" hidden="1" x14ac:dyDescent="0.25">
      <c r="A250">
        <v>10249</v>
      </c>
      <c r="B250">
        <v>2019</v>
      </c>
      <c r="C250" t="s">
        <v>74</v>
      </c>
      <c r="D250" s="8">
        <v>43714</v>
      </c>
      <c r="E250" t="s">
        <v>14</v>
      </c>
      <c r="F250" t="s">
        <v>12</v>
      </c>
      <c r="G250" t="s">
        <v>23</v>
      </c>
      <c r="H250" s="9">
        <v>9</v>
      </c>
      <c r="I250" s="9">
        <v>374</v>
      </c>
      <c r="J250" s="10">
        <v>130900</v>
      </c>
      <c r="K250" s="10">
        <v>28798</v>
      </c>
      <c r="L250">
        <v>36</v>
      </c>
      <c r="M250" s="8">
        <v>43647</v>
      </c>
      <c r="N250" s="23">
        <v>6.5937658437388298E-4</v>
      </c>
      <c r="O250" s="10" t="str">
        <f>IF(Sales_Data[[#This Row],[Total Profit]]&gt;0,"Profitable","Loss")</f>
        <v>Profitable</v>
      </c>
      <c r="P250" s="10" t="str">
        <f>IF(Sales_Data[[#This Row],[Total Profit]]&gt;100000,"High Value",IF(Sales_Data[[#This Row],[Total Profit]]&gt;60000,"Medium","Low"))</f>
        <v>Low</v>
      </c>
      <c r="Q250" s="11" t="str">
        <f>PROPER(Sales_Data[[#This Row],[Month Name]])</f>
        <v>Setembro</v>
      </c>
      <c r="R250" s="11" t="str">
        <f>PROPER(Sales_Data[[#This Row],[Sales Manager]])</f>
        <v>Emily White</v>
      </c>
    </row>
    <row r="251" spans="1:18" hidden="1" x14ac:dyDescent="0.25">
      <c r="A251">
        <v>10250</v>
      </c>
      <c r="B251">
        <v>2019</v>
      </c>
      <c r="C251" t="s">
        <v>74</v>
      </c>
      <c r="D251" s="8">
        <v>43715</v>
      </c>
      <c r="E251" t="s">
        <v>22</v>
      </c>
      <c r="F251" t="s">
        <v>18</v>
      </c>
      <c r="G251" t="s">
        <v>20</v>
      </c>
      <c r="H251" s="9">
        <v>1</v>
      </c>
      <c r="I251" s="9">
        <v>12</v>
      </c>
      <c r="J251" s="10">
        <v>10200</v>
      </c>
      <c r="K251" s="10">
        <v>3978</v>
      </c>
      <c r="L251">
        <v>36</v>
      </c>
      <c r="M251" s="8">
        <v>43647</v>
      </c>
      <c r="N251" s="23">
        <v>5.1379993587575297E-5</v>
      </c>
      <c r="O251" s="10" t="str">
        <f>IF(Sales_Data[[#This Row],[Total Profit]]&gt;0,"Profitable","Loss")</f>
        <v>Profitable</v>
      </c>
      <c r="P251" s="10" t="str">
        <f>IF(Sales_Data[[#This Row],[Total Profit]]&gt;100000,"High Value",IF(Sales_Data[[#This Row],[Total Profit]]&gt;60000,"Medium","Low"))</f>
        <v>Low</v>
      </c>
      <c r="Q251" s="11" t="str">
        <f>PROPER(Sales_Data[[#This Row],[Month Name]])</f>
        <v>Setembro</v>
      </c>
      <c r="R251" s="11" t="str">
        <f>PROPER(Sales_Data[[#This Row],[Sales Manager]])</f>
        <v>Jane Doe</v>
      </c>
    </row>
    <row r="252" spans="1:18" hidden="1" x14ac:dyDescent="0.25">
      <c r="A252">
        <v>10251</v>
      </c>
      <c r="B252">
        <v>2019</v>
      </c>
      <c r="C252" t="s">
        <v>74</v>
      </c>
      <c r="D252" s="8">
        <v>43716</v>
      </c>
      <c r="E252" t="s">
        <v>11</v>
      </c>
      <c r="F252" t="s">
        <v>16</v>
      </c>
      <c r="G252" t="s">
        <v>20</v>
      </c>
      <c r="H252" s="9">
        <v>15</v>
      </c>
      <c r="I252" s="9">
        <v>314</v>
      </c>
      <c r="J252" s="10">
        <v>266900</v>
      </c>
      <c r="K252" s="10">
        <v>106760</v>
      </c>
      <c r="L252">
        <v>37</v>
      </c>
      <c r="M252" s="8">
        <v>43647</v>
      </c>
      <c r="N252" s="23">
        <v>1.3444431655415499E-3</v>
      </c>
      <c r="O252" s="10" t="str">
        <f>IF(Sales_Data[[#This Row],[Total Profit]]&gt;0,"Profitable","Loss")</f>
        <v>Profitable</v>
      </c>
      <c r="P252" s="10" t="str">
        <f>IF(Sales_Data[[#This Row],[Total Profit]]&gt;100000,"High Value",IF(Sales_Data[[#This Row],[Total Profit]]&gt;60000,"Medium","Low"))</f>
        <v>High Value</v>
      </c>
      <c r="Q252" s="11" t="str">
        <f>PROPER(Sales_Data[[#This Row],[Month Name]])</f>
        <v>Setembro</v>
      </c>
      <c r="R252" s="11" t="str">
        <f>PROPER(Sales_Data[[#This Row],[Sales Manager]])</f>
        <v>James Brown</v>
      </c>
    </row>
    <row r="253" spans="1:18" hidden="1" x14ac:dyDescent="0.25">
      <c r="A253">
        <v>10252</v>
      </c>
      <c r="B253">
        <v>2019</v>
      </c>
      <c r="C253" t="s">
        <v>74</v>
      </c>
      <c r="D253" s="8">
        <v>43717</v>
      </c>
      <c r="E253" t="s">
        <v>25</v>
      </c>
      <c r="F253" t="s">
        <v>24</v>
      </c>
      <c r="G253" t="s">
        <v>17</v>
      </c>
      <c r="H253" s="9">
        <v>15</v>
      </c>
      <c r="I253" s="9">
        <v>278</v>
      </c>
      <c r="J253" s="10">
        <v>69500</v>
      </c>
      <c r="K253" s="10">
        <v>13205</v>
      </c>
      <c r="L253">
        <v>37</v>
      </c>
      <c r="M253" s="8">
        <v>43647</v>
      </c>
      <c r="N253" s="23">
        <v>3.50089171993773E-4</v>
      </c>
      <c r="O253" s="10" t="str">
        <f>IF(Sales_Data[[#This Row],[Total Profit]]&gt;0,"Profitable","Loss")</f>
        <v>Profitable</v>
      </c>
      <c r="P253" s="10" t="str">
        <f>IF(Sales_Data[[#This Row],[Total Profit]]&gt;100000,"High Value",IF(Sales_Data[[#This Row],[Total Profit]]&gt;60000,"Medium","Low"))</f>
        <v>Low</v>
      </c>
      <c r="Q253" s="11" t="str">
        <f>PROPER(Sales_Data[[#This Row],[Month Name]])</f>
        <v>Setembro</v>
      </c>
      <c r="R253" s="11" t="str">
        <f>PROPER(Sales_Data[[#This Row],[Sales Manager]])</f>
        <v>Liam Lee</v>
      </c>
    </row>
    <row r="254" spans="1:18" hidden="1" x14ac:dyDescent="0.25">
      <c r="A254">
        <v>10253</v>
      </c>
      <c r="B254">
        <v>2019</v>
      </c>
      <c r="C254" t="s">
        <v>74</v>
      </c>
      <c r="D254" s="8">
        <v>43718</v>
      </c>
      <c r="E254" t="s">
        <v>25</v>
      </c>
      <c r="F254" t="s">
        <v>16</v>
      </c>
      <c r="G254" t="s">
        <v>13</v>
      </c>
      <c r="H254" s="9">
        <v>22</v>
      </c>
      <c r="I254" s="9">
        <v>489</v>
      </c>
      <c r="J254" s="10">
        <v>366750</v>
      </c>
      <c r="K254" s="10">
        <v>84352.5</v>
      </c>
      <c r="L254">
        <v>37</v>
      </c>
      <c r="M254" s="8">
        <v>43647</v>
      </c>
      <c r="N254" s="23">
        <v>1.8474130047297301E-3</v>
      </c>
      <c r="O254" s="10" t="str">
        <f>IF(Sales_Data[[#This Row],[Total Profit]]&gt;0,"Profitable","Loss")</f>
        <v>Profitable</v>
      </c>
      <c r="P254" s="10" t="str">
        <f>IF(Sales_Data[[#This Row],[Total Profit]]&gt;100000,"High Value",IF(Sales_Data[[#This Row],[Total Profit]]&gt;60000,"Medium","Low"))</f>
        <v>Medium</v>
      </c>
      <c r="Q254" s="11" t="str">
        <f>PROPER(Sales_Data[[#This Row],[Month Name]])</f>
        <v>Setembro</v>
      </c>
      <c r="R254" s="11" t="str">
        <f>PROPER(Sales_Data[[#This Row],[Sales Manager]])</f>
        <v>James Brown</v>
      </c>
    </row>
    <row r="255" spans="1:18" hidden="1" x14ac:dyDescent="0.25">
      <c r="A255">
        <v>10254</v>
      </c>
      <c r="B255">
        <v>2019</v>
      </c>
      <c r="C255" t="s">
        <v>74</v>
      </c>
      <c r="D255" s="8">
        <v>43719</v>
      </c>
      <c r="E255" t="s">
        <v>11</v>
      </c>
      <c r="F255" t="s">
        <v>21</v>
      </c>
      <c r="G255" t="s">
        <v>17</v>
      </c>
      <c r="H255" s="9">
        <v>4</v>
      </c>
      <c r="I255" s="9">
        <v>168</v>
      </c>
      <c r="J255" s="10">
        <v>42000</v>
      </c>
      <c r="K255" s="10">
        <v>8400</v>
      </c>
      <c r="L255">
        <v>37</v>
      </c>
      <c r="M255" s="8">
        <v>43647</v>
      </c>
      <c r="N255" s="23">
        <v>2.11564679478251E-4</v>
      </c>
      <c r="O255" s="10" t="str">
        <f>IF(Sales_Data[[#This Row],[Total Profit]]&gt;0,"Profitable","Loss")</f>
        <v>Profitable</v>
      </c>
      <c r="P255" s="10" t="str">
        <f>IF(Sales_Data[[#This Row],[Total Profit]]&gt;100000,"High Value",IF(Sales_Data[[#This Row],[Total Profit]]&gt;60000,"Medium","Low"))</f>
        <v>Low</v>
      </c>
      <c r="Q255" s="11" t="str">
        <f>PROPER(Sales_Data[[#This Row],[Month Name]])</f>
        <v>Setembro</v>
      </c>
      <c r="R255" s="11" t="str">
        <f>PROPER(Sales_Data[[#This Row],[Sales Manager]])</f>
        <v>John Smith</v>
      </c>
    </row>
    <row r="256" spans="1:18" hidden="1" x14ac:dyDescent="0.25">
      <c r="A256">
        <v>10255</v>
      </c>
      <c r="B256">
        <v>2019</v>
      </c>
      <c r="C256" t="s">
        <v>74</v>
      </c>
      <c r="D256" s="8">
        <v>43720</v>
      </c>
      <c r="E256" t="s">
        <v>25</v>
      </c>
      <c r="F256" t="s">
        <v>18</v>
      </c>
      <c r="G256" t="s">
        <v>23</v>
      </c>
      <c r="H256" s="9">
        <v>24</v>
      </c>
      <c r="I256" s="9">
        <v>244</v>
      </c>
      <c r="J256" s="10">
        <v>85400</v>
      </c>
      <c r="K256" s="10">
        <v>11956.000000000002</v>
      </c>
      <c r="L256">
        <v>37</v>
      </c>
      <c r="M256" s="8">
        <v>43647</v>
      </c>
      <c r="N256" s="23">
        <v>4.3018151493911101E-4</v>
      </c>
      <c r="O256" s="10" t="str">
        <f>IF(Sales_Data[[#This Row],[Total Profit]]&gt;0,"Profitable","Loss")</f>
        <v>Profitable</v>
      </c>
      <c r="P256" s="10" t="str">
        <f>IF(Sales_Data[[#This Row],[Total Profit]]&gt;100000,"High Value",IF(Sales_Data[[#This Row],[Total Profit]]&gt;60000,"Medium","Low"))</f>
        <v>Low</v>
      </c>
      <c r="Q256" s="11" t="str">
        <f>PROPER(Sales_Data[[#This Row],[Month Name]])</f>
        <v>Setembro</v>
      </c>
      <c r="R256" s="11" t="str">
        <f>PROPER(Sales_Data[[#This Row],[Sales Manager]])</f>
        <v>Jane Doe</v>
      </c>
    </row>
    <row r="257" spans="1:18" hidden="1" x14ac:dyDescent="0.25">
      <c r="A257">
        <v>10256</v>
      </c>
      <c r="B257">
        <v>2019</v>
      </c>
      <c r="C257" t="s">
        <v>74</v>
      </c>
      <c r="D257" s="8">
        <v>43721</v>
      </c>
      <c r="E257" t="s">
        <v>19</v>
      </c>
      <c r="F257" t="s">
        <v>12</v>
      </c>
      <c r="G257" t="s">
        <v>20</v>
      </c>
      <c r="H257" s="9">
        <v>5</v>
      </c>
      <c r="I257" s="9">
        <v>108</v>
      </c>
      <c r="J257" s="10">
        <v>91800</v>
      </c>
      <c r="K257" s="10">
        <v>37638</v>
      </c>
      <c r="L257">
        <v>37</v>
      </c>
      <c r="M257" s="8">
        <v>43647</v>
      </c>
      <c r="N257" s="23">
        <v>4.6241994228817798E-4</v>
      </c>
      <c r="O257" s="10" t="str">
        <f>IF(Sales_Data[[#This Row],[Total Profit]]&gt;0,"Profitable","Loss")</f>
        <v>Profitable</v>
      </c>
      <c r="P257" s="10" t="str">
        <f>IF(Sales_Data[[#This Row],[Total Profit]]&gt;100000,"High Value",IF(Sales_Data[[#This Row],[Total Profit]]&gt;60000,"Medium","Low"))</f>
        <v>Low</v>
      </c>
      <c r="Q257" s="11" t="str">
        <f>PROPER(Sales_Data[[#This Row],[Month Name]])</f>
        <v>Setembro</v>
      </c>
      <c r="R257" s="11" t="str">
        <f>PROPER(Sales_Data[[#This Row],[Sales Manager]])</f>
        <v>Emily White</v>
      </c>
    </row>
    <row r="258" spans="1:18" hidden="1" x14ac:dyDescent="0.25">
      <c r="A258">
        <v>10257</v>
      </c>
      <c r="B258">
        <v>2019</v>
      </c>
      <c r="C258" t="s">
        <v>74</v>
      </c>
      <c r="D258" s="8">
        <v>43722</v>
      </c>
      <c r="E258" t="s">
        <v>25</v>
      </c>
      <c r="F258" t="s">
        <v>21</v>
      </c>
      <c r="G258" t="s">
        <v>23</v>
      </c>
      <c r="H258" s="9">
        <v>5</v>
      </c>
      <c r="I258" s="9">
        <v>447</v>
      </c>
      <c r="J258" s="10">
        <v>156450</v>
      </c>
      <c r="K258" s="10">
        <v>54757.5</v>
      </c>
      <c r="L258">
        <v>37</v>
      </c>
      <c r="M258" s="8">
        <v>43647</v>
      </c>
      <c r="N258" s="23">
        <v>7.8807843105648597E-4</v>
      </c>
      <c r="O258" s="10" t="str">
        <f>IF(Sales_Data[[#This Row],[Total Profit]]&gt;0,"Profitable","Loss")</f>
        <v>Profitable</v>
      </c>
      <c r="P258" s="10" t="str">
        <f>IF(Sales_Data[[#This Row],[Total Profit]]&gt;100000,"High Value",IF(Sales_Data[[#This Row],[Total Profit]]&gt;60000,"Medium","Low"))</f>
        <v>Low</v>
      </c>
      <c r="Q258" s="11" t="str">
        <f>PROPER(Sales_Data[[#This Row],[Month Name]])</f>
        <v>Setembro</v>
      </c>
      <c r="R258" s="11" t="str">
        <f>PROPER(Sales_Data[[#This Row],[Sales Manager]])</f>
        <v>John Smith</v>
      </c>
    </row>
    <row r="259" spans="1:18" hidden="1" x14ac:dyDescent="0.25">
      <c r="A259">
        <v>10258</v>
      </c>
      <c r="B259">
        <v>2019</v>
      </c>
      <c r="C259" t="s">
        <v>74</v>
      </c>
      <c r="D259" s="8">
        <v>43723</v>
      </c>
      <c r="E259" t="s">
        <v>19</v>
      </c>
      <c r="F259" t="s">
        <v>12</v>
      </c>
      <c r="G259" t="s">
        <v>17</v>
      </c>
      <c r="H259" s="9">
        <v>2</v>
      </c>
      <c r="I259" s="9">
        <v>24</v>
      </c>
      <c r="J259" s="10">
        <v>6000</v>
      </c>
      <c r="K259" s="10">
        <v>1380</v>
      </c>
      <c r="L259">
        <v>38</v>
      </c>
      <c r="M259" s="8">
        <v>43647</v>
      </c>
      <c r="N259" s="23">
        <v>3.02235256397502E-5</v>
      </c>
      <c r="O259" s="10" t="str">
        <f>IF(Sales_Data[[#This Row],[Total Profit]]&gt;0,"Profitable","Loss")</f>
        <v>Profitable</v>
      </c>
      <c r="P259" s="10" t="str">
        <f>IF(Sales_Data[[#This Row],[Total Profit]]&gt;100000,"High Value",IF(Sales_Data[[#This Row],[Total Profit]]&gt;60000,"Medium","Low"))</f>
        <v>Low</v>
      </c>
      <c r="Q259" s="11" t="str">
        <f>PROPER(Sales_Data[[#This Row],[Month Name]])</f>
        <v>Setembro</v>
      </c>
      <c r="R259" s="11" t="str">
        <f>PROPER(Sales_Data[[#This Row],[Sales Manager]])</f>
        <v>Emily White</v>
      </c>
    </row>
    <row r="260" spans="1:18" hidden="1" x14ac:dyDescent="0.25">
      <c r="A260">
        <v>10259</v>
      </c>
      <c r="B260">
        <v>2019</v>
      </c>
      <c r="C260" t="s">
        <v>74</v>
      </c>
      <c r="D260" s="8">
        <v>43724</v>
      </c>
      <c r="E260" t="s">
        <v>25</v>
      </c>
      <c r="F260" t="s">
        <v>18</v>
      </c>
      <c r="G260" t="s">
        <v>23</v>
      </c>
      <c r="H260" s="9">
        <v>9</v>
      </c>
      <c r="I260" s="9">
        <v>245</v>
      </c>
      <c r="J260" s="10">
        <v>85750</v>
      </c>
      <c r="K260" s="10">
        <v>18007.5</v>
      </c>
      <c r="L260">
        <v>38</v>
      </c>
      <c r="M260" s="8">
        <v>43647</v>
      </c>
      <c r="N260" s="23">
        <v>4.3194455393476299E-4</v>
      </c>
      <c r="O260" s="10" t="str">
        <f>IF(Sales_Data[[#This Row],[Total Profit]]&gt;0,"Profitable","Loss")</f>
        <v>Profitable</v>
      </c>
      <c r="P260" s="10" t="str">
        <f>IF(Sales_Data[[#This Row],[Total Profit]]&gt;100000,"High Value",IF(Sales_Data[[#This Row],[Total Profit]]&gt;60000,"Medium","Low"))</f>
        <v>Low</v>
      </c>
      <c r="Q260" s="11" t="str">
        <f>PROPER(Sales_Data[[#This Row],[Month Name]])</f>
        <v>Setembro</v>
      </c>
      <c r="R260" s="11" t="str">
        <f>PROPER(Sales_Data[[#This Row],[Sales Manager]])</f>
        <v>Jane Doe</v>
      </c>
    </row>
    <row r="261" spans="1:18" hidden="1" x14ac:dyDescent="0.25">
      <c r="A261">
        <v>10260</v>
      </c>
      <c r="B261">
        <v>2019</v>
      </c>
      <c r="C261" t="s">
        <v>74</v>
      </c>
      <c r="D261" s="8">
        <v>43725</v>
      </c>
      <c r="E261" t="s">
        <v>14</v>
      </c>
      <c r="F261" t="s">
        <v>12</v>
      </c>
      <c r="G261" t="s">
        <v>20</v>
      </c>
      <c r="H261" s="9">
        <v>5</v>
      </c>
      <c r="I261" s="9">
        <v>243</v>
      </c>
      <c r="J261" s="10">
        <v>206550</v>
      </c>
      <c r="K261" s="10">
        <v>30982.5</v>
      </c>
      <c r="L261">
        <v>38</v>
      </c>
      <c r="M261" s="8">
        <v>43647</v>
      </c>
      <c r="N261" s="23">
        <v>1.0404448701483999E-3</v>
      </c>
      <c r="O261" s="10" t="str">
        <f>IF(Sales_Data[[#This Row],[Total Profit]]&gt;0,"Profitable","Loss")</f>
        <v>Profitable</v>
      </c>
      <c r="P261" s="10" t="str">
        <f>IF(Sales_Data[[#This Row],[Total Profit]]&gt;100000,"High Value",IF(Sales_Data[[#This Row],[Total Profit]]&gt;60000,"Medium","Low"))</f>
        <v>Low</v>
      </c>
      <c r="Q261" s="11" t="str">
        <f>PROPER(Sales_Data[[#This Row],[Month Name]])</f>
        <v>Setembro</v>
      </c>
      <c r="R261" s="11" t="str">
        <f>PROPER(Sales_Data[[#This Row],[Sales Manager]])</f>
        <v>Emily White</v>
      </c>
    </row>
    <row r="262" spans="1:18" hidden="1" x14ac:dyDescent="0.25">
      <c r="A262">
        <v>10261</v>
      </c>
      <c r="B262">
        <v>2019</v>
      </c>
      <c r="C262" t="s">
        <v>74</v>
      </c>
      <c r="D262" s="8">
        <v>43726</v>
      </c>
      <c r="E262" t="s">
        <v>25</v>
      </c>
      <c r="F262" t="s">
        <v>21</v>
      </c>
      <c r="G262" t="s">
        <v>13</v>
      </c>
      <c r="H262" s="9">
        <v>8</v>
      </c>
      <c r="I262" s="9">
        <v>174</v>
      </c>
      <c r="J262" s="10">
        <v>130500</v>
      </c>
      <c r="K262" s="10">
        <v>26100</v>
      </c>
      <c r="L262">
        <v>38</v>
      </c>
      <c r="M262" s="8">
        <v>43647</v>
      </c>
      <c r="N262" s="23">
        <v>6.5736168266456601E-4</v>
      </c>
      <c r="O262" s="10" t="str">
        <f>IF(Sales_Data[[#This Row],[Total Profit]]&gt;0,"Profitable","Loss")</f>
        <v>Profitable</v>
      </c>
      <c r="P262" s="10" t="str">
        <f>IF(Sales_Data[[#This Row],[Total Profit]]&gt;100000,"High Value",IF(Sales_Data[[#This Row],[Total Profit]]&gt;60000,"Medium","Low"))</f>
        <v>Low</v>
      </c>
      <c r="Q262" s="11" t="str">
        <f>PROPER(Sales_Data[[#This Row],[Month Name]])</f>
        <v>Setembro</v>
      </c>
      <c r="R262" s="11" t="str">
        <f>PROPER(Sales_Data[[#This Row],[Sales Manager]])</f>
        <v>John Smith</v>
      </c>
    </row>
    <row r="263" spans="1:18" hidden="1" x14ac:dyDescent="0.25">
      <c r="A263">
        <v>10262</v>
      </c>
      <c r="B263">
        <v>2019</v>
      </c>
      <c r="C263" t="s">
        <v>74</v>
      </c>
      <c r="D263" s="8">
        <v>43727</v>
      </c>
      <c r="E263" t="s">
        <v>11</v>
      </c>
      <c r="F263" t="s">
        <v>18</v>
      </c>
      <c r="G263" t="s">
        <v>13</v>
      </c>
      <c r="H263" s="9">
        <v>22</v>
      </c>
      <c r="I263" s="9">
        <v>288</v>
      </c>
      <c r="J263" s="10">
        <v>216000</v>
      </c>
      <c r="K263" s="10">
        <v>51840</v>
      </c>
      <c r="L263">
        <v>38</v>
      </c>
      <c r="M263" s="8">
        <v>43647</v>
      </c>
      <c r="N263" s="23">
        <v>1.08804692303101E-3</v>
      </c>
      <c r="O263" s="10" t="str">
        <f>IF(Sales_Data[[#This Row],[Total Profit]]&gt;0,"Profitable","Loss")</f>
        <v>Profitable</v>
      </c>
      <c r="P263" s="10" t="str">
        <f>IF(Sales_Data[[#This Row],[Total Profit]]&gt;100000,"High Value",IF(Sales_Data[[#This Row],[Total Profit]]&gt;60000,"Medium","Low"))</f>
        <v>Low</v>
      </c>
      <c r="Q263" s="11" t="str">
        <f>PROPER(Sales_Data[[#This Row],[Month Name]])</f>
        <v>Setembro</v>
      </c>
      <c r="R263" s="11" t="str">
        <f>PROPER(Sales_Data[[#This Row],[Sales Manager]])</f>
        <v>Jane Doe</v>
      </c>
    </row>
    <row r="264" spans="1:18" hidden="1" x14ac:dyDescent="0.25">
      <c r="A264">
        <v>10263</v>
      </c>
      <c r="B264">
        <v>2019</v>
      </c>
      <c r="C264" t="s">
        <v>74</v>
      </c>
      <c r="D264" s="8">
        <v>43728</v>
      </c>
      <c r="E264" t="s">
        <v>19</v>
      </c>
      <c r="F264" t="s">
        <v>21</v>
      </c>
      <c r="G264" t="s">
        <v>17</v>
      </c>
      <c r="H264" s="9">
        <v>8</v>
      </c>
      <c r="I264" s="9">
        <v>111</v>
      </c>
      <c r="J264" s="10">
        <v>27750</v>
      </c>
      <c r="K264" s="10">
        <v>12487.5</v>
      </c>
      <c r="L264">
        <v>38</v>
      </c>
      <c r="M264" s="8">
        <v>43647</v>
      </c>
      <c r="N264" s="23">
        <v>1.39783806083845E-4</v>
      </c>
      <c r="O264" s="10" t="str">
        <f>IF(Sales_Data[[#This Row],[Total Profit]]&gt;0,"Profitable","Loss")</f>
        <v>Profitable</v>
      </c>
      <c r="P264" s="10" t="str">
        <f>IF(Sales_Data[[#This Row],[Total Profit]]&gt;100000,"High Value",IF(Sales_Data[[#This Row],[Total Profit]]&gt;60000,"Medium","Low"))</f>
        <v>Low</v>
      </c>
      <c r="Q264" s="11" t="str">
        <f>PROPER(Sales_Data[[#This Row],[Month Name]])</f>
        <v>Setembro</v>
      </c>
      <c r="R264" s="11" t="str">
        <f>PROPER(Sales_Data[[#This Row],[Sales Manager]])</f>
        <v>John Smith</v>
      </c>
    </row>
    <row r="265" spans="1:18" hidden="1" x14ac:dyDescent="0.25">
      <c r="A265">
        <v>10264</v>
      </c>
      <c r="B265">
        <v>2019</v>
      </c>
      <c r="C265" t="s">
        <v>74</v>
      </c>
      <c r="D265" s="8">
        <v>43729</v>
      </c>
      <c r="E265" t="s">
        <v>22</v>
      </c>
      <c r="F265" t="s">
        <v>18</v>
      </c>
      <c r="G265" t="s">
        <v>17</v>
      </c>
      <c r="H265" s="9">
        <v>8</v>
      </c>
      <c r="I265" s="9">
        <v>106</v>
      </c>
      <c r="J265" s="10">
        <v>26500</v>
      </c>
      <c r="K265" s="10">
        <v>4505</v>
      </c>
      <c r="L265">
        <v>38</v>
      </c>
      <c r="M265" s="8">
        <v>43647</v>
      </c>
      <c r="N265" s="23">
        <v>1.3348723824223001E-4</v>
      </c>
      <c r="O265" s="10" t="str">
        <f>IF(Sales_Data[[#This Row],[Total Profit]]&gt;0,"Profitable","Loss")</f>
        <v>Profitable</v>
      </c>
      <c r="P265" s="10" t="str">
        <f>IF(Sales_Data[[#This Row],[Total Profit]]&gt;100000,"High Value",IF(Sales_Data[[#This Row],[Total Profit]]&gt;60000,"Medium","Low"))</f>
        <v>Low</v>
      </c>
      <c r="Q265" s="11" t="str">
        <f>PROPER(Sales_Data[[#This Row],[Month Name]])</f>
        <v>Setembro</v>
      </c>
      <c r="R265" s="11" t="str">
        <f>PROPER(Sales_Data[[#This Row],[Sales Manager]])</f>
        <v>Jane Doe</v>
      </c>
    </row>
    <row r="266" spans="1:18" hidden="1" x14ac:dyDescent="0.25">
      <c r="A266">
        <v>10265</v>
      </c>
      <c r="B266">
        <v>2019</v>
      </c>
      <c r="C266" t="s">
        <v>74</v>
      </c>
      <c r="D266" s="8">
        <v>43730</v>
      </c>
      <c r="E266" t="s">
        <v>22</v>
      </c>
      <c r="F266" t="s">
        <v>16</v>
      </c>
      <c r="G266" t="s">
        <v>13</v>
      </c>
      <c r="H266" s="9">
        <v>26</v>
      </c>
      <c r="I266" s="9">
        <v>367</v>
      </c>
      <c r="J266" s="10">
        <v>275250</v>
      </c>
      <c r="K266" s="10">
        <v>46792.5</v>
      </c>
      <c r="L266">
        <v>39</v>
      </c>
      <c r="M266" s="8">
        <v>43647</v>
      </c>
      <c r="N266" s="23">
        <v>1.3865042387235401E-3</v>
      </c>
      <c r="O266" s="10" t="str">
        <f>IF(Sales_Data[[#This Row],[Total Profit]]&gt;0,"Profitable","Loss")</f>
        <v>Profitable</v>
      </c>
      <c r="P266" s="10" t="str">
        <f>IF(Sales_Data[[#This Row],[Total Profit]]&gt;100000,"High Value",IF(Sales_Data[[#This Row],[Total Profit]]&gt;60000,"Medium","Low"))</f>
        <v>Low</v>
      </c>
      <c r="Q266" s="11" t="str">
        <f>PROPER(Sales_Data[[#This Row],[Month Name]])</f>
        <v>Setembro</v>
      </c>
      <c r="R266" s="11" t="str">
        <f>PROPER(Sales_Data[[#This Row],[Sales Manager]])</f>
        <v>James Brown</v>
      </c>
    </row>
    <row r="267" spans="1:18" hidden="1" x14ac:dyDescent="0.25">
      <c r="A267">
        <v>10266</v>
      </c>
      <c r="B267">
        <v>2019</v>
      </c>
      <c r="C267" t="s">
        <v>74</v>
      </c>
      <c r="D267" s="8">
        <v>43731</v>
      </c>
      <c r="E267" t="s">
        <v>25</v>
      </c>
      <c r="F267" t="s">
        <v>16</v>
      </c>
      <c r="G267" t="s">
        <v>13</v>
      </c>
      <c r="H267" s="9">
        <v>5</v>
      </c>
      <c r="I267" s="9">
        <v>126</v>
      </c>
      <c r="J267" s="10">
        <v>94500</v>
      </c>
      <c r="K267" s="10">
        <v>22680</v>
      </c>
      <c r="L267">
        <v>39</v>
      </c>
      <c r="M267" s="8">
        <v>43647</v>
      </c>
      <c r="N267" s="23">
        <v>4.7602052882606498E-4</v>
      </c>
      <c r="O267" s="10" t="str">
        <f>IF(Sales_Data[[#This Row],[Total Profit]]&gt;0,"Profitable","Loss")</f>
        <v>Profitable</v>
      </c>
      <c r="P267" s="10" t="str">
        <f>IF(Sales_Data[[#This Row],[Total Profit]]&gt;100000,"High Value",IF(Sales_Data[[#This Row],[Total Profit]]&gt;60000,"Medium","Low"))</f>
        <v>Low</v>
      </c>
      <c r="Q267" s="11" t="str">
        <f>PROPER(Sales_Data[[#This Row],[Month Name]])</f>
        <v>Setembro</v>
      </c>
      <c r="R267" s="11" t="str">
        <f>PROPER(Sales_Data[[#This Row],[Sales Manager]])</f>
        <v>James Brown</v>
      </c>
    </row>
    <row r="268" spans="1:18" hidden="1" x14ac:dyDescent="0.25">
      <c r="A268">
        <v>10267</v>
      </c>
      <c r="B268">
        <v>2019</v>
      </c>
      <c r="C268" t="s">
        <v>74</v>
      </c>
      <c r="D268" s="8">
        <v>43732</v>
      </c>
      <c r="E268" t="s">
        <v>14</v>
      </c>
      <c r="F268" t="s">
        <v>16</v>
      </c>
      <c r="G268" t="s">
        <v>15</v>
      </c>
      <c r="H268" s="9">
        <v>1</v>
      </c>
      <c r="I268" s="9">
        <v>17</v>
      </c>
      <c r="J268" s="10">
        <v>8500</v>
      </c>
      <c r="K268" s="10">
        <v>3060</v>
      </c>
      <c r="L268">
        <v>39</v>
      </c>
      <c r="M268" s="8">
        <v>43647</v>
      </c>
      <c r="N268" s="23">
        <v>4.2816661322979402E-5</v>
      </c>
      <c r="O268" s="10" t="str">
        <f>IF(Sales_Data[[#This Row],[Total Profit]]&gt;0,"Profitable","Loss")</f>
        <v>Profitable</v>
      </c>
      <c r="P268" s="10" t="str">
        <f>IF(Sales_Data[[#This Row],[Total Profit]]&gt;100000,"High Value",IF(Sales_Data[[#This Row],[Total Profit]]&gt;60000,"Medium","Low"))</f>
        <v>Low</v>
      </c>
      <c r="Q268" s="11" t="str">
        <f>PROPER(Sales_Data[[#This Row],[Month Name]])</f>
        <v>Setembro</v>
      </c>
      <c r="R268" s="11" t="str">
        <f>PROPER(Sales_Data[[#This Row],[Sales Manager]])</f>
        <v>James Brown</v>
      </c>
    </row>
    <row r="269" spans="1:18" hidden="1" x14ac:dyDescent="0.25">
      <c r="A269">
        <v>10268</v>
      </c>
      <c r="B269">
        <v>2019</v>
      </c>
      <c r="C269" t="s">
        <v>74</v>
      </c>
      <c r="D269" s="8">
        <v>43733</v>
      </c>
      <c r="E269" t="s">
        <v>19</v>
      </c>
      <c r="F269" t="s">
        <v>12</v>
      </c>
      <c r="G269" t="s">
        <v>17</v>
      </c>
      <c r="H269" s="9">
        <v>4</v>
      </c>
      <c r="I269" s="9">
        <v>345</v>
      </c>
      <c r="J269" s="10">
        <v>86250</v>
      </c>
      <c r="K269" s="10">
        <v>27600</v>
      </c>
      <c r="L269">
        <v>39</v>
      </c>
      <c r="M269" s="8">
        <v>43647</v>
      </c>
      <c r="N269" s="23">
        <v>4.3446318107140901E-4</v>
      </c>
      <c r="O269" s="10" t="str">
        <f>IF(Sales_Data[[#This Row],[Total Profit]]&gt;0,"Profitable","Loss")</f>
        <v>Profitable</v>
      </c>
      <c r="P269" s="10" t="str">
        <f>IF(Sales_Data[[#This Row],[Total Profit]]&gt;100000,"High Value",IF(Sales_Data[[#This Row],[Total Profit]]&gt;60000,"Medium","Low"))</f>
        <v>Low</v>
      </c>
      <c r="Q269" s="11" t="str">
        <f>PROPER(Sales_Data[[#This Row],[Month Name]])</f>
        <v>Setembro</v>
      </c>
      <c r="R269" s="11" t="str">
        <f>PROPER(Sales_Data[[#This Row],[Sales Manager]])</f>
        <v>Emily White</v>
      </c>
    </row>
    <row r="270" spans="1:18" hidden="1" x14ac:dyDescent="0.25">
      <c r="A270">
        <v>10269</v>
      </c>
      <c r="B270">
        <v>2019</v>
      </c>
      <c r="C270" t="s">
        <v>74</v>
      </c>
      <c r="D270" s="8">
        <v>43734</v>
      </c>
      <c r="E270" t="s">
        <v>25</v>
      </c>
      <c r="F270" t="s">
        <v>24</v>
      </c>
      <c r="G270" t="s">
        <v>13</v>
      </c>
      <c r="H270" s="9">
        <v>8</v>
      </c>
      <c r="I270" s="9">
        <v>157</v>
      </c>
      <c r="J270" s="10">
        <v>117750</v>
      </c>
      <c r="K270" s="10">
        <v>52987.5</v>
      </c>
      <c r="L270">
        <v>39</v>
      </c>
      <c r="M270" s="8">
        <v>43647</v>
      </c>
      <c r="N270" s="23">
        <v>5.9313669068009696E-4</v>
      </c>
      <c r="O270" s="10" t="str">
        <f>IF(Sales_Data[[#This Row],[Total Profit]]&gt;0,"Profitable","Loss")</f>
        <v>Profitable</v>
      </c>
      <c r="P270" s="10" t="str">
        <f>IF(Sales_Data[[#This Row],[Total Profit]]&gt;100000,"High Value",IF(Sales_Data[[#This Row],[Total Profit]]&gt;60000,"Medium","Low"))</f>
        <v>Low</v>
      </c>
      <c r="Q270" s="11" t="str">
        <f>PROPER(Sales_Data[[#This Row],[Month Name]])</f>
        <v>Setembro</v>
      </c>
      <c r="R270" s="11" t="str">
        <f>PROPER(Sales_Data[[#This Row],[Sales Manager]])</f>
        <v>Liam Lee</v>
      </c>
    </row>
    <row r="271" spans="1:18" hidden="1" x14ac:dyDescent="0.25">
      <c r="A271">
        <v>10270</v>
      </c>
      <c r="B271">
        <v>2019</v>
      </c>
      <c r="C271" t="s">
        <v>74</v>
      </c>
      <c r="D271" s="8">
        <v>43735</v>
      </c>
      <c r="E271" t="s">
        <v>22</v>
      </c>
      <c r="F271" t="s">
        <v>18</v>
      </c>
      <c r="G271" t="s">
        <v>20</v>
      </c>
      <c r="H271" s="9">
        <v>24</v>
      </c>
      <c r="I271" s="9">
        <v>319</v>
      </c>
      <c r="J271" s="10">
        <v>271150</v>
      </c>
      <c r="K271" s="10">
        <v>65076</v>
      </c>
      <c r="L271">
        <v>39</v>
      </c>
      <c r="M271" s="8">
        <v>43647</v>
      </c>
      <c r="N271" s="23">
        <v>1.36585149620304E-3</v>
      </c>
      <c r="O271" s="10" t="str">
        <f>IF(Sales_Data[[#This Row],[Total Profit]]&gt;0,"Profitable","Loss")</f>
        <v>Profitable</v>
      </c>
      <c r="P271" s="10" t="str">
        <f>IF(Sales_Data[[#This Row],[Total Profit]]&gt;100000,"High Value",IF(Sales_Data[[#This Row],[Total Profit]]&gt;60000,"Medium","Low"))</f>
        <v>Medium</v>
      </c>
      <c r="Q271" s="11" t="str">
        <f>PROPER(Sales_Data[[#This Row],[Month Name]])</f>
        <v>Setembro</v>
      </c>
      <c r="R271" s="11" t="str">
        <f>PROPER(Sales_Data[[#This Row],[Sales Manager]])</f>
        <v>Jane Doe</v>
      </c>
    </row>
    <row r="272" spans="1:18" hidden="1" x14ac:dyDescent="0.25">
      <c r="A272">
        <v>10271</v>
      </c>
      <c r="B272">
        <v>2019</v>
      </c>
      <c r="C272" t="s">
        <v>74</v>
      </c>
      <c r="D272" s="8">
        <v>43736</v>
      </c>
      <c r="E272" t="s">
        <v>25</v>
      </c>
      <c r="F272" t="s">
        <v>18</v>
      </c>
      <c r="G272" t="s">
        <v>17</v>
      </c>
      <c r="H272" s="9">
        <v>7</v>
      </c>
      <c r="I272" s="9">
        <v>96</v>
      </c>
      <c r="J272" s="10">
        <v>24000</v>
      </c>
      <c r="K272" s="10">
        <v>3600</v>
      </c>
      <c r="L272">
        <v>39</v>
      </c>
      <c r="M272" s="8">
        <v>43647</v>
      </c>
      <c r="N272" s="23">
        <v>1.20894102559001E-4</v>
      </c>
      <c r="O272" s="10" t="str">
        <f>IF(Sales_Data[[#This Row],[Total Profit]]&gt;0,"Profitable","Loss")</f>
        <v>Profitable</v>
      </c>
      <c r="P272" s="10" t="str">
        <f>IF(Sales_Data[[#This Row],[Total Profit]]&gt;100000,"High Value",IF(Sales_Data[[#This Row],[Total Profit]]&gt;60000,"Medium","Low"))</f>
        <v>Low</v>
      </c>
      <c r="Q272" s="11" t="str">
        <f>PROPER(Sales_Data[[#This Row],[Month Name]])</f>
        <v>Setembro</v>
      </c>
      <c r="R272" s="11" t="str">
        <f>PROPER(Sales_Data[[#This Row],[Sales Manager]])</f>
        <v>Jane Doe</v>
      </c>
    </row>
    <row r="273" spans="1:18" hidden="1" x14ac:dyDescent="0.25">
      <c r="A273">
        <v>10272</v>
      </c>
      <c r="B273">
        <v>2019</v>
      </c>
      <c r="C273" t="s">
        <v>74</v>
      </c>
      <c r="D273" s="8">
        <v>43737</v>
      </c>
      <c r="E273" t="s">
        <v>14</v>
      </c>
      <c r="F273" t="s">
        <v>12</v>
      </c>
      <c r="G273" t="s">
        <v>20</v>
      </c>
      <c r="H273" s="9">
        <v>3</v>
      </c>
      <c r="I273" s="9">
        <v>47</v>
      </c>
      <c r="J273" s="10">
        <v>39950</v>
      </c>
      <c r="K273" s="10">
        <v>14781.5</v>
      </c>
      <c r="L273">
        <v>40</v>
      </c>
      <c r="M273" s="8">
        <v>43647</v>
      </c>
      <c r="N273" s="23">
        <v>2.01238308218003E-4</v>
      </c>
      <c r="O273" s="10" t="str">
        <f>IF(Sales_Data[[#This Row],[Total Profit]]&gt;0,"Profitable","Loss")</f>
        <v>Profitable</v>
      </c>
      <c r="P273" s="10" t="str">
        <f>IF(Sales_Data[[#This Row],[Total Profit]]&gt;100000,"High Value",IF(Sales_Data[[#This Row],[Total Profit]]&gt;60000,"Medium","Low"))</f>
        <v>Low</v>
      </c>
      <c r="Q273" s="11" t="str">
        <f>PROPER(Sales_Data[[#This Row],[Month Name]])</f>
        <v>Setembro</v>
      </c>
      <c r="R273" s="11" t="str">
        <f>PROPER(Sales_Data[[#This Row],[Sales Manager]])</f>
        <v>Emily White</v>
      </c>
    </row>
    <row r="274" spans="1:18" hidden="1" x14ac:dyDescent="0.25">
      <c r="A274">
        <v>10273</v>
      </c>
      <c r="B274">
        <v>2019</v>
      </c>
      <c r="C274" t="s">
        <v>74</v>
      </c>
      <c r="D274" s="8">
        <v>43738</v>
      </c>
      <c r="E274" t="s">
        <v>22</v>
      </c>
      <c r="F274" t="s">
        <v>21</v>
      </c>
      <c r="G274" t="s">
        <v>20</v>
      </c>
      <c r="H274" s="9">
        <v>9</v>
      </c>
      <c r="I274" s="9">
        <v>438</v>
      </c>
      <c r="J274" s="10">
        <v>372300</v>
      </c>
      <c r="K274" s="10">
        <v>122859</v>
      </c>
      <c r="L274">
        <v>40</v>
      </c>
      <c r="M274" s="8">
        <v>43647</v>
      </c>
      <c r="N274" s="23">
        <v>1.8753697659465E-3</v>
      </c>
      <c r="O274" s="10" t="str">
        <f>IF(Sales_Data[[#This Row],[Total Profit]]&gt;0,"Profitable","Loss")</f>
        <v>Profitable</v>
      </c>
      <c r="P274" s="10" t="str">
        <f>IF(Sales_Data[[#This Row],[Total Profit]]&gt;100000,"High Value",IF(Sales_Data[[#This Row],[Total Profit]]&gt;60000,"Medium","Low"))</f>
        <v>High Value</v>
      </c>
      <c r="Q274" s="11" t="str">
        <f>PROPER(Sales_Data[[#This Row],[Month Name]])</f>
        <v>Setembro</v>
      </c>
      <c r="R274" s="11" t="str">
        <f>PROPER(Sales_Data[[#This Row],[Sales Manager]])</f>
        <v>John Smith</v>
      </c>
    </row>
    <row r="275" spans="1:18" hidden="1" x14ac:dyDescent="0.25">
      <c r="A275">
        <v>10274</v>
      </c>
      <c r="B275">
        <v>2019</v>
      </c>
      <c r="C275" t="s">
        <v>75</v>
      </c>
      <c r="D275" s="8">
        <v>43739</v>
      </c>
      <c r="E275" t="s">
        <v>14</v>
      </c>
      <c r="F275" t="s">
        <v>21</v>
      </c>
      <c r="G275" t="s">
        <v>15</v>
      </c>
      <c r="H275" s="9">
        <v>19</v>
      </c>
      <c r="I275" s="9">
        <v>216</v>
      </c>
      <c r="J275" s="10">
        <v>108000</v>
      </c>
      <c r="K275" s="10">
        <v>43200</v>
      </c>
      <c r="L275">
        <v>40</v>
      </c>
      <c r="M275" s="8">
        <v>43739</v>
      </c>
      <c r="N275" s="23">
        <v>5.4402346151550304E-4</v>
      </c>
      <c r="O275" s="10" t="str">
        <f>IF(Sales_Data[[#This Row],[Total Profit]]&gt;0,"Profitable","Loss")</f>
        <v>Profitable</v>
      </c>
      <c r="P275" s="10" t="str">
        <f>IF(Sales_Data[[#This Row],[Total Profit]]&gt;100000,"High Value",IF(Sales_Data[[#This Row],[Total Profit]]&gt;60000,"Medium","Low"))</f>
        <v>Low</v>
      </c>
      <c r="Q275" s="11" t="str">
        <f>PROPER(Sales_Data[[#This Row],[Month Name]])</f>
        <v>Outubro</v>
      </c>
      <c r="R275" s="11" t="str">
        <f>PROPER(Sales_Data[[#This Row],[Sales Manager]])</f>
        <v>John Smith</v>
      </c>
    </row>
    <row r="276" spans="1:18" hidden="1" x14ac:dyDescent="0.25">
      <c r="A276">
        <v>10275</v>
      </c>
      <c r="B276">
        <v>2019</v>
      </c>
      <c r="C276" t="s">
        <v>75</v>
      </c>
      <c r="D276" s="8">
        <v>43740</v>
      </c>
      <c r="E276" t="s">
        <v>22</v>
      </c>
      <c r="F276" t="s">
        <v>24</v>
      </c>
      <c r="G276" t="s">
        <v>17</v>
      </c>
      <c r="H276" s="9">
        <v>14</v>
      </c>
      <c r="I276" s="9">
        <v>153</v>
      </c>
      <c r="J276" s="10">
        <v>38250</v>
      </c>
      <c r="K276" s="10">
        <v>5737.5</v>
      </c>
      <c r="L276">
        <v>40</v>
      </c>
      <c r="M276" s="8">
        <v>43739</v>
      </c>
      <c r="N276" s="23">
        <v>1.92674975953407E-4</v>
      </c>
      <c r="O276" s="10" t="str">
        <f>IF(Sales_Data[[#This Row],[Total Profit]]&gt;0,"Profitable","Loss")</f>
        <v>Profitable</v>
      </c>
      <c r="P276" s="10" t="str">
        <f>IF(Sales_Data[[#This Row],[Total Profit]]&gt;100000,"High Value",IF(Sales_Data[[#This Row],[Total Profit]]&gt;60000,"Medium","Low"))</f>
        <v>Low</v>
      </c>
      <c r="Q276" s="11" t="str">
        <f>PROPER(Sales_Data[[#This Row],[Month Name]])</f>
        <v>Outubro</v>
      </c>
      <c r="R276" s="11" t="str">
        <f>PROPER(Sales_Data[[#This Row],[Sales Manager]])</f>
        <v>Liam Lee</v>
      </c>
    </row>
    <row r="277" spans="1:18" hidden="1" x14ac:dyDescent="0.25">
      <c r="A277">
        <v>10276</v>
      </c>
      <c r="B277">
        <v>2019</v>
      </c>
      <c r="C277" t="s">
        <v>75</v>
      </c>
      <c r="D277" s="8">
        <v>43741</v>
      </c>
      <c r="E277" t="s">
        <v>22</v>
      </c>
      <c r="F277" t="s">
        <v>18</v>
      </c>
      <c r="G277" t="s">
        <v>20</v>
      </c>
      <c r="H277" s="9">
        <v>32</v>
      </c>
      <c r="I277" s="9">
        <v>330</v>
      </c>
      <c r="J277" s="10">
        <v>280500</v>
      </c>
      <c r="K277" s="10">
        <v>106590</v>
      </c>
      <c r="L277">
        <v>40</v>
      </c>
      <c r="M277" s="8">
        <v>43739</v>
      </c>
      <c r="N277" s="23">
        <v>1.4129498236583201E-3</v>
      </c>
      <c r="O277" s="10" t="str">
        <f>IF(Sales_Data[[#This Row],[Total Profit]]&gt;0,"Profitable","Loss")</f>
        <v>Profitable</v>
      </c>
      <c r="P277" s="10" t="str">
        <f>IF(Sales_Data[[#This Row],[Total Profit]]&gt;100000,"High Value",IF(Sales_Data[[#This Row],[Total Profit]]&gt;60000,"Medium","Low"))</f>
        <v>High Value</v>
      </c>
      <c r="Q277" s="11" t="str">
        <f>PROPER(Sales_Data[[#This Row],[Month Name]])</f>
        <v>Outubro</v>
      </c>
      <c r="R277" s="11" t="str">
        <f>PROPER(Sales_Data[[#This Row],[Sales Manager]])</f>
        <v>Jane Doe</v>
      </c>
    </row>
    <row r="278" spans="1:18" hidden="1" x14ac:dyDescent="0.25">
      <c r="A278">
        <v>10277</v>
      </c>
      <c r="B278">
        <v>2019</v>
      </c>
      <c r="C278" t="s">
        <v>75</v>
      </c>
      <c r="D278" s="8">
        <v>43742</v>
      </c>
      <c r="E278" t="s">
        <v>11</v>
      </c>
      <c r="F278" t="s">
        <v>18</v>
      </c>
      <c r="G278" t="s">
        <v>20</v>
      </c>
      <c r="H278" s="9">
        <v>38</v>
      </c>
      <c r="I278" s="9">
        <v>385</v>
      </c>
      <c r="J278" s="10">
        <v>327250</v>
      </c>
      <c r="K278" s="10">
        <v>143990</v>
      </c>
      <c r="L278">
        <v>40</v>
      </c>
      <c r="M278" s="8">
        <v>43739</v>
      </c>
      <c r="N278" s="23">
        <v>1.6484414609347099E-3</v>
      </c>
      <c r="O278" s="10" t="str">
        <f>IF(Sales_Data[[#This Row],[Total Profit]]&gt;0,"Profitable","Loss")</f>
        <v>Profitable</v>
      </c>
      <c r="P278" s="10" t="str">
        <f>IF(Sales_Data[[#This Row],[Total Profit]]&gt;100000,"High Value",IF(Sales_Data[[#This Row],[Total Profit]]&gt;60000,"Medium","Low"))</f>
        <v>High Value</v>
      </c>
      <c r="Q278" s="11" t="str">
        <f>PROPER(Sales_Data[[#This Row],[Month Name]])</f>
        <v>Outubro</v>
      </c>
      <c r="R278" s="11" t="str">
        <f>PROPER(Sales_Data[[#This Row],[Sales Manager]])</f>
        <v>Jane Doe</v>
      </c>
    </row>
    <row r="279" spans="1:18" hidden="1" x14ac:dyDescent="0.25">
      <c r="A279">
        <v>10278</v>
      </c>
      <c r="B279">
        <v>2019</v>
      </c>
      <c r="C279" t="s">
        <v>75</v>
      </c>
      <c r="D279" s="8">
        <v>43743</v>
      </c>
      <c r="E279" t="s">
        <v>22</v>
      </c>
      <c r="F279" t="s">
        <v>12</v>
      </c>
      <c r="G279" t="s">
        <v>15</v>
      </c>
      <c r="H279" s="9">
        <v>7</v>
      </c>
      <c r="I279" s="9">
        <v>184</v>
      </c>
      <c r="J279" s="10">
        <v>92000</v>
      </c>
      <c r="K279" s="10">
        <v>18400</v>
      </c>
      <c r="L279">
        <v>40</v>
      </c>
      <c r="M279" s="8">
        <v>43739</v>
      </c>
      <c r="N279" s="23">
        <v>4.6342739314283597E-4</v>
      </c>
      <c r="O279" s="10" t="str">
        <f>IF(Sales_Data[[#This Row],[Total Profit]]&gt;0,"Profitable","Loss")</f>
        <v>Profitable</v>
      </c>
      <c r="P279" s="10" t="str">
        <f>IF(Sales_Data[[#This Row],[Total Profit]]&gt;100000,"High Value",IF(Sales_Data[[#This Row],[Total Profit]]&gt;60000,"Medium","Low"))</f>
        <v>Low</v>
      </c>
      <c r="Q279" s="11" t="str">
        <f>PROPER(Sales_Data[[#This Row],[Month Name]])</f>
        <v>Outubro</v>
      </c>
      <c r="R279" s="11" t="str">
        <f>PROPER(Sales_Data[[#This Row],[Sales Manager]])</f>
        <v>Emily White</v>
      </c>
    </row>
    <row r="280" spans="1:18" hidden="1" x14ac:dyDescent="0.25">
      <c r="A280">
        <v>10279</v>
      </c>
      <c r="B280">
        <v>2019</v>
      </c>
      <c r="C280" t="s">
        <v>75</v>
      </c>
      <c r="D280" s="8">
        <v>43744</v>
      </c>
      <c r="E280" t="s">
        <v>25</v>
      </c>
      <c r="F280" t="s">
        <v>16</v>
      </c>
      <c r="G280" t="s">
        <v>20</v>
      </c>
      <c r="H280" s="9">
        <v>1</v>
      </c>
      <c r="I280" s="9">
        <v>28</v>
      </c>
      <c r="J280" s="10">
        <v>23800</v>
      </c>
      <c r="K280" s="10">
        <v>5236</v>
      </c>
      <c r="L280">
        <v>41</v>
      </c>
      <c r="M280" s="8">
        <v>43739</v>
      </c>
      <c r="N280" s="23">
        <v>1.1988665170434201E-4</v>
      </c>
      <c r="O280" s="10" t="str">
        <f>IF(Sales_Data[[#This Row],[Total Profit]]&gt;0,"Profitable","Loss")</f>
        <v>Profitable</v>
      </c>
      <c r="P280" s="10" t="str">
        <f>IF(Sales_Data[[#This Row],[Total Profit]]&gt;100000,"High Value",IF(Sales_Data[[#This Row],[Total Profit]]&gt;60000,"Medium","Low"))</f>
        <v>Low</v>
      </c>
      <c r="Q280" s="11" t="str">
        <f>PROPER(Sales_Data[[#This Row],[Month Name]])</f>
        <v>Outubro</v>
      </c>
      <c r="R280" s="11" t="str">
        <f>PROPER(Sales_Data[[#This Row],[Sales Manager]])</f>
        <v>James Brown</v>
      </c>
    </row>
    <row r="281" spans="1:18" hidden="1" x14ac:dyDescent="0.25">
      <c r="A281">
        <v>10280</v>
      </c>
      <c r="B281">
        <v>2019</v>
      </c>
      <c r="C281" t="s">
        <v>75</v>
      </c>
      <c r="D281" s="8">
        <v>43745</v>
      </c>
      <c r="E281" t="s">
        <v>14</v>
      </c>
      <c r="F281" t="s">
        <v>16</v>
      </c>
      <c r="G281" t="s">
        <v>13</v>
      </c>
      <c r="H281" s="9">
        <v>2</v>
      </c>
      <c r="I281" s="9">
        <v>80</v>
      </c>
      <c r="J281" s="10">
        <v>60000</v>
      </c>
      <c r="K281" s="10">
        <v>6000</v>
      </c>
      <c r="L281">
        <v>41</v>
      </c>
      <c r="M281" s="8">
        <v>43739</v>
      </c>
      <c r="N281" s="23">
        <v>3.0223525639750201E-4</v>
      </c>
      <c r="O281" s="10" t="str">
        <f>IF(Sales_Data[[#This Row],[Total Profit]]&gt;0,"Profitable","Loss")</f>
        <v>Profitable</v>
      </c>
      <c r="P281" s="10" t="str">
        <f>IF(Sales_Data[[#This Row],[Total Profit]]&gt;100000,"High Value",IF(Sales_Data[[#This Row],[Total Profit]]&gt;60000,"Medium","Low"))</f>
        <v>Low</v>
      </c>
      <c r="Q281" s="11" t="str">
        <f>PROPER(Sales_Data[[#This Row],[Month Name]])</f>
        <v>Outubro</v>
      </c>
      <c r="R281" s="11" t="str">
        <f>PROPER(Sales_Data[[#This Row],[Sales Manager]])</f>
        <v>James Brown</v>
      </c>
    </row>
    <row r="282" spans="1:18" hidden="1" x14ac:dyDescent="0.25">
      <c r="A282">
        <v>10281</v>
      </c>
      <c r="B282">
        <v>2019</v>
      </c>
      <c r="C282" t="s">
        <v>75</v>
      </c>
      <c r="D282" s="8">
        <v>43746</v>
      </c>
      <c r="E282" t="s">
        <v>25</v>
      </c>
      <c r="F282" t="s">
        <v>12</v>
      </c>
      <c r="G282" t="s">
        <v>17</v>
      </c>
      <c r="H282" s="9">
        <v>20</v>
      </c>
      <c r="I282" s="9">
        <v>286</v>
      </c>
      <c r="J282" s="10">
        <v>71500</v>
      </c>
      <c r="K282" s="10">
        <v>20020.000000000004</v>
      </c>
      <c r="L282">
        <v>41</v>
      </c>
      <c r="M282" s="8">
        <v>43739</v>
      </c>
      <c r="N282" s="23">
        <v>3.6016368054035599E-4</v>
      </c>
      <c r="O282" s="10" t="str">
        <f>IF(Sales_Data[[#This Row],[Total Profit]]&gt;0,"Profitable","Loss")</f>
        <v>Profitable</v>
      </c>
      <c r="P282" s="10" t="str">
        <f>IF(Sales_Data[[#This Row],[Total Profit]]&gt;100000,"High Value",IF(Sales_Data[[#This Row],[Total Profit]]&gt;60000,"Medium","Low"))</f>
        <v>Low</v>
      </c>
      <c r="Q282" s="11" t="str">
        <f>PROPER(Sales_Data[[#This Row],[Month Name]])</f>
        <v>Outubro</v>
      </c>
      <c r="R282" s="11" t="str">
        <f>PROPER(Sales_Data[[#This Row],[Sales Manager]])</f>
        <v>Emily White</v>
      </c>
    </row>
    <row r="283" spans="1:18" hidden="1" x14ac:dyDescent="0.25">
      <c r="A283">
        <v>10282</v>
      </c>
      <c r="B283">
        <v>2019</v>
      </c>
      <c r="C283" t="s">
        <v>75</v>
      </c>
      <c r="D283" s="8">
        <v>43747</v>
      </c>
      <c r="E283" t="s">
        <v>19</v>
      </c>
      <c r="F283" t="s">
        <v>24</v>
      </c>
      <c r="G283" t="s">
        <v>23</v>
      </c>
      <c r="H283" s="9">
        <v>5</v>
      </c>
      <c r="I283" s="9">
        <v>160</v>
      </c>
      <c r="J283" s="10">
        <v>56000</v>
      </c>
      <c r="K283" s="10">
        <v>6720</v>
      </c>
      <c r="L283">
        <v>41</v>
      </c>
      <c r="M283" s="8">
        <v>43739</v>
      </c>
      <c r="N283" s="23">
        <v>2.82086239304335E-4</v>
      </c>
      <c r="O283" s="10" t="str">
        <f>IF(Sales_Data[[#This Row],[Total Profit]]&gt;0,"Profitable","Loss")</f>
        <v>Profitable</v>
      </c>
      <c r="P283" s="10" t="str">
        <f>IF(Sales_Data[[#This Row],[Total Profit]]&gt;100000,"High Value",IF(Sales_Data[[#This Row],[Total Profit]]&gt;60000,"Medium","Low"))</f>
        <v>Low</v>
      </c>
      <c r="Q283" s="11" t="str">
        <f>PROPER(Sales_Data[[#This Row],[Month Name]])</f>
        <v>Outubro</v>
      </c>
      <c r="R283" s="11" t="str">
        <f>PROPER(Sales_Data[[#This Row],[Sales Manager]])</f>
        <v>Liam Lee</v>
      </c>
    </row>
    <row r="284" spans="1:18" hidden="1" x14ac:dyDescent="0.25">
      <c r="A284">
        <v>10283</v>
      </c>
      <c r="B284">
        <v>2019</v>
      </c>
      <c r="C284" t="s">
        <v>75</v>
      </c>
      <c r="D284" s="8">
        <v>43748</v>
      </c>
      <c r="E284" t="s">
        <v>19</v>
      </c>
      <c r="F284" t="s">
        <v>21</v>
      </c>
      <c r="G284" t="s">
        <v>13</v>
      </c>
      <c r="H284" s="9">
        <v>28</v>
      </c>
      <c r="I284" s="9">
        <v>284</v>
      </c>
      <c r="J284" s="10">
        <v>213000</v>
      </c>
      <c r="K284" s="10">
        <v>36210</v>
      </c>
      <c r="L284">
        <v>41</v>
      </c>
      <c r="M284" s="8">
        <v>43739</v>
      </c>
      <c r="N284" s="23">
        <v>1.0729351602111301E-3</v>
      </c>
      <c r="O284" s="10" t="str">
        <f>IF(Sales_Data[[#This Row],[Total Profit]]&gt;0,"Profitable","Loss")</f>
        <v>Profitable</v>
      </c>
      <c r="P284" s="10" t="str">
        <f>IF(Sales_Data[[#This Row],[Total Profit]]&gt;100000,"High Value",IF(Sales_Data[[#This Row],[Total Profit]]&gt;60000,"Medium","Low"))</f>
        <v>Low</v>
      </c>
      <c r="Q284" s="11" t="str">
        <f>PROPER(Sales_Data[[#This Row],[Month Name]])</f>
        <v>Outubro</v>
      </c>
      <c r="R284" s="11" t="str">
        <f>PROPER(Sales_Data[[#This Row],[Sales Manager]])</f>
        <v>John Smith</v>
      </c>
    </row>
    <row r="285" spans="1:18" hidden="1" x14ac:dyDescent="0.25">
      <c r="A285">
        <v>10284</v>
      </c>
      <c r="B285">
        <v>2019</v>
      </c>
      <c r="C285" t="s">
        <v>75</v>
      </c>
      <c r="D285" s="8">
        <v>43749</v>
      </c>
      <c r="E285" t="s">
        <v>25</v>
      </c>
      <c r="F285" t="s">
        <v>21</v>
      </c>
      <c r="G285" t="s">
        <v>15</v>
      </c>
      <c r="H285" s="9">
        <v>33</v>
      </c>
      <c r="I285" s="9">
        <v>447</v>
      </c>
      <c r="J285" s="10">
        <v>223500</v>
      </c>
      <c r="K285" s="10">
        <v>31290.000000000004</v>
      </c>
      <c r="L285">
        <v>41</v>
      </c>
      <c r="M285" s="8">
        <v>43739</v>
      </c>
      <c r="N285" s="23">
        <v>1.1258263300806899E-3</v>
      </c>
      <c r="O285" s="10" t="str">
        <f>IF(Sales_Data[[#This Row],[Total Profit]]&gt;0,"Profitable","Loss")</f>
        <v>Profitable</v>
      </c>
      <c r="P285" s="10" t="str">
        <f>IF(Sales_Data[[#This Row],[Total Profit]]&gt;100000,"High Value",IF(Sales_Data[[#This Row],[Total Profit]]&gt;60000,"Medium","Low"))</f>
        <v>Low</v>
      </c>
      <c r="Q285" s="11" t="str">
        <f>PROPER(Sales_Data[[#This Row],[Month Name]])</f>
        <v>Outubro</v>
      </c>
      <c r="R285" s="11" t="str">
        <f>PROPER(Sales_Data[[#This Row],[Sales Manager]])</f>
        <v>John Smith</v>
      </c>
    </row>
    <row r="286" spans="1:18" hidden="1" x14ac:dyDescent="0.25">
      <c r="A286">
        <v>10285</v>
      </c>
      <c r="B286">
        <v>2019</v>
      </c>
      <c r="C286" t="s">
        <v>75</v>
      </c>
      <c r="D286" s="8">
        <v>43750</v>
      </c>
      <c r="E286" t="s">
        <v>25</v>
      </c>
      <c r="F286" t="s">
        <v>24</v>
      </c>
      <c r="G286" t="s">
        <v>17</v>
      </c>
      <c r="H286" s="9">
        <v>12</v>
      </c>
      <c r="I286" s="9">
        <v>144</v>
      </c>
      <c r="J286" s="10">
        <v>36000</v>
      </c>
      <c r="K286" s="10">
        <v>6840</v>
      </c>
      <c r="L286">
        <v>41</v>
      </c>
      <c r="M286" s="8">
        <v>43739</v>
      </c>
      <c r="N286" s="23">
        <v>1.81341153838501E-4</v>
      </c>
      <c r="O286" s="10" t="str">
        <f>IF(Sales_Data[[#This Row],[Total Profit]]&gt;0,"Profitable","Loss")</f>
        <v>Profitable</v>
      </c>
      <c r="P286" s="10" t="str">
        <f>IF(Sales_Data[[#This Row],[Total Profit]]&gt;100000,"High Value",IF(Sales_Data[[#This Row],[Total Profit]]&gt;60000,"Medium","Low"))</f>
        <v>Low</v>
      </c>
      <c r="Q286" s="11" t="str">
        <f>PROPER(Sales_Data[[#This Row],[Month Name]])</f>
        <v>Outubro</v>
      </c>
      <c r="R286" s="11" t="str">
        <f>PROPER(Sales_Data[[#This Row],[Sales Manager]])</f>
        <v>Liam Lee</v>
      </c>
    </row>
    <row r="287" spans="1:18" hidden="1" x14ac:dyDescent="0.25">
      <c r="A287">
        <v>10286</v>
      </c>
      <c r="B287">
        <v>2019</v>
      </c>
      <c r="C287" t="s">
        <v>75</v>
      </c>
      <c r="D287" s="8">
        <v>43751</v>
      </c>
      <c r="E287" t="s">
        <v>11</v>
      </c>
      <c r="F287" t="s">
        <v>12</v>
      </c>
      <c r="G287" t="s">
        <v>23</v>
      </c>
      <c r="H287" s="9">
        <v>6</v>
      </c>
      <c r="I287" s="9">
        <v>237</v>
      </c>
      <c r="J287" s="10">
        <v>82950</v>
      </c>
      <c r="K287" s="10">
        <v>36498</v>
      </c>
      <c r="L287">
        <v>42</v>
      </c>
      <c r="M287" s="8">
        <v>43739</v>
      </c>
      <c r="N287" s="23">
        <v>4.1784024196954601E-4</v>
      </c>
      <c r="O287" s="10" t="str">
        <f>IF(Sales_Data[[#This Row],[Total Profit]]&gt;0,"Profitable","Loss")</f>
        <v>Profitable</v>
      </c>
      <c r="P287" s="10" t="str">
        <f>IF(Sales_Data[[#This Row],[Total Profit]]&gt;100000,"High Value",IF(Sales_Data[[#This Row],[Total Profit]]&gt;60000,"Medium","Low"))</f>
        <v>Low</v>
      </c>
      <c r="Q287" s="11" t="str">
        <f>PROPER(Sales_Data[[#This Row],[Month Name]])</f>
        <v>Outubro</v>
      </c>
      <c r="R287" s="11" t="str">
        <f>PROPER(Sales_Data[[#This Row],[Sales Manager]])</f>
        <v>Emily White</v>
      </c>
    </row>
    <row r="288" spans="1:18" hidden="1" x14ac:dyDescent="0.25">
      <c r="A288">
        <v>10287</v>
      </c>
      <c r="B288">
        <v>2019</v>
      </c>
      <c r="C288" t="s">
        <v>75</v>
      </c>
      <c r="D288" s="8">
        <v>43752</v>
      </c>
      <c r="E288" t="s">
        <v>14</v>
      </c>
      <c r="F288" t="s">
        <v>24</v>
      </c>
      <c r="G288" t="s">
        <v>15</v>
      </c>
      <c r="H288" s="9">
        <v>7</v>
      </c>
      <c r="I288" s="9">
        <v>146</v>
      </c>
      <c r="J288" s="10">
        <v>73000</v>
      </c>
      <c r="K288" s="10">
        <v>29930</v>
      </c>
      <c r="L288">
        <v>42</v>
      </c>
      <c r="M288" s="8">
        <v>43739</v>
      </c>
      <c r="N288" s="23">
        <v>3.6771956195029399E-4</v>
      </c>
      <c r="O288" s="10" t="str">
        <f>IF(Sales_Data[[#This Row],[Total Profit]]&gt;0,"Profitable","Loss")</f>
        <v>Profitable</v>
      </c>
      <c r="P288" s="10" t="str">
        <f>IF(Sales_Data[[#This Row],[Total Profit]]&gt;100000,"High Value",IF(Sales_Data[[#This Row],[Total Profit]]&gt;60000,"Medium","Low"))</f>
        <v>Low</v>
      </c>
      <c r="Q288" s="11" t="str">
        <f>PROPER(Sales_Data[[#This Row],[Month Name]])</f>
        <v>Outubro</v>
      </c>
      <c r="R288" s="11" t="str">
        <f>PROPER(Sales_Data[[#This Row],[Sales Manager]])</f>
        <v>Liam Lee</v>
      </c>
    </row>
    <row r="289" spans="1:18" hidden="1" x14ac:dyDescent="0.25">
      <c r="A289">
        <v>10288</v>
      </c>
      <c r="B289">
        <v>2019</v>
      </c>
      <c r="C289" t="s">
        <v>75</v>
      </c>
      <c r="D289" s="8">
        <v>43753</v>
      </c>
      <c r="E289" t="s">
        <v>25</v>
      </c>
      <c r="F289" t="s">
        <v>12</v>
      </c>
      <c r="G289" t="s">
        <v>17</v>
      </c>
      <c r="H289" s="9">
        <v>6</v>
      </c>
      <c r="I289" s="9">
        <v>366</v>
      </c>
      <c r="J289" s="10">
        <v>91500</v>
      </c>
      <c r="K289" s="10">
        <v>9150</v>
      </c>
      <c r="L289">
        <v>42</v>
      </c>
      <c r="M289" s="8">
        <v>43739</v>
      </c>
      <c r="N289" s="23">
        <v>4.6090876600619001E-4</v>
      </c>
      <c r="O289" s="10" t="str">
        <f>IF(Sales_Data[[#This Row],[Total Profit]]&gt;0,"Profitable","Loss")</f>
        <v>Profitable</v>
      </c>
      <c r="P289" s="10" t="str">
        <f>IF(Sales_Data[[#This Row],[Total Profit]]&gt;100000,"High Value",IF(Sales_Data[[#This Row],[Total Profit]]&gt;60000,"Medium","Low"))</f>
        <v>Low</v>
      </c>
      <c r="Q289" s="11" t="str">
        <f>PROPER(Sales_Data[[#This Row],[Month Name]])</f>
        <v>Outubro</v>
      </c>
      <c r="R289" s="11" t="str">
        <f>PROPER(Sales_Data[[#This Row],[Sales Manager]])</f>
        <v>Emily White</v>
      </c>
    </row>
    <row r="290" spans="1:18" hidden="1" x14ac:dyDescent="0.25">
      <c r="A290">
        <v>10289</v>
      </c>
      <c r="B290">
        <v>2019</v>
      </c>
      <c r="C290" t="s">
        <v>75</v>
      </c>
      <c r="D290" s="8">
        <v>43754</v>
      </c>
      <c r="E290" t="s">
        <v>11</v>
      </c>
      <c r="F290" t="s">
        <v>18</v>
      </c>
      <c r="G290" t="s">
        <v>20</v>
      </c>
      <c r="H290" s="9">
        <v>23</v>
      </c>
      <c r="I290" s="9">
        <v>443</v>
      </c>
      <c r="J290" s="10">
        <v>376550</v>
      </c>
      <c r="K290" s="10">
        <v>105434.00000000001</v>
      </c>
      <c r="L290">
        <v>42</v>
      </c>
      <c r="M290" s="8">
        <v>43739</v>
      </c>
      <c r="N290" s="23">
        <v>1.8967780966079901E-3</v>
      </c>
      <c r="O290" s="10" t="str">
        <f>IF(Sales_Data[[#This Row],[Total Profit]]&gt;0,"Profitable","Loss")</f>
        <v>Profitable</v>
      </c>
      <c r="P290" s="10" t="str">
        <f>IF(Sales_Data[[#This Row],[Total Profit]]&gt;100000,"High Value",IF(Sales_Data[[#This Row],[Total Profit]]&gt;60000,"Medium","Low"))</f>
        <v>High Value</v>
      </c>
      <c r="Q290" s="11" t="str">
        <f>PROPER(Sales_Data[[#This Row],[Month Name]])</f>
        <v>Outubro</v>
      </c>
      <c r="R290" s="11" t="str">
        <f>PROPER(Sales_Data[[#This Row],[Sales Manager]])</f>
        <v>Jane Doe</v>
      </c>
    </row>
    <row r="291" spans="1:18" hidden="1" x14ac:dyDescent="0.25">
      <c r="A291">
        <v>10290</v>
      </c>
      <c r="B291">
        <v>2019</v>
      </c>
      <c r="C291" t="s">
        <v>75</v>
      </c>
      <c r="D291" s="8">
        <v>43755</v>
      </c>
      <c r="E291" t="s">
        <v>11</v>
      </c>
      <c r="F291" t="s">
        <v>21</v>
      </c>
      <c r="G291" t="s">
        <v>17</v>
      </c>
      <c r="H291" s="9">
        <v>13</v>
      </c>
      <c r="I291" s="9">
        <v>371</v>
      </c>
      <c r="J291" s="10">
        <v>92750</v>
      </c>
      <c r="K291" s="10">
        <v>22260</v>
      </c>
      <c r="L291">
        <v>42</v>
      </c>
      <c r="M291" s="8">
        <v>43739</v>
      </c>
      <c r="N291" s="23">
        <v>4.6720533384780497E-4</v>
      </c>
      <c r="O291" s="10" t="str">
        <f>IF(Sales_Data[[#This Row],[Total Profit]]&gt;0,"Profitable","Loss")</f>
        <v>Profitable</v>
      </c>
      <c r="P291" s="10" t="str">
        <f>IF(Sales_Data[[#This Row],[Total Profit]]&gt;100000,"High Value",IF(Sales_Data[[#This Row],[Total Profit]]&gt;60000,"Medium","Low"))</f>
        <v>Low</v>
      </c>
      <c r="Q291" s="11" t="str">
        <f>PROPER(Sales_Data[[#This Row],[Month Name]])</f>
        <v>Outubro</v>
      </c>
      <c r="R291" s="11" t="str">
        <f>PROPER(Sales_Data[[#This Row],[Sales Manager]])</f>
        <v>John Smith</v>
      </c>
    </row>
    <row r="292" spans="1:18" hidden="1" x14ac:dyDescent="0.25">
      <c r="A292">
        <v>10291</v>
      </c>
      <c r="B292">
        <v>2019</v>
      </c>
      <c r="C292" t="s">
        <v>75</v>
      </c>
      <c r="D292" s="8">
        <v>43756</v>
      </c>
      <c r="E292" t="s">
        <v>11</v>
      </c>
      <c r="F292" t="s">
        <v>18</v>
      </c>
      <c r="G292" t="s">
        <v>17</v>
      </c>
      <c r="H292" s="9">
        <v>21</v>
      </c>
      <c r="I292" s="9">
        <v>313</v>
      </c>
      <c r="J292" s="10">
        <v>78250</v>
      </c>
      <c r="K292" s="10">
        <v>28170</v>
      </c>
      <c r="L292">
        <v>42</v>
      </c>
      <c r="M292" s="8">
        <v>43739</v>
      </c>
      <c r="N292" s="23">
        <v>3.9416514688507499E-4</v>
      </c>
      <c r="O292" s="10" t="str">
        <f>IF(Sales_Data[[#This Row],[Total Profit]]&gt;0,"Profitable","Loss")</f>
        <v>Profitable</v>
      </c>
      <c r="P292" s="10" t="str">
        <f>IF(Sales_Data[[#This Row],[Total Profit]]&gt;100000,"High Value",IF(Sales_Data[[#This Row],[Total Profit]]&gt;60000,"Medium","Low"))</f>
        <v>Low</v>
      </c>
      <c r="Q292" s="11" t="str">
        <f>PROPER(Sales_Data[[#This Row],[Month Name]])</f>
        <v>Outubro</v>
      </c>
      <c r="R292" s="11" t="str">
        <f>PROPER(Sales_Data[[#This Row],[Sales Manager]])</f>
        <v>Jane Doe</v>
      </c>
    </row>
    <row r="293" spans="1:18" hidden="1" x14ac:dyDescent="0.25">
      <c r="A293">
        <v>10292</v>
      </c>
      <c r="B293">
        <v>2019</v>
      </c>
      <c r="C293" t="s">
        <v>75</v>
      </c>
      <c r="D293" s="8">
        <v>43757</v>
      </c>
      <c r="E293" t="s">
        <v>25</v>
      </c>
      <c r="F293" t="s">
        <v>18</v>
      </c>
      <c r="G293" t="s">
        <v>15</v>
      </c>
      <c r="H293" s="9">
        <v>21</v>
      </c>
      <c r="I293" s="9">
        <v>370</v>
      </c>
      <c r="J293" s="10">
        <v>185000</v>
      </c>
      <c r="K293" s="10">
        <v>42550</v>
      </c>
      <c r="L293">
        <v>42</v>
      </c>
      <c r="M293" s="8">
        <v>43739</v>
      </c>
      <c r="N293" s="23">
        <v>9.3189204055896398E-4</v>
      </c>
      <c r="O293" s="10" t="str">
        <f>IF(Sales_Data[[#This Row],[Total Profit]]&gt;0,"Profitable","Loss")</f>
        <v>Profitable</v>
      </c>
      <c r="P293" s="10" t="str">
        <f>IF(Sales_Data[[#This Row],[Total Profit]]&gt;100000,"High Value",IF(Sales_Data[[#This Row],[Total Profit]]&gt;60000,"Medium","Low"))</f>
        <v>Low</v>
      </c>
      <c r="Q293" s="11" t="str">
        <f>PROPER(Sales_Data[[#This Row],[Month Name]])</f>
        <v>Outubro</v>
      </c>
      <c r="R293" s="11" t="str">
        <f>PROPER(Sales_Data[[#This Row],[Sales Manager]])</f>
        <v>Jane Doe</v>
      </c>
    </row>
    <row r="294" spans="1:18" hidden="1" x14ac:dyDescent="0.25">
      <c r="A294">
        <v>10293</v>
      </c>
      <c r="B294">
        <v>2019</v>
      </c>
      <c r="C294" t="s">
        <v>75</v>
      </c>
      <c r="D294" s="8">
        <v>43758</v>
      </c>
      <c r="E294" t="s">
        <v>19</v>
      </c>
      <c r="F294" t="s">
        <v>18</v>
      </c>
      <c r="G294" t="s">
        <v>20</v>
      </c>
      <c r="H294" s="9">
        <v>13</v>
      </c>
      <c r="I294" s="9">
        <v>141</v>
      </c>
      <c r="J294" s="10">
        <v>119850</v>
      </c>
      <c r="K294" s="10">
        <v>22771.5</v>
      </c>
      <c r="L294">
        <v>43</v>
      </c>
      <c r="M294" s="8">
        <v>43739</v>
      </c>
      <c r="N294" s="23">
        <v>6.0371492465401003E-4</v>
      </c>
      <c r="O294" s="10" t="str">
        <f>IF(Sales_Data[[#This Row],[Total Profit]]&gt;0,"Profitable","Loss")</f>
        <v>Profitable</v>
      </c>
      <c r="P294" s="10" t="str">
        <f>IF(Sales_Data[[#This Row],[Total Profit]]&gt;100000,"High Value",IF(Sales_Data[[#This Row],[Total Profit]]&gt;60000,"Medium","Low"))</f>
        <v>Low</v>
      </c>
      <c r="Q294" s="11" t="str">
        <f>PROPER(Sales_Data[[#This Row],[Month Name]])</f>
        <v>Outubro</v>
      </c>
      <c r="R294" s="11" t="str">
        <f>PROPER(Sales_Data[[#This Row],[Sales Manager]])</f>
        <v>Jane Doe</v>
      </c>
    </row>
    <row r="295" spans="1:18" hidden="1" x14ac:dyDescent="0.25">
      <c r="A295">
        <v>10294</v>
      </c>
      <c r="B295">
        <v>2019</v>
      </c>
      <c r="C295" t="s">
        <v>75</v>
      </c>
      <c r="D295" s="8">
        <v>43759</v>
      </c>
      <c r="E295" t="s">
        <v>14</v>
      </c>
      <c r="F295" t="s">
        <v>12</v>
      </c>
      <c r="G295" t="s">
        <v>17</v>
      </c>
      <c r="H295" s="9">
        <v>5</v>
      </c>
      <c r="I295" s="9">
        <v>229</v>
      </c>
      <c r="J295" s="10">
        <v>57250</v>
      </c>
      <c r="K295" s="10">
        <v>9732.5</v>
      </c>
      <c r="L295">
        <v>43</v>
      </c>
      <c r="M295" s="8">
        <v>43739</v>
      </c>
      <c r="N295" s="23">
        <v>2.8838280714595002E-4</v>
      </c>
      <c r="O295" s="10" t="str">
        <f>IF(Sales_Data[[#This Row],[Total Profit]]&gt;0,"Profitable","Loss")</f>
        <v>Profitable</v>
      </c>
      <c r="P295" s="10" t="str">
        <f>IF(Sales_Data[[#This Row],[Total Profit]]&gt;100000,"High Value",IF(Sales_Data[[#This Row],[Total Profit]]&gt;60000,"Medium","Low"))</f>
        <v>Low</v>
      </c>
      <c r="Q295" s="11" t="str">
        <f>PROPER(Sales_Data[[#This Row],[Month Name]])</f>
        <v>Outubro</v>
      </c>
      <c r="R295" s="11" t="str">
        <f>PROPER(Sales_Data[[#This Row],[Sales Manager]])</f>
        <v>Emily White</v>
      </c>
    </row>
    <row r="296" spans="1:18" hidden="1" x14ac:dyDescent="0.25">
      <c r="A296">
        <v>10295</v>
      </c>
      <c r="B296">
        <v>2019</v>
      </c>
      <c r="C296" t="s">
        <v>75</v>
      </c>
      <c r="D296" s="8">
        <v>43760</v>
      </c>
      <c r="E296" t="s">
        <v>22</v>
      </c>
      <c r="F296" t="s">
        <v>16</v>
      </c>
      <c r="G296" t="s">
        <v>20</v>
      </c>
      <c r="H296" s="9">
        <v>10</v>
      </c>
      <c r="I296" s="9">
        <v>294</v>
      </c>
      <c r="J296" s="10">
        <v>249900</v>
      </c>
      <c r="K296" s="10">
        <v>34986</v>
      </c>
      <c r="L296">
        <v>43</v>
      </c>
      <c r="M296" s="8">
        <v>43739</v>
      </c>
      <c r="N296" s="23">
        <v>1.2588098428955999E-3</v>
      </c>
      <c r="O296" s="10" t="str">
        <f>IF(Sales_Data[[#This Row],[Total Profit]]&gt;0,"Profitable","Loss")</f>
        <v>Profitable</v>
      </c>
      <c r="P296" s="10" t="str">
        <f>IF(Sales_Data[[#This Row],[Total Profit]]&gt;100000,"High Value",IF(Sales_Data[[#This Row],[Total Profit]]&gt;60000,"Medium","Low"))</f>
        <v>Low</v>
      </c>
      <c r="Q296" s="11" t="str">
        <f>PROPER(Sales_Data[[#This Row],[Month Name]])</f>
        <v>Outubro</v>
      </c>
      <c r="R296" s="11" t="str">
        <f>PROPER(Sales_Data[[#This Row],[Sales Manager]])</f>
        <v>James Brown</v>
      </c>
    </row>
    <row r="297" spans="1:18" hidden="1" x14ac:dyDescent="0.25">
      <c r="A297">
        <v>10296</v>
      </c>
      <c r="B297">
        <v>2019</v>
      </c>
      <c r="C297" t="s">
        <v>75</v>
      </c>
      <c r="D297" s="8">
        <v>43761</v>
      </c>
      <c r="E297" t="s">
        <v>11</v>
      </c>
      <c r="F297" t="s">
        <v>12</v>
      </c>
      <c r="G297" t="s">
        <v>15</v>
      </c>
      <c r="H297" s="9">
        <v>9</v>
      </c>
      <c r="I297" s="9">
        <v>302</v>
      </c>
      <c r="J297" s="10">
        <v>151000</v>
      </c>
      <c r="K297" s="10">
        <v>33220</v>
      </c>
      <c r="L297">
        <v>43</v>
      </c>
      <c r="M297" s="8">
        <v>43739</v>
      </c>
      <c r="N297" s="23">
        <v>7.60625395267046E-4</v>
      </c>
      <c r="O297" s="10" t="str">
        <f>IF(Sales_Data[[#This Row],[Total Profit]]&gt;0,"Profitable","Loss")</f>
        <v>Profitable</v>
      </c>
      <c r="P297" s="10" t="str">
        <f>IF(Sales_Data[[#This Row],[Total Profit]]&gt;100000,"High Value",IF(Sales_Data[[#This Row],[Total Profit]]&gt;60000,"Medium","Low"))</f>
        <v>Low</v>
      </c>
      <c r="Q297" s="11" t="str">
        <f>PROPER(Sales_Data[[#This Row],[Month Name]])</f>
        <v>Outubro</v>
      </c>
      <c r="R297" s="11" t="str">
        <f>PROPER(Sales_Data[[#This Row],[Sales Manager]])</f>
        <v>Emily White</v>
      </c>
    </row>
    <row r="298" spans="1:18" hidden="1" x14ac:dyDescent="0.25">
      <c r="A298">
        <v>10297</v>
      </c>
      <c r="B298">
        <v>2019</v>
      </c>
      <c r="C298" t="s">
        <v>75</v>
      </c>
      <c r="D298" s="8">
        <v>43762</v>
      </c>
      <c r="E298" t="s">
        <v>25</v>
      </c>
      <c r="F298" t="s">
        <v>24</v>
      </c>
      <c r="G298" t="s">
        <v>23</v>
      </c>
      <c r="H298" s="9">
        <v>28</v>
      </c>
      <c r="I298" s="9">
        <v>358</v>
      </c>
      <c r="J298" s="10">
        <v>125300</v>
      </c>
      <c r="K298" s="10">
        <v>56385</v>
      </c>
      <c r="L298">
        <v>43</v>
      </c>
      <c r="M298" s="8">
        <v>43739</v>
      </c>
      <c r="N298" s="23">
        <v>6.3116796044345E-4</v>
      </c>
      <c r="O298" s="10" t="str">
        <f>IF(Sales_Data[[#This Row],[Total Profit]]&gt;0,"Profitable","Loss")</f>
        <v>Profitable</v>
      </c>
      <c r="P298" s="10" t="str">
        <f>IF(Sales_Data[[#This Row],[Total Profit]]&gt;100000,"High Value",IF(Sales_Data[[#This Row],[Total Profit]]&gt;60000,"Medium","Low"))</f>
        <v>Low</v>
      </c>
      <c r="Q298" s="11" t="str">
        <f>PROPER(Sales_Data[[#This Row],[Month Name]])</f>
        <v>Outubro</v>
      </c>
      <c r="R298" s="11" t="str">
        <f>PROPER(Sales_Data[[#This Row],[Sales Manager]])</f>
        <v>Liam Lee</v>
      </c>
    </row>
    <row r="299" spans="1:18" hidden="1" x14ac:dyDescent="0.25">
      <c r="A299">
        <v>10298</v>
      </c>
      <c r="B299">
        <v>2019</v>
      </c>
      <c r="C299" t="s">
        <v>75</v>
      </c>
      <c r="D299" s="8">
        <v>43763</v>
      </c>
      <c r="E299" t="s">
        <v>19</v>
      </c>
      <c r="F299" t="s">
        <v>16</v>
      </c>
      <c r="G299" t="s">
        <v>15</v>
      </c>
      <c r="H299" s="9">
        <v>1</v>
      </c>
      <c r="I299" s="9">
        <v>12</v>
      </c>
      <c r="J299" s="10">
        <v>6000</v>
      </c>
      <c r="K299" s="10">
        <v>2520</v>
      </c>
      <c r="L299">
        <v>43</v>
      </c>
      <c r="M299" s="8">
        <v>43739</v>
      </c>
      <c r="N299" s="23">
        <v>3.02235256397502E-5</v>
      </c>
      <c r="O299" s="10" t="str">
        <f>IF(Sales_Data[[#This Row],[Total Profit]]&gt;0,"Profitable","Loss")</f>
        <v>Profitable</v>
      </c>
      <c r="P299" s="10" t="str">
        <f>IF(Sales_Data[[#This Row],[Total Profit]]&gt;100000,"High Value",IF(Sales_Data[[#This Row],[Total Profit]]&gt;60000,"Medium","Low"))</f>
        <v>Low</v>
      </c>
      <c r="Q299" s="11" t="str">
        <f>PROPER(Sales_Data[[#This Row],[Month Name]])</f>
        <v>Outubro</v>
      </c>
      <c r="R299" s="11" t="str">
        <f>PROPER(Sales_Data[[#This Row],[Sales Manager]])</f>
        <v>James Brown</v>
      </c>
    </row>
    <row r="300" spans="1:18" hidden="1" x14ac:dyDescent="0.25">
      <c r="A300">
        <v>10299</v>
      </c>
      <c r="B300">
        <v>2019</v>
      </c>
      <c r="C300" t="s">
        <v>75</v>
      </c>
      <c r="D300" s="8">
        <v>43764</v>
      </c>
      <c r="E300" t="s">
        <v>14</v>
      </c>
      <c r="F300" t="s">
        <v>16</v>
      </c>
      <c r="G300" t="s">
        <v>23</v>
      </c>
      <c r="H300" s="9">
        <v>14</v>
      </c>
      <c r="I300" s="9">
        <v>257</v>
      </c>
      <c r="J300" s="10">
        <v>89950</v>
      </c>
      <c r="K300" s="10">
        <v>26985</v>
      </c>
      <c r="L300">
        <v>43</v>
      </c>
      <c r="M300" s="8">
        <v>43739</v>
      </c>
      <c r="N300" s="23">
        <v>4.53101021882588E-4</v>
      </c>
      <c r="O300" s="10" t="str">
        <f>IF(Sales_Data[[#This Row],[Total Profit]]&gt;0,"Profitable","Loss")</f>
        <v>Profitable</v>
      </c>
      <c r="P300" s="10" t="str">
        <f>IF(Sales_Data[[#This Row],[Total Profit]]&gt;100000,"High Value",IF(Sales_Data[[#This Row],[Total Profit]]&gt;60000,"Medium","Low"))</f>
        <v>Low</v>
      </c>
      <c r="Q300" s="11" t="str">
        <f>PROPER(Sales_Data[[#This Row],[Month Name]])</f>
        <v>Outubro</v>
      </c>
      <c r="R300" s="11" t="str">
        <f>PROPER(Sales_Data[[#This Row],[Sales Manager]])</f>
        <v>James Brown</v>
      </c>
    </row>
    <row r="301" spans="1:18" hidden="1" x14ac:dyDescent="0.25">
      <c r="A301">
        <v>10300</v>
      </c>
      <c r="B301">
        <v>2019</v>
      </c>
      <c r="C301" t="s">
        <v>75</v>
      </c>
      <c r="D301" s="8">
        <v>43765</v>
      </c>
      <c r="E301" t="s">
        <v>14</v>
      </c>
      <c r="F301" t="s">
        <v>21</v>
      </c>
      <c r="G301" t="s">
        <v>15</v>
      </c>
      <c r="H301" s="9">
        <v>29</v>
      </c>
      <c r="I301" s="9">
        <v>341</v>
      </c>
      <c r="J301" s="10">
        <v>170500</v>
      </c>
      <c r="K301" s="10">
        <v>57970.000000000007</v>
      </c>
      <c r="L301">
        <v>44</v>
      </c>
      <c r="M301" s="8">
        <v>43739</v>
      </c>
      <c r="N301" s="23">
        <v>8.5885185359623395E-4</v>
      </c>
      <c r="O301" s="10" t="str">
        <f>IF(Sales_Data[[#This Row],[Total Profit]]&gt;0,"Profitable","Loss")</f>
        <v>Profitable</v>
      </c>
      <c r="P301" s="10" t="str">
        <f>IF(Sales_Data[[#This Row],[Total Profit]]&gt;100000,"High Value",IF(Sales_Data[[#This Row],[Total Profit]]&gt;60000,"Medium","Low"))</f>
        <v>Low</v>
      </c>
      <c r="Q301" s="11" t="str">
        <f>PROPER(Sales_Data[[#This Row],[Month Name]])</f>
        <v>Outubro</v>
      </c>
      <c r="R301" s="11" t="str">
        <f>PROPER(Sales_Data[[#This Row],[Sales Manager]])</f>
        <v>John Smith</v>
      </c>
    </row>
    <row r="302" spans="1:18" hidden="1" x14ac:dyDescent="0.25">
      <c r="A302">
        <v>10301</v>
      </c>
      <c r="B302">
        <v>2019</v>
      </c>
      <c r="C302" t="s">
        <v>75</v>
      </c>
      <c r="D302" s="8">
        <v>43766</v>
      </c>
      <c r="E302" t="s">
        <v>25</v>
      </c>
      <c r="F302" t="s">
        <v>12</v>
      </c>
      <c r="G302" t="s">
        <v>23</v>
      </c>
      <c r="H302" s="9">
        <v>8</v>
      </c>
      <c r="I302" s="9">
        <v>180</v>
      </c>
      <c r="J302" s="10">
        <v>63000</v>
      </c>
      <c r="K302" s="10">
        <v>25200</v>
      </c>
      <c r="L302">
        <v>44</v>
      </c>
      <c r="M302" s="8">
        <v>43739</v>
      </c>
      <c r="N302" s="23">
        <v>3.1734701921737698E-4</v>
      </c>
      <c r="O302" s="10" t="str">
        <f>IF(Sales_Data[[#This Row],[Total Profit]]&gt;0,"Profitable","Loss")</f>
        <v>Profitable</v>
      </c>
      <c r="P302" s="10" t="str">
        <f>IF(Sales_Data[[#This Row],[Total Profit]]&gt;100000,"High Value",IF(Sales_Data[[#This Row],[Total Profit]]&gt;60000,"Medium","Low"))</f>
        <v>Low</v>
      </c>
      <c r="Q302" s="11" t="str">
        <f>PROPER(Sales_Data[[#This Row],[Month Name]])</f>
        <v>Outubro</v>
      </c>
      <c r="R302" s="11" t="str">
        <f>PROPER(Sales_Data[[#This Row],[Sales Manager]])</f>
        <v>Emily White</v>
      </c>
    </row>
    <row r="303" spans="1:18" hidden="1" x14ac:dyDescent="0.25">
      <c r="A303">
        <v>10302</v>
      </c>
      <c r="B303">
        <v>2019</v>
      </c>
      <c r="C303" t="s">
        <v>75</v>
      </c>
      <c r="D303" s="8">
        <v>43767</v>
      </c>
      <c r="E303" t="s">
        <v>19</v>
      </c>
      <c r="F303" t="s">
        <v>12</v>
      </c>
      <c r="G303" t="s">
        <v>17</v>
      </c>
      <c r="H303" s="9">
        <v>18</v>
      </c>
      <c r="I303" s="9">
        <v>205</v>
      </c>
      <c r="J303" s="10">
        <v>51250</v>
      </c>
      <c r="K303" s="10">
        <v>22550</v>
      </c>
      <c r="L303">
        <v>44</v>
      </c>
      <c r="M303" s="8">
        <v>43739</v>
      </c>
      <c r="N303" s="23">
        <v>2.5815928150619899E-4</v>
      </c>
      <c r="O303" s="10" t="str">
        <f>IF(Sales_Data[[#This Row],[Total Profit]]&gt;0,"Profitable","Loss")</f>
        <v>Profitable</v>
      </c>
      <c r="P303" s="10" t="str">
        <f>IF(Sales_Data[[#This Row],[Total Profit]]&gt;100000,"High Value",IF(Sales_Data[[#This Row],[Total Profit]]&gt;60000,"Medium","Low"))</f>
        <v>Low</v>
      </c>
      <c r="Q303" s="11" t="str">
        <f>PROPER(Sales_Data[[#This Row],[Month Name]])</f>
        <v>Outubro</v>
      </c>
      <c r="R303" s="11" t="str">
        <f>PROPER(Sales_Data[[#This Row],[Sales Manager]])</f>
        <v>Emily White</v>
      </c>
    </row>
    <row r="304" spans="1:18" hidden="1" x14ac:dyDescent="0.25">
      <c r="A304">
        <v>10303</v>
      </c>
      <c r="B304">
        <v>2019</v>
      </c>
      <c r="C304" t="s">
        <v>75</v>
      </c>
      <c r="D304" s="8">
        <v>43768</v>
      </c>
      <c r="E304" t="s">
        <v>25</v>
      </c>
      <c r="F304" t="s">
        <v>16</v>
      </c>
      <c r="G304" t="s">
        <v>17</v>
      </c>
      <c r="H304" s="9">
        <v>14</v>
      </c>
      <c r="I304" s="9">
        <v>490</v>
      </c>
      <c r="J304" s="10">
        <v>122500</v>
      </c>
      <c r="K304" s="10">
        <v>40425</v>
      </c>
      <c r="L304">
        <v>44</v>
      </c>
      <c r="M304" s="8">
        <v>43739</v>
      </c>
      <c r="N304" s="23">
        <v>6.1706364847823297E-4</v>
      </c>
      <c r="O304" s="10" t="str">
        <f>IF(Sales_Data[[#This Row],[Total Profit]]&gt;0,"Profitable","Loss")</f>
        <v>Profitable</v>
      </c>
      <c r="P304" s="10" t="str">
        <f>IF(Sales_Data[[#This Row],[Total Profit]]&gt;100000,"High Value",IF(Sales_Data[[#This Row],[Total Profit]]&gt;60000,"Medium","Low"))</f>
        <v>Low</v>
      </c>
      <c r="Q304" s="11" t="str">
        <f>PROPER(Sales_Data[[#This Row],[Month Name]])</f>
        <v>Outubro</v>
      </c>
      <c r="R304" s="11" t="str">
        <f>PROPER(Sales_Data[[#This Row],[Sales Manager]])</f>
        <v>James Brown</v>
      </c>
    </row>
    <row r="305" spans="1:18" hidden="1" x14ac:dyDescent="0.25">
      <c r="A305">
        <v>10304</v>
      </c>
      <c r="B305">
        <v>2019</v>
      </c>
      <c r="C305" t="s">
        <v>75</v>
      </c>
      <c r="D305" s="8">
        <v>43769</v>
      </c>
      <c r="E305" t="s">
        <v>19</v>
      </c>
      <c r="F305" t="s">
        <v>21</v>
      </c>
      <c r="G305" t="s">
        <v>20</v>
      </c>
      <c r="H305" s="9">
        <v>23</v>
      </c>
      <c r="I305" s="9">
        <v>448</v>
      </c>
      <c r="J305" s="10">
        <v>380800</v>
      </c>
      <c r="K305" s="10">
        <v>91392</v>
      </c>
      <c r="L305">
        <v>44</v>
      </c>
      <c r="M305" s="8">
        <v>43739</v>
      </c>
      <c r="N305" s="23">
        <v>1.9181864272694801E-3</v>
      </c>
      <c r="O305" s="10" t="str">
        <f>IF(Sales_Data[[#This Row],[Total Profit]]&gt;0,"Profitable","Loss")</f>
        <v>Profitable</v>
      </c>
      <c r="P305" s="10" t="str">
        <f>IF(Sales_Data[[#This Row],[Total Profit]]&gt;100000,"High Value",IF(Sales_Data[[#This Row],[Total Profit]]&gt;60000,"Medium","Low"))</f>
        <v>Medium</v>
      </c>
      <c r="Q305" s="11" t="str">
        <f>PROPER(Sales_Data[[#This Row],[Month Name]])</f>
        <v>Outubro</v>
      </c>
      <c r="R305" s="11" t="str">
        <f>PROPER(Sales_Data[[#This Row],[Sales Manager]])</f>
        <v>John Smith</v>
      </c>
    </row>
    <row r="306" spans="1:18" hidden="1" x14ac:dyDescent="0.25">
      <c r="A306">
        <v>10305</v>
      </c>
      <c r="B306">
        <v>2019</v>
      </c>
      <c r="C306" t="s">
        <v>76</v>
      </c>
      <c r="D306" s="8">
        <v>43770</v>
      </c>
      <c r="E306" t="s">
        <v>11</v>
      </c>
      <c r="F306" t="s">
        <v>21</v>
      </c>
      <c r="G306" t="s">
        <v>13</v>
      </c>
      <c r="H306" s="9">
        <v>8</v>
      </c>
      <c r="I306" s="9">
        <v>238</v>
      </c>
      <c r="J306" s="10">
        <v>178500</v>
      </c>
      <c r="K306" s="10">
        <v>64260</v>
      </c>
      <c r="L306">
        <v>44</v>
      </c>
      <c r="M306" s="8">
        <v>43739</v>
      </c>
      <c r="N306" s="23">
        <v>8.9914988778256797E-4</v>
      </c>
      <c r="O306" s="10" t="str">
        <f>IF(Sales_Data[[#This Row],[Total Profit]]&gt;0,"Profitable","Loss")</f>
        <v>Profitable</v>
      </c>
      <c r="P306" s="10" t="str">
        <f>IF(Sales_Data[[#This Row],[Total Profit]]&gt;100000,"High Value",IF(Sales_Data[[#This Row],[Total Profit]]&gt;60000,"Medium","Low"))</f>
        <v>Medium</v>
      </c>
      <c r="Q306" s="11" t="str">
        <f>PROPER(Sales_Data[[#This Row],[Month Name]])</f>
        <v>Novembro</v>
      </c>
      <c r="R306" s="11" t="str">
        <f>PROPER(Sales_Data[[#This Row],[Sales Manager]])</f>
        <v>John Smith</v>
      </c>
    </row>
    <row r="307" spans="1:18" hidden="1" x14ac:dyDescent="0.25">
      <c r="A307">
        <v>10306</v>
      </c>
      <c r="B307">
        <v>2019</v>
      </c>
      <c r="C307" t="s">
        <v>76</v>
      </c>
      <c r="D307" s="8">
        <v>43771</v>
      </c>
      <c r="E307" t="s">
        <v>25</v>
      </c>
      <c r="F307" t="s">
        <v>16</v>
      </c>
      <c r="G307" t="s">
        <v>17</v>
      </c>
      <c r="H307" s="9">
        <v>18</v>
      </c>
      <c r="I307" s="9">
        <v>195</v>
      </c>
      <c r="J307" s="10">
        <v>48750</v>
      </c>
      <c r="K307" s="10">
        <v>21937.5</v>
      </c>
      <c r="L307">
        <v>44</v>
      </c>
      <c r="M307" s="8">
        <v>43739</v>
      </c>
      <c r="N307" s="23">
        <v>2.4556614582296998E-4</v>
      </c>
      <c r="O307" s="10" t="str">
        <f>IF(Sales_Data[[#This Row],[Total Profit]]&gt;0,"Profitable","Loss")</f>
        <v>Profitable</v>
      </c>
      <c r="P307" s="10" t="str">
        <f>IF(Sales_Data[[#This Row],[Total Profit]]&gt;100000,"High Value",IF(Sales_Data[[#This Row],[Total Profit]]&gt;60000,"Medium","Low"))</f>
        <v>Low</v>
      </c>
      <c r="Q307" s="11" t="str">
        <f>PROPER(Sales_Data[[#This Row],[Month Name]])</f>
        <v>Novembro</v>
      </c>
      <c r="R307" s="11" t="str">
        <f>PROPER(Sales_Data[[#This Row],[Sales Manager]])</f>
        <v>James Brown</v>
      </c>
    </row>
    <row r="308" spans="1:18" hidden="1" x14ac:dyDescent="0.25">
      <c r="A308">
        <v>10307</v>
      </c>
      <c r="B308">
        <v>2019</v>
      </c>
      <c r="C308" t="s">
        <v>76</v>
      </c>
      <c r="D308" s="8">
        <v>43772</v>
      </c>
      <c r="E308" t="s">
        <v>22</v>
      </c>
      <c r="F308" t="s">
        <v>16</v>
      </c>
      <c r="G308" t="s">
        <v>15</v>
      </c>
      <c r="H308" s="9">
        <v>5</v>
      </c>
      <c r="I308" s="9">
        <v>311</v>
      </c>
      <c r="J308" s="10">
        <v>155500</v>
      </c>
      <c r="K308" s="10">
        <v>59090</v>
      </c>
      <c r="L308">
        <v>45</v>
      </c>
      <c r="M308" s="8">
        <v>43739</v>
      </c>
      <c r="N308" s="23">
        <v>7.8329303949685903E-4</v>
      </c>
      <c r="O308" s="10" t="str">
        <f>IF(Sales_Data[[#This Row],[Total Profit]]&gt;0,"Profitable","Loss")</f>
        <v>Profitable</v>
      </c>
      <c r="P308" s="10" t="str">
        <f>IF(Sales_Data[[#This Row],[Total Profit]]&gt;100000,"High Value",IF(Sales_Data[[#This Row],[Total Profit]]&gt;60000,"Medium","Low"))</f>
        <v>Low</v>
      </c>
      <c r="Q308" s="11" t="str">
        <f>PROPER(Sales_Data[[#This Row],[Month Name]])</f>
        <v>Novembro</v>
      </c>
      <c r="R308" s="11" t="str">
        <f>PROPER(Sales_Data[[#This Row],[Sales Manager]])</f>
        <v>James Brown</v>
      </c>
    </row>
    <row r="309" spans="1:18" hidden="1" x14ac:dyDescent="0.25">
      <c r="A309">
        <v>10308</v>
      </c>
      <c r="B309">
        <v>2019</v>
      </c>
      <c r="C309" t="s">
        <v>76</v>
      </c>
      <c r="D309" s="8">
        <v>43773</v>
      </c>
      <c r="E309" t="s">
        <v>11</v>
      </c>
      <c r="F309" t="s">
        <v>16</v>
      </c>
      <c r="G309" t="s">
        <v>13</v>
      </c>
      <c r="H309" s="9">
        <v>24</v>
      </c>
      <c r="I309" s="9">
        <v>437</v>
      </c>
      <c r="J309" s="10">
        <v>327750</v>
      </c>
      <c r="K309" s="10">
        <v>111435.00000000001</v>
      </c>
      <c r="L309">
        <v>45</v>
      </c>
      <c r="M309" s="8">
        <v>43739</v>
      </c>
      <c r="N309" s="23">
        <v>1.6509600880713501E-3</v>
      </c>
      <c r="O309" s="10" t="str">
        <f>IF(Sales_Data[[#This Row],[Total Profit]]&gt;0,"Profitable","Loss")</f>
        <v>Profitable</v>
      </c>
      <c r="P309" s="10" t="str">
        <f>IF(Sales_Data[[#This Row],[Total Profit]]&gt;100000,"High Value",IF(Sales_Data[[#This Row],[Total Profit]]&gt;60000,"Medium","Low"))</f>
        <v>High Value</v>
      </c>
      <c r="Q309" s="11" t="str">
        <f>PROPER(Sales_Data[[#This Row],[Month Name]])</f>
        <v>Novembro</v>
      </c>
      <c r="R309" s="11" t="str">
        <f>PROPER(Sales_Data[[#This Row],[Sales Manager]])</f>
        <v>James Brown</v>
      </c>
    </row>
    <row r="310" spans="1:18" hidden="1" x14ac:dyDescent="0.25">
      <c r="A310">
        <v>10309</v>
      </c>
      <c r="B310">
        <v>2019</v>
      </c>
      <c r="C310" t="s">
        <v>76</v>
      </c>
      <c r="D310" s="8">
        <v>43774</v>
      </c>
      <c r="E310" t="s">
        <v>22</v>
      </c>
      <c r="F310" t="s">
        <v>21</v>
      </c>
      <c r="G310" t="s">
        <v>23</v>
      </c>
      <c r="H310" s="9">
        <v>14</v>
      </c>
      <c r="I310" s="9">
        <v>392</v>
      </c>
      <c r="J310" s="10">
        <v>137200</v>
      </c>
      <c r="K310" s="10">
        <v>16464</v>
      </c>
      <c r="L310">
        <v>45</v>
      </c>
      <c r="M310" s="8">
        <v>43739</v>
      </c>
      <c r="N310" s="23">
        <v>6.91111286295621E-4</v>
      </c>
      <c r="O310" s="10" t="str">
        <f>IF(Sales_Data[[#This Row],[Total Profit]]&gt;0,"Profitable","Loss")</f>
        <v>Profitable</v>
      </c>
      <c r="P310" s="10" t="str">
        <f>IF(Sales_Data[[#This Row],[Total Profit]]&gt;100000,"High Value",IF(Sales_Data[[#This Row],[Total Profit]]&gt;60000,"Medium","Low"))</f>
        <v>Low</v>
      </c>
      <c r="Q310" s="11" t="str">
        <f>PROPER(Sales_Data[[#This Row],[Month Name]])</f>
        <v>Novembro</v>
      </c>
      <c r="R310" s="11" t="str">
        <f>PROPER(Sales_Data[[#This Row],[Sales Manager]])</f>
        <v>John Smith</v>
      </c>
    </row>
    <row r="311" spans="1:18" hidden="1" x14ac:dyDescent="0.25">
      <c r="A311">
        <v>10310</v>
      </c>
      <c r="B311">
        <v>2019</v>
      </c>
      <c r="C311" t="s">
        <v>76</v>
      </c>
      <c r="D311" s="8">
        <v>43775</v>
      </c>
      <c r="E311" t="s">
        <v>19</v>
      </c>
      <c r="F311" t="s">
        <v>24</v>
      </c>
      <c r="G311" t="s">
        <v>17</v>
      </c>
      <c r="H311" s="9">
        <v>27</v>
      </c>
      <c r="I311" s="9">
        <v>446</v>
      </c>
      <c r="J311" s="10">
        <v>111500</v>
      </c>
      <c r="K311" s="10">
        <v>41255</v>
      </c>
      <c r="L311">
        <v>45</v>
      </c>
      <c r="M311" s="8">
        <v>43739</v>
      </c>
      <c r="N311" s="23">
        <v>5.6165385147202403E-4</v>
      </c>
      <c r="O311" s="10" t="str">
        <f>IF(Sales_Data[[#This Row],[Total Profit]]&gt;0,"Profitable","Loss")</f>
        <v>Profitable</v>
      </c>
      <c r="P311" s="10" t="str">
        <f>IF(Sales_Data[[#This Row],[Total Profit]]&gt;100000,"High Value",IF(Sales_Data[[#This Row],[Total Profit]]&gt;60000,"Medium","Low"))</f>
        <v>Low</v>
      </c>
      <c r="Q311" s="11" t="str">
        <f>PROPER(Sales_Data[[#This Row],[Month Name]])</f>
        <v>Novembro</v>
      </c>
      <c r="R311" s="11" t="str">
        <f>PROPER(Sales_Data[[#This Row],[Sales Manager]])</f>
        <v>Liam Lee</v>
      </c>
    </row>
    <row r="312" spans="1:18" hidden="1" x14ac:dyDescent="0.25">
      <c r="A312">
        <v>10311</v>
      </c>
      <c r="B312">
        <v>2019</v>
      </c>
      <c r="C312" t="s">
        <v>76</v>
      </c>
      <c r="D312" s="8">
        <v>43776</v>
      </c>
      <c r="E312" t="s">
        <v>22</v>
      </c>
      <c r="F312" t="s">
        <v>18</v>
      </c>
      <c r="G312" t="s">
        <v>13</v>
      </c>
      <c r="H312" s="9">
        <v>2</v>
      </c>
      <c r="I312" s="9">
        <v>79</v>
      </c>
      <c r="J312" s="10">
        <v>59250</v>
      </c>
      <c r="K312" s="10">
        <v>14220</v>
      </c>
      <c r="L312">
        <v>45</v>
      </c>
      <c r="M312" s="8">
        <v>43739</v>
      </c>
      <c r="N312" s="23">
        <v>2.9845731569253301E-4</v>
      </c>
      <c r="O312" s="10" t="str">
        <f>IF(Sales_Data[[#This Row],[Total Profit]]&gt;0,"Profitable","Loss")</f>
        <v>Profitable</v>
      </c>
      <c r="P312" s="10" t="str">
        <f>IF(Sales_Data[[#This Row],[Total Profit]]&gt;100000,"High Value",IF(Sales_Data[[#This Row],[Total Profit]]&gt;60000,"Medium","Low"))</f>
        <v>Low</v>
      </c>
      <c r="Q312" s="11" t="str">
        <f>PROPER(Sales_Data[[#This Row],[Month Name]])</f>
        <v>Novembro</v>
      </c>
      <c r="R312" s="11" t="str">
        <f>PROPER(Sales_Data[[#This Row],[Sales Manager]])</f>
        <v>Jane Doe</v>
      </c>
    </row>
    <row r="313" spans="1:18" hidden="1" x14ac:dyDescent="0.25">
      <c r="A313">
        <v>10312</v>
      </c>
      <c r="B313">
        <v>2019</v>
      </c>
      <c r="C313" t="s">
        <v>76</v>
      </c>
      <c r="D313" s="8">
        <v>43777</v>
      </c>
      <c r="E313" t="s">
        <v>14</v>
      </c>
      <c r="F313" t="s">
        <v>16</v>
      </c>
      <c r="G313" t="s">
        <v>13</v>
      </c>
      <c r="H313" s="9">
        <v>4</v>
      </c>
      <c r="I313" s="9">
        <v>160</v>
      </c>
      <c r="J313" s="10">
        <v>120000</v>
      </c>
      <c r="K313" s="10">
        <v>40800</v>
      </c>
      <c r="L313">
        <v>45</v>
      </c>
      <c r="M313" s="8">
        <v>43739</v>
      </c>
      <c r="N313" s="23">
        <v>6.0447051279500401E-4</v>
      </c>
      <c r="O313" s="10" t="str">
        <f>IF(Sales_Data[[#This Row],[Total Profit]]&gt;0,"Profitable","Loss")</f>
        <v>Profitable</v>
      </c>
      <c r="P313" s="10" t="str">
        <f>IF(Sales_Data[[#This Row],[Total Profit]]&gt;100000,"High Value",IF(Sales_Data[[#This Row],[Total Profit]]&gt;60000,"Medium","Low"))</f>
        <v>Low</v>
      </c>
      <c r="Q313" s="11" t="str">
        <f>PROPER(Sales_Data[[#This Row],[Month Name]])</f>
        <v>Novembro</v>
      </c>
      <c r="R313" s="11" t="str">
        <f>PROPER(Sales_Data[[#This Row],[Sales Manager]])</f>
        <v>James Brown</v>
      </c>
    </row>
    <row r="314" spans="1:18" hidden="1" x14ac:dyDescent="0.25">
      <c r="A314">
        <v>10313</v>
      </c>
      <c r="B314">
        <v>2019</v>
      </c>
      <c r="C314" t="s">
        <v>76</v>
      </c>
      <c r="D314" s="8">
        <v>43778</v>
      </c>
      <c r="E314" t="s">
        <v>25</v>
      </c>
      <c r="F314" t="s">
        <v>24</v>
      </c>
      <c r="G314" t="s">
        <v>20</v>
      </c>
      <c r="H314" s="9">
        <v>3</v>
      </c>
      <c r="I314" s="9">
        <v>136</v>
      </c>
      <c r="J314" s="10">
        <v>115600</v>
      </c>
      <c r="K314" s="10">
        <v>12716</v>
      </c>
      <c r="L314">
        <v>45</v>
      </c>
      <c r="M314" s="8">
        <v>43739</v>
      </c>
      <c r="N314" s="23">
        <v>5.8230659399251998E-4</v>
      </c>
      <c r="O314" s="10" t="str">
        <f>IF(Sales_Data[[#This Row],[Total Profit]]&gt;0,"Profitable","Loss")</f>
        <v>Profitable</v>
      </c>
      <c r="P314" s="10" t="str">
        <f>IF(Sales_Data[[#This Row],[Total Profit]]&gt;100000,"High Value",IF(Sales_Data[[#This Row],[Total Profit]]&gt;60000,"Medium","Low"))</f>
        <v>Low</v>
      </c>
      <c r="Q314" s="11" t="str">
        <f>PROPER(Sales_Data[[#This Row],[Month Name]])</f>
        <v>Novembro</v>
      </c>
      <c r="R314" s="11" t="str">
        <f>PROPER(Sales_Data[[#This Row],[Sales Manager]])</f>
        <v>Liam Lee</v>
      </c>
    </row>
    <row r="315" spans="1:18" hidden="1" x14ac:dyDescent="0.25">
      <c r="A315">
        <v>10314</v>
      </c>
      <c r="B315">
        <v>2019</v>
      </c>
      <c r="C315" t="s">
        <v>76</v>
      </c>
      <c r="D315" s="8">
        <v>43779</v>
      </c>
      <c r="E315" t="s">
        <v>19</v>
      </c>
      <c r="F315" t="s">
        <v>24</v>
      </c>
      <c r="G315" t="s">
        <v>13</v>
      </c>
      <c r="H315" s="9">
        <v>6</v>
      </c>
      <c r="I315" s="9">
        <v>129</v>
      </c>
      <c r="J315" s="10">
        <v>96750</v>
      </c>
      <c r="K315" s="10">
        <v>12577.5</v>
      </c>
      <c r="L315">
        <v>46</v>
      </c>
      <c r="M315" s="8">
        <v>43739</v>
      </c>
      <c r="N315" s="23">
        <v>4.8735435094097198E-4</v>
      </c>
      <c r="O315" s="10" t="str">
        <f>IF(Sales_Data[[#This Row],[Total Profit]]&gt;0,"Profitable","Loss")</f>
        <v>Profitable</v>
      </c>
      <c r="P315" s="10" t="str">
        <f>IF(Sales_Data[[#This Row],[Total Profit]]&gt;100000,"High Value",IF(Sales_Data[[#This Row],[Total Profit]]&gt;60000,"Medium","Low"))</f>
        <v>Low</v>
      </c>
      <c r="Q315" s="11" t="str">
        <f>PROPER(Sales_Data[[#This Row],[Month Name]])</f>
        <v>Novembro</v>
      </c>
      <c r="R315" s="11" t="str">
        <f>PROPER(Sales_Data[[#This Row],[Sales Manager]])</f>
        <v>Liam Lee</v>
      </c>
    </row>
    <row r="316" spans="1:18" hidden="1" x14ac:dyDescent="0.25">
      <c r="A316">
        <v>10315</v>
      </c>
      <c r="B316">
        <v>2019</v>
      </c>
      <c r="C316" t="s">
        <v>76</v>
      </c>
      <c r="D316" s="8">
        <v>43780</v>
      </c>
      <c r="E316" t="s">
        <v>25</v>
      </c>
      <c r="F316" t="s">
        <v>16</v>
      </c>
      <c r="G316" t="s">
        <v>15</v>
      </c>
      <c r="H316" s="9">
        <v>3</v>
      </c>
      <c r="I316" s="9">
        <v>46</v>
      </c>
      <c r="J316" s="10">
        <v>23000</v>
      </c>
      <c r="K316" s="10">
        <v>4600</v>
      </c>
      <c r="L316">
        <v>46</v>
      </c>
      <c r="M316" s="8">
        <v>43739</v>
      </c>
      <c r="N316" s="23">
        <v>1.1585684828570899E-4</v>
      </c>
      <c r="O316" s="10" t="str">
        <f>IF(Sales_Data[[#This Row],[Total Profit]]&gt;0,"Profitable","Loss")</f>
        <v>Profitable</v>
      </c>
      <c r="P316" s="10" t="str">
        <f>IF(Sales_Data[[#This Row],[Total Profit]]&gt;100000,"High Value",IF(Sales_Data[[#This Row],[Total Profit]]&gt;60000,"Medium","Low"))</f>
        <v>Low</v>
      </c>
      <c r="Q316" s="11" t="str">
        <f>PROPER(Sales_Data[[#This Row],[Month Name]])</f>
        <v>Novembro</v>
      </c>
      <c r="R316" s="11" t="str">
        <f>PROPER(Sales_Data[[#This Row],[Sales Manager]])</f>
        <v>James Brown</v>
      </c>
    </row>
    <row r="317" spans="1:18" hidden="1" x14ac:dyDescent="0.25">
      <c r="A317">
        <v>10316</v>
      </c>
      <c r="B317">
        <v>2019</v>
      </c>
      <c r="C317" t="s">
        <v>76</v>
      </c>
      <c r="D317" s="8">
        <v>43781</v>
      </c>
      <c r="E317" t="s">
        <v>14</v>
      </c>
      <c r="F317" t="s">
        <v>16</v>
      </c>
      <c r="G317" t="s">
        <v>13</v>
      </c>
      <c r="H317" s="9">
        <v>12</v>
      </c>
      <c r="I317" s="9">
        <v>219</v>
      </c>
      <c r="J317" s="10">
        <v>164250</v>
      </c>
      <c r="K317" s="10">
        <v>60772.5</v>
      </c>
      <c r="L317">
        <v>46</v>
      </c>
      <c r="M317" s="8">
        <v>43739</v>
      </c>
      <c r="N317" s="23">
        <v>8.2736901438816102E-4</v>
      </c>
      <c r="O317" s="10" t="str">
        <f>IF(Sales_Data[[#This Row],[Total Profit]]&gt;0,"Profitable","Loss")</f>
        <v>Profitable</v>
      </c>
      <c r="P317" s="10" t="str">
        <f>IF(Sales_Data[[#This Row],[Total Profit]]&gt;100000,"High Value",IF(Sales_Data[[#This Row],[Total Profit]]&gt;60000,"Medium","Low"))</f>
        <v>Medium</v>
      </c>
      <c r="Q317" s="11" t="str">
        <f>PROPER(Sales_Data[[#This Row],[Month Name]])</f>
        <v>Novembro</v>
      </c>
      <c r="R317" s="11" t="str">
        <f>PROPER(Sales_Data[[#This Row],[Sales Manager]])</f>
        <v>James Brown</v>
      </c>
    </row>
    <row r="318" spans="1:18" hidden="1" x14ac:dyDescent="0.25">
      <c r="A318">
        <v>10317</v>
      </c>
      <c r="B318">
        <v>2019</v>
      </c>
      <c r="C318" t="s">
        <v>76</v>
      </c>
      <c r="D318" s="8">
        <v>43782</v>
      </c>
      <c r="E318" t="s">
        <v>14</v>
      </c>
      <c r="F318" t="s">
        <v>12</v>
      </c>
      <c r="G318" t="s">
        <v>15</v>
      </c>
      <c r="H318" s="9">
        <v>26</v>
      </c>
      <c r="I318" s="9">
        <v>320</v>
      </c>
      <c r="J318" s="10">
        <v>160000</v>
      </c>
      <c r="K318" s="10">
        <v>59200</v>
      </c>
      <c r="L318">
        <v>46</v>
      </c>
      <c r="M318" s="8">
        <v>43739</v>
      </c>
      <c r="N318" s="23">
        <v>8.0596068372667195E-4</v>
      </c>
      <c r="O318" s="10" t="str">
        <f>IF(Sales_Data[[#This Row],[Total Profit]]&gt;0,"Profitable","Loss")</f>
        <v>Profitable</v>
      </c>
      <c r="P318" s="10" t="str">
        <f>IF(Sales_Data[[#This Row],[Total Profit]]&gt;100000,"High Value",IF(Sales_Data[[#This Row],[Total Profit]]&gt;60000,"Medium","Low"))</f>
        <v>Low</v>
      </c>
      <c r="Q318" s="11" t="str">
        <f>PROPER(Sales_Data[[#This Row],[Month Name]])</f>
        <v>Novembro</v>
      </c>
      <c r="R318" s="11" t="str">
        <f>PROPER(Sales_Data[[#This Row],[Sales Manager]])</f>
        <v>Emily White</v>
      </c>
    </row>
    <row r="319" spans="1:18" hidden="1" x14ac:dyDescent="0.25">
      <c r="A319">
        <v>10318</v>
      </c>
      <c r="B319">
        <v>2019</v>
      </c>
      <c r="C319" t="s">
        <v>76</v>
      </c>
      <c r="D319" s="8">
        <v>43783</v>
      </c>
      <c r="E319" t="s">
        <v>11</v>
      </c>
      <c r="F319" t="s">
        <v>16</v>
      </c>
      <c r="G319" t="s">
        <v>17</v>
      </c>
      <c r="H319" s="9">
        <v>40</v>
      </c>
      <c r="I319" s="9">
        <v>463</v>
      </c>
      <c r="J319" s="10">
        <v>115750</v>
      </c>
      <c r="K319" s="10">
        <v>20835</v>
      </c>
      <c r="L319">
        <v>46</v>
      </c>
      <c r="M319" s="8">
        <v>43739</v>
      </c>
      <c r="N319" s="23">
        <v>5.8306218213351397E-4</v>
      </c>
      <c r="O319" s="10" t="str">
        <f>IF(Sales_Data[[#This Row],[Total Profit]]&gt;0,"Profitable","Loss")</f>
        <v>Profitable</v>
      </c>
      <c r="P319" s="10" t="str">
        <f>IF(Sales_Data[[#This Row],[Total Profit]]&gt;100000,"High Value",IF(Sales_Data[[#This Row],[Total Profit]]&gt;60000,"Medium","Low"))</f>
        <v>Low</v>
      </c>
      <c r="Q319" s="11" t="str">
        <f>PROPER(Sales_Data[[#This Row],[Month Name]])</f>
        <v>Novembro</v>
      </c>
      <c r="R319" s="11" t="str">
        <f>PROPER(Sales_Data[[#This Row],[Sales Manager]])</f>
        <v>James Brown</v>
      </c>
    </row>
    <row r="320" spans="1:18" hidden="1" x14ac:dyDescent="0.25">
      <c r="A320">
        <v>10319</v>
      </c>
      <c r="B320">
        <v>2019</v>
      </c>
      <c r="C320" t="s">
        <v>76</v>
      </c>
      <c r="D320" s="8">
        <v>43784</v>
      </c>
      <c r="E320" t="s">
        <v>22</v>
      </c>
      <c r="F320" t="s">
        <v>12</v>
      </c>
      <c r="G320" t="s">
        <v>23</v>
      </c>
      <c r="H320" s="9">
        <v>6</v>
      </c>
      <c r="I320" s="9">
        <v>85</v>
      </c>
      <c r="J320" s="10">
        <v>29750</v>
      </c>
      <c r="K320" s="10">
        <v>11900</v>
      </c>
      <c r="L320">
        <v>46</v>
      </c>
      <c r="M320" s="8">
        <v>43739</v>
      </c>
      <c r="N320" s="23">
        <v>1.4985831463042799E-4</v>
      </c>
      <c r="O320" s="10" t="str">
        <f>IF(Sales_Data[[#This Row],[Total Profit]]&gt;0,"Profitable","Loss")</f>
        <v>Profitable</v>
      </c>
      <c r="P320" s="10" t="str">
        <f>IF(Sales_Data[[#This Row],[Total Profit]]&gt;100000,"High Value",IF(Sales_Data[[#This Row],[Total Profit]]&gt;60000,"Medium","Low"))</f>
        <v>Low</v>
      </c>
      <c r="Q320" s="11" t="str">
        <f>PROPER(Sales_Data[[#This Row],[Month Name]])</f>
        <v>Novembro</v>
      </c>
      <c r="R320" s="11" t="str">
        <f>PROPER(Sales_Data[[#This Row],[Sales Manager]])</f>
        <v>Emily White</v>
      </c>
    </row>
    <row r="321" spans="1:18" hidden="1" x14ac:dyDescent="0.25">
      <c r="A321">
        <v>10320</v>
      </c>
      <c r="B321">
        <v>2019</v>
      </c>
      <c r="C321" t="s">
        <v>76</v>
      </c>
      <c r="D321" s="8">
        <v>43785</v>
      </c>
      <c r="E321" t="s">
        <v>25</v>
      </c>
      <c r="F321" t="s">
        <v>16</v>
      </c>
      <c r="G321" t="s">
        <v>20</v>
      </c>
      <c r="H321" s="9">
        <v>15</v>
      </c>
      <c r="I321" s="9">
        <v>316</v>
      </c>
      <c r="J321" s="10">
        <v>268600</v>
      </c>
      <c r="K321" s="10">
        <v>64464</v>
      </c>
      <c r="L321">
        <v>46</v>
      </c>
      <c r="M321" s="8">
        <v>43739</v>
      </c>
      <c r="N321" s="23">
        <v>1.3530064978061499E-3</v>
      </c>
      <c r="O321" s="10" t="str">
        <f>IF(Sales_Data[[#This Row],[Total Profit]]&gt;0,"Profitable","Loss")</f>
        <v>Profitable</v>
      </c>
      <c r="P321" s="10" t="str">
        <f>IF(Sales_Data[[#This Row],[Total Profit]]&gt;100000,"High Value",IF(Sales_Data[[#This Row],[Total Profit]]&gt;60000,"Medium","Low"))</f>
        <v>Medium</v>
      </c>
      <c r="Q321" s="11" t="str">
        <f>PROPER(Sales_Data[[#This Row],[Month Name]])</f>
        <v>Novembro</v>
      </c>
      <c r="R321" s="11" t="str">
        <f>PROPER(Sales_Data[[#This Row],[Sales Manager]])</f>
        <v>James Brown</v>
      </c>
    </row>
    <row r="322" spans="1:18" hidden="1" x14ac:dyDescent="0.25">
      <c r="A322">
        <v>10321</v>
      </c>
      <c r="B322">
        <v>2019</v>
      </c>
      <c r="C322" t="s">
        <v>76</v>
      </c>
      <c r="D322" s="8">
        <v>43786</v>
      </c>
      <c r="E322" t="s">
        <v>14</v>
      </c>
      <c r="F322" t="s">
        <v>12</v>
      </c>
      <c r="G322" t="s">
        <v>23</v>
      </c>
      <c r="H322" s="9">
        <v>1</v>
      </c>
      <c r="I322" s="9">
        <v>15</v>
      </c>
      <c r="J322" s="10">
        <v>5250</v>
      </c>
      <c r="K322" s="10">
        <v>2257.5</v>
      </c>
      <c r="L322">
        <v>47</v>
      </c>
      <c r="M322" s="8">
        <v>43739</v>
      </c>
      <c r="N322" s="23">
        <v>2.6445584934781399E-5</v>
      </c>
      <c r="O322" s="10" t="str">
        <f>IF(Sales_Data[[#This Row],[Total Profit]]&gt;0,"Profitable","Loss")</f>
        <v>Profitable</v>
      </c>
      <c r="P322" s="10" t="str">
        <f>IF(Sales_Data[[#This Row],[Total Profit]]&gt;100000,"High Value",IF(Sales_Data[[#This Row],[Total Profit]]&gt;60000,"Medium","Low"))</f>
        <v>Low</v>
      </c>
      <c r="Q322" s="11" t="str">
        <f>PROPER(Sales_Data[[#This Row],[Month Name]])</f>
        <v>Novembro</v>
      </c>
      <c r="R322" s="11" t="str">
        <f>PROPER(Sales_Data[[#This Row],[Sales Manager]])</f>
        <v>Emily White</v>
      </c>
    </row>
    <row r="323" spans="1:18" hidden="1" x14ac:dyDescent="0.25">
      <c r="A323">
        <v>10322</v>
      </c>
      <c r="B323">
        <v>2019</v>
      </c>
      <c r="C323" t="s">
        <v>76</v>
      </c>
      <c r="D323" s="8">
        <v>43787</v>
      </c>
      <c r="E323" t="s">
        <v>14</v>
      </c>
      <c r="F323" t="s">
        <v>21</v>
      </c>
      <c r="G323" t="s">
        <v>15</v>
      </c>
      <c r="H323" s="9">
        <v>17</v>
      </c>
      <c r="I323" s="9">
        <v>402</v>
      </c>
      <c r="J323" s="10">
        <v>201000</v>
      </c>
      <c r="K323" s="10">
        <v>90450</v>
      </c>
      <c r="L323">
        <v>47</v>
      </c>
      <c r="M323" s="8">
        <v>43739</v>
      </c>
      <c r="N323" s="23">
        <v>1.01248810893163E-3</v>
      </c>
      <c r="O323" s="10" t="str">
        <f>IF(Sales_Data[[#This Row],[Total Profit]]&gt;0,"Profitable","Loss")</f>
        <v>Profitable</v>
      </c>
      <c r="P323" s="10" t="str">
        <f>IF(Sales_Data[[#This Row],[Total Profit]]&gt;100000,"High Value",IF(Sales_Data[[#This Row],[Total Profit]]&gt;60000,"Medium","Low"))</f>
        <v>Medium</v>
      </c>
      <c r="Q323" s="11" t="str">
        <f>PROPER(Sales_Data[[#This Row],[Month Name]])</f>
        <v>Novembro</v>
      </c>
      <c r="R323" s="11" t="str">
        <f>PROPER(Sales_Data[[#This Row],[Sales Manager]])</f>
        <v>John Smith</v>
      </c>
    </row>
    <row r="324" spans="1:18" hidden="1" x14ac:dyDescent="0.25">
      <c r="A324">
        <v>10323</v>
      </c>
      <c r="B324">
        <v>2019</v>
      </c>
      <c r="C324" t="s">
        <v>76</v>
      </c>
      <c r="D324" s="8">
        <v>43788</v>
      </c>
      <c r="E324" t="s">
        <v>22</v>
      </c>
      <c r="F324" t="s">
        <v>24</v>
      </c>
      <c r="G324" t="s">
        <v>15</v>
      </c>
      <c r="H324" s="9">
        <v>10</v>
      </c>
      <c r="I324" s="9">
        <v>111</v>
      </c>
      <c r="J324" s="10">
        <v>55500</v>
      </c>
      <c r="K324" s="10">
        <v>8325</v>
      </c>
      <c r="L324">
        <v>47</v>
      </c>
      <c r="M324" s="8">
        <v>43739</v>
      </c>
      <c r="N324" s="23">
        <v>2.7956761216768898E-4</v>
      </c>
      <c r="O324" s="10" t="str">
        <f>IF(Sales_Data[[#This Row],[Total Profit]]&gt;0,"Profitable","Loss")</f>
        <v>Profitable</v>
      </c>
      <c r="P324" s="10" t="str">
        <f>IF(Sales_Data[[#This Row],[Total Profit]]&gt;100000,"High Value",IF(Sales_Data[[#This Row],[Total Profit]]&gt;60000,"Medium","Low"))</f>
        <v>Low</v>
      </c>
      <c r="Q324" s="11" t="str">
        <f>PROPER(Sales_Data[[#This Row],[Month Name]])</f>
        <v>Novembro</v>
      </c>
      <c r="R324" s="11" t="str">
        <f>PROPER(Sales_Data[[#This Row],[Sales Manager]])</f>
        <v>Liam Lee</v>
      </c>
    </row>
    <row r="325" spans="1:18" hidden="1" x14ac:dyDescent="0.25">
      <c r="A325">
        <v>10324</v>
      </c>
      <c r="B325">
        <v>2019</v>
      </c>
      <c r="C325" t="s">
        <v>76</v>
      </c>
      <c r="D325" s="8">
        <v>43789</v>
      </c>
      <c r="E325" t="s">
        <v>11</v>
      </c>
      <c r="F325" t="s">
        <v>12</v>
      </c>
      <c r="G325" t="s">
        <v>15</v>
      </c>
      <c r="H325" s="9">
        <v>6</v>
      </c>
      <c r="I325" s="9">
        <v>265</v>
      </c>
      <c r="J325" s="10">
        <v>132500</v>
      </c>
      <c r="K325" s="10">
        <v>50350</v>
      </c>
      <c r="L325">
        <v>47</v>
      </c>
      <c r="M325" s="8">
        <v>43739</v>
      </c>
      <c r="N325" s="23">
        <v>6.6743619121114998E-4</v>
      </c>
      <c r="O325" s="10" t="str">
        <f>IF(Sales_Data[[#This Row],[Total Profit]]&gt;0,"Profitable","Loss")</f>
        <v>Profitable</v>
      </c>
      <c r="P325" s="10" t="str">
        <f>IF(Sales_Data[[#This Row],[Total Profit]]&gt;100000,"High Value",IF(Sales_Data[[#This Row],[Total Profit]]&gt;60000,"Medium","Low"))</f>
        <v>Low</v>
      </c>
      <c r="Q325" s="11" t="str">
        <f>PROPER(Sales_Data[[#This Row],[Month Name]])</f>
        <v>Novembro</v>
      </c>
      <c r="R325" s="11" t="str">
        <f>PROPER(Sales_Data[[#This Row],[Sales Manager]])</f>
        <v>Emily White</v>
      </c>
    </row>
    <row r="326" spans="1:18" hidden="1" x14ac:dyDescent="0.25">
      <c r="A326">
        <v>10325</v>
      </c>
      <c r="B326">
        <v>2019</v>
      </c>
      <c r="C326" t="s">
        <v>76</v>
      </c>
      <c r="D326" s="8">
        <v>43790</v>
      </c>
      <c r="E326" t="s">
        <v>19</v>
      </c>
      <c r="F326" t="s">
        <v>16</v>
      </c>
      <c r="G326" t="s">
        <v>15</v>
      </c>
      <c r="H326" s="9">
        <v>8</v>
      </c>
      <c r="I326" s="9">
        <v>190</v>
      </c>
      <c r="J326" s="10">
        <v>95000</v>
      </c>
      <c r="K326" s="10">
        <v>31350</v>
      </c>
      <c r="L326">
        <v>47</v>
      </c>
      <c r="M326" s="8">
        <v>43739</v>
      </c>
      <c r="N326" s="23">
        <v>4.78539155962711E-4</v>
      </c>
      <c r="O326" s="10" t="str">
        <f>IF(Sales_Data[[#This Row],[Total Profit]]&gt;0,"Profitable","Loss")</f>
        <v>Profitable</v>
      </c>
      <c r="P326" s="10" t="str">
        <f>IF(Sales_Data[[#This Row],[Total Profit]]&gt;100000,"High Value",IF(Sales_Data[[#This Row],[Total Profit]]&gt;60000,"Medium","Low"))</f>
        <v>Low</v>
      </c>
      <c r="Q326" s="11" t="str">
        <f>PROPER(Sales_Data[[#This Row],[Month Name]])</f>
        <v>Novembro</v>
      </c>
      <c r="R326" s="11" t="str">
        <f>PROPER(Sales_Data[[#This Row],[Sales Manager]])</f>
        <v>James Brown</v>
      </c>
    </row>
    <row r="327" spans="1:18" hidden="1" x14ac:dyDescent="0.25">
      <c r="A327">
        <v>10326</v>
      </c>
      <c r="B327">
        <v>2019</v>
      </c>
      <c r="C327" t="s">
        <v>76</v>
      </c>
      <c r="D327" s="8">
        <v>43791</v>
      </c>
      <c r="E327" t="s">
        <v>19</v>
      </c>
      <c r="F327" t="s">
        <v>16</v>
      </c>
      <c r="G327" t="s">
        <v>15</v>
      </c>
      <c r="H327" s="9">
        <v>6</v>
      </c>
      <c r="I327" s="9">
        <v>62</v>
      </c>
      <c r="J327" s="10">
        <v>31000</v>
      </c>
      <c r="K327" s="10">
        <v>9300</v>
      </c>
      <c r="L327">
        <v>47</v>
      </c>
      <c r="M327" s="8">
        <v>43739</v>
      </c>
      <c r="N327" s="23">
        <v>1.5615488247204299E-4</v>
      </c>
      <c r="O327" s="10" t="str">
        <f>IF(Sales_Data[[#This Row],[Total Profit]]&gt;0,"Profitable","Loss")</f>
        <v>Profitable</v>
      </c>
      <c r="P327" s="10" t="str">
        <f>IF(Sales_Data[[#This Row],[Total Profit]]&gt;100000,"High Value",IF(Sales_Data[[#This Row],[Total Profit]]&gt;60000,"Medium","Low"))</f>
        <v>Low</v>
      </c>
      <c r="Q327" s="11" t="str">
        <f>PROPER(Sales_Data[[#This Row],[Month Name]])</f>
        <v>Novembro</v>
      </c>
      <c r="R327" s="11" t="str">
        <f>PROPER(Sales_Data[[#This Row],[Sales Manager]])</f>
        <v>James Brown</v>
      </c>
    </row>
    <row r="328" spans="1:18" hidden="1" x14ac:dyDescent="0.25">
      <c r="A328">
        <v>10327</v>
      </c>
      <c r="B328">
        <v>2019</v>
      </c>
      <c r="C328" t="s">
        <v>76</v>
      </c>
      <c r="D328" s="8">
        <v>43792</v>
      </c>
      <c r="E328" t="s">
        <v>22</v>
      </c>
      <c r="F328" t="s">
        <v>12</v>
      </c>
      <c r="G328" t="s">
        <v>17</v>
      </c>
      <c r="H328" s="9">
        <v>1</v>
      </c>
      <c r="I328" s="9">
        <v>46</v>
      </c>
      <c r="J328" s="10">
        <v>11500</v>
      </c>
      <c r="K328" s="10">
        <v>4945</v>
      </c>
      <c r="L328">
        <v>47</v>
      </c>
      <c r="M328" s="8">
        <v>43739</v>
      </c>
      <c r="N328" s="23">
        <v>5.7928424142854497E-5</v>
      </c>
      <c r="O328" s="10" t="str">
        <f>IF(Sales_Data[[#This Row],[Total Profit]]&gt;0,"Profitable","Loss")</f>
        <v>Profitable</v>
      </c>
      <c r="P328" s="10" t="str">
        <f>IF(Sales_Data[[#This Row],[Total Profit]]&gt;100000,"High Value",IF(Sales_Data[[#This Row],[Total Profit]]&gt;60000,"Medium","Low"))</f>
        <v>Low</v>
      </c>
      <c r="Q328" s="11" t="str">
        <f>PROPER(Sales_Data[[#This Row],[Month Name]])</f>
        <v>Novembro</v>
      </c>
      <c r="R328" s="11" t="str">
        <f>PROPER(Sales_Data[[#This Row],[Sales Manager]])</f>
        <v>Emily White</v>
      </c>
    </row>
    <row r="329" spans="1:18" hidden="1" x14ac:dyDescent="0.25">
      <c r="A329">
        <v>10328</v>
      </c>
      <c r="B329">
        <v>2019</v>
      </c>
      <c r="C329" t="s">
        <v>76</v>
      </c>
      <c r="D329" s="8">
        <v>43793</v>
      </c>
      <c r="E329" t="s">
        <v>11</v>
      </c>
      <c r="F329" t="s">
        <v>18</v>
      </c>
      <c r="G329" t="s">
        <v>13</v>
      </c>
      <c r="H329" s="9">
        <v>9</v>
      </c>
      <c r="I329" s="9">
        <v>279</v>
      </c>
      <c r="J329" s="10">
        <v>209250</v>
      </c>
      <c r="K329" s="10">
        <v>31387.5</v>
      </c>
      <c r="L329">
        <v>48</v>
      </c>
      <c r="M329" s="8">
        <v>43739</v>
      </c>
      <c r="N329" s="23">
        <v>1.0540454566862899E-3</v>
      </c>
      <c r="O329" s="10" t="str">
        <f>IF(Sales_Data[[#This Row],[Total Profit]]&gt;0,"Profitable","Loss")</f>
        <v>Profitable</v>
      </c>
      <c r="P329" s="10" t="str">
        <f>IF(Sales_Data[[#This Row],[Total Profit]]&gt;100000,"High Value",IF(Sales_Data[[#This Row],[Total Profit]]&gt;60000,"Medium","Low"))</f>
        <v>Low</v>
      </c>
      <c r="Q329" s="11" t="str">
        <f>PROPER(Sales_Data[[#This Row],[Month Name]])</f>
        <v>Novembro</v>
      </c>
      <c r="R329" s="11" t="str">
        <f>PROPER(Sales_Data[[#This Row],[Sales Manager]])</f>
        <v>Jane Doe</v>
      </c>
    </row>
    <row r="330" spans="1:18" hidden="1" x14ac:dyDescent="0.25">
      <c r="A330">
        <v>10329</v>
      </c>
      <c r="B330">
        <v>2019</v>
      </c>
      <c r="C330" t="s">
        <v>76</v>
      </c>
      <c r="D330" s="8">
        <v>43794</v>
      </c>
      <c r="E330" t="s">
        <v>14</v>
      </c>
      <c r="F330" t="s">
        <v>16</v>
      </c>
      <c r="G330" t="s">
        <v>15</v>
      </c>
      <c r="H330" s="9">
        <v>16</v>
      </c>
      <c r="I330" s="9">
        <v>243</v>
      </c>
      <c r="J330" s="10">
        <v>121500</v>
      </c>
      <c r="K330" s="10">
        <v>32805</v>
      </c>
      <c r="L330">
        <v>48</v>
      </c>
      <c r="M330" s="8">
        <v>43739</v>
      </c>
      <c r="N330" s="23">
        <v>6.1202639420494104E-4</v>
      </c>
      <c r="O330" s="10" t="str">
        <f>IF(Sales_Data[[#This Row],[Total Profit]]&gt;0,"Profitable","Loss")</f>
        <v>Profitable</v>
      </c>
      <c r="P330" s="10" t="str">
        <f>IF(Sales_Data[[#This Row],[Total Profit]]&gt;100000,"High Value",IF(Sales_Data[[#This Row],[Total Profit]]&gt;60000,"Medium","Low"))</f>
        <v>Low</v>
      </c>
      <c r="Q330" s="11" t="str">
        <f>PROPER(Sales_Data[[#This Row],[Month Name]])</f>
        <v>Novembro</v>
      </c>
      <c r="R330" s="11" t="str">
        <f>PROPER(Sales_Data[[#This Row],[Sales Manager]])</f>
        <v>James Brown</v>
      </c>
    </row>
    <row r="331" spans="1:18" hidden="1" x14ac:dyDescent="0.25">
      <c r="A331">
        <v>10330</v>
      </c>
      <c r="B331">
        <v>2019</v>
      </c>
      <c r="C331" t="s">
        <v>76</v>
      </c>
      <c r="D331" s="8">
        <v>43795</v>
      </c>
      <c r="E331" t="s">
        <v>14</v>
      </c>
      <c r="F331" t="s">
        <v>16</v>
      </c>
      <c r="G331" t="s">
        <v>13</v>
      </c>
      <c r="H331" s="9">
        <v>27</v>
      </c>
      <c r="I331" s="9">
        <v>314</v>
      </c>
      <c r="J331" s="10">
        <v>235500</v>
      </c>
      <c r="K331" s="10">
        <v>82425</v>
      </c>
      <c r="L331">
        <v>48</v>
      </c>
      <c r="M331" s="8">
        <v>43739</v>
      </c>
      <c r="N331" s="23">
        <v>1.18627338136019E-3</v>
      </c>
      <c r="O331" s="10" t="str">
        <f>IF(Sales_Data[[#This Row],[Total Profit]]&gt;0,"Profitable","Loss")</f>
        <v>Profitable</v>
      </c>
      <c r="P331" s="10" t="str">
        <f>IF(Sales_Data[[#This Row],[Total Profit]]&gt;100000,"High Value",IF(Sales_Data[[#This Row],[Total Profit]]&gt;60000,"Medium","Low"))</f>
        <v>Medium</v>
      </c>
      <c r="Q331" s="11" t="str">
        <f>PROPER(Sales_Data[[#This Row],[Month Name]])</f>
        <v>Novembro</v>
      </c>
      <c r="R331" s="11" t="str">
        <f>PROPER(Sales_Data[[#This Row],[Sales Manager]])</f>
        <v>James Brown</v>
      </c>
    </row>
    <row r="332" spans="1:18" hidden="1" x14ac:dyDescent="0.25">
      <c r="A332">
        <v>10331</v>
      </c>
      <c r="B332">
        <v>2019</v>
      </c>
      <c r="C332" t="s">
        <v>76</v>
      </c>
      <c r="D332" s="8">
        <v>43796</v>
      </c>
      <c r="E332" t="s">
        <v>25</v>
      </c>
      <c r="F332" t="s">
        <v>24</v>
      </c>
      <c r="G332" t="s">
        <v>17</v>
      </c>
      <c r="H332" s="9">
        <v>11</v>
      </c>
      <c r="I332" s="9">
        <v>194</v>
      </c>
      <c r="J332" s="10">
        <v>48500</v>
      </c>
      <c r="K332" s="10">
        <v>15035</v>
      </c>
      <c r="L332">
        <v>48</v>
      </c>
      <c r="M332" s="8">
        <v>43739</v>
      </c>
      <c r="N332" s="23">
        <v>2.44306832254647E-4</v>
      </c>
      <c r="O332" s="10" t="str">
        <f>IF(Sales_Data[[#This Row],[Total Profit]]&gt;0,"Profitable","Loss")</f>
        <v>Profitable</v>
      </c>
      <c r="P332" s="10" t="str">
        <f>IF(Sales_Data[[#This Row],[Total Profit]]&gt;100000,"High Value",IF(Sales_Data[[#This Row],[Total Profit]]&gt;60000,"Medium","Low"))</f>
        <v>Low</v>
      </c>
      <c r="Q332" s="11" t="str">
        <f>PROPER(Sales_Data[[#This Row],[Month Name]])</f>
        <v>Novembro</v>
      </c>
      <c r="R332" s="11" t="str">
        <f>PROPER(Sales_Data[[#This Row],[Sales Manager]])</f>
        <v>Liam Lee</v>
      </c>
    </row>
    <row r="333" spans="1:18" hidden="1" x14ac:dyDescent="0.25">
      <c r="A333">
        <v>10332</v>
      </c>
      <c r="B333">
        <v>2019</v>
      </c>
      <c r="C333" t="s">
        <v>76</v>
      </c>
      <c r="D333" s="8">
        <v>43797</v>
      </c>
      <c r="E333" t="s">
        <v>25</v>
      </c>
      <c r="F333" t="s">
        <v>24</v>
      </c>
      <c r="G333" t="s">
        <v>13</v>
      </c>
      <c r="H333" s="9">
        <v>36</v>
      </c>
      <c r="I333" s="9">
        <v>395</v>
      </c>
      <c r="J333" s="10">
        <v>296250</v>
      </c>
      <c r="K333" s="10">
        <v>65175</v>
      </c>
      <c r="L333">
        <v>48</v>
      </c>
      <c r="M333" s="8">
        <v>43739</v>
      </c>
      <c r="N333" s="23">
        <v>1.4922865784626699E-3</v>
      </c>
      <c r="O333" s="10" t="str">
        <f>IF(Sales_Data[[#This Row],[Total Profit]]&gt;0,"Profitable","Loss")</f>
        <v>Profitable</v>
      </c>
      <c r="P333" s="10" t="str">
        <f>IF(Sales_Data[[#This Row],[Total Profit]]&gt;100000,"High Value",IF(Sales_Data[[#This Row],[Total Profit]]&gt;60000,"Medium","Low"))</f>
        <v>Medium</v>
      </c>
      <c r="Q333" s="11" t="str">
        <f>PROPER(Sales_Data[[#This Row],[Month Name]])</f>
        <v>Novembro</v>
      </c>
      <c r="R333" s="11" t="str">
        <f>PROPER(Sales_Data[[#This Row],[Sales Manager]])</f>
        <v>Liam Lee</v>
      </c>
    </row>
    <row r="334" spans="1:18" hidden="1" x14ac:dyDescent="0.25">
      <c r="A334">
        <v>10333</v>
      </c>
      <c r="B334">
        <v>2019</v>
      </c>
      <c r="C334" t="s">
        <v>76</v>
      </c>
      <c r="D334" s="8">
        <v>43798</v>
      </c>
      <c r="E334" t="s">
        <v>14</v>
      </c>
      <c r="F334" t="s">
        <v>21</v>
      </c>
      <c r="G334" t="s">
        <v>17</v>
      </c>
      <c r="H334" s="9">
        <v>6</v>
      </c>
      <c r="I334" s="9">
        <v>234</v>
      </c>
      <c r="J334" s="10">
        <v>58500</v>
      </c>
      <c r="K334" s="10">
        <v>7020</v>
      </c>
      <c r="L334">
        <v>48</v>
      </c>
      <c r="M334" s="8">
        <v>43739</v>
      </c>
      <c r="N334" s="23">
        <v>2.9467937498756401E-4</v>
      </c>
      <c r="O334" s="10" t="str">
        <f>IF(Sales_Data[[#This Row],[Total Profit]]&gt;0,"Profitable","Loss")</f>
        <v>Profitable</v>
      </c>
      <c r="P334" s="10" t="str">
        <f>IF(Sales_Data[[#This Row],[Total Profit]]&gt;100000,"High Value",IF(Sales_Data[[#This Row],[Total Profit]]&gt;60000,"Medium","Low"))</f>
        <v>Low</v>
      </c>
      <c r="Q334" s="11" t="str">
        <f>PROPER(Sales_Data[[#This Row],[Month Name]])</f>
        <v>Novembro</v>
      </c>
      <c r="R334" s="11" t="str">
        <f>PROPER(Sales_Data[[#This Row],[Sales Manager]])</f>
        <v>John Smith</v>
      </c>
    </row>
    <row r="335" spans="1:18" hidden="1" x14ac:dyDescent="0.25">
      <c r="A335">
        <v>10334</v>
      </c>
      <c r="B335">
        <v>2019</v>
      </c>
      <c r="C335" t="s">
        <v>76</v>
      </c>
      <c r="D335" s="8">
        <v>43799</v>
      </c>
      <c r="E335" t="s">
        <v>11</v>
      </c>
      <c r="F335" t="s">
        <v>16</v>
      </c>
      <c r="G335" t="s">
        <v>15</v>
      </c>
      <c r="H335" s="9">
        <v>1</v>
      </c>
      <c r="I335" s="9">
        <v>10</v>
      </c>
      <c r="J335" s="10">
        <v>5000</v>
      </c>
      <c r="K335" s="10">
        <v>1500</v>
      </c>
      <c r="L335">
        <v>48</v>
      </c>
      <c r="M335" s="8">
        <v>43739</v>
      </c>
      <c r="N335" s="23">
        <v>2.5186271366458498E-5</v>
      </c>
      <c r="O335" s="10" t="str">
        <f>IF(Sales_Data[[#This Row],[Total Profit]]&gt;0,"Profitable","Loss")</f>
        <v>Profitable</v>
      </c>
      <c r="P335" s="10" t="str">
        <f>IF(Sales_Data[[#This Row],[Total Profit]]&gt;100000,"High Value",IF(Sales_Data[[#This Row],[Total Profit]]&gt;60000,"Medium","Low"))</f>
        <v>Low</v>
      </c>
      <c r="Q335" s="11" t="str">
        <f>PROPER(Sales_Data[[#This Row],[Month Name]])</f>
        <v>Novembro</v>
      </c>
      <c r="R335" s="11" t="str">
        <f>PROPER(Sales_Data[[#This Row],[Sales Manager]])</f>
        <v>James Brown</v>
      </c>
    </row>
    <row r="336" spans="1:18" hidden="1" x14ac:dyDescent="0.25">
      <c r="A336">
        <v>10335</v>
      </c>
      <c r="B336">
        <v>2019</v>
      </c>
      <c r="C336" t="s">
        <v>77</v>
      </c>
      <c r="D336" s="8">
        <v>43800</v>
      </c>
      <c r="E336" t="s">
        <v>25</v>
      </c>
      <c r="F336" t="s">
        <v>21</v>
      </c>
      <c r="G336" t="s">
        <v>23</v>
      </c>
      <c r="H336" s="9">
        <v>12</v>
      </c>
      <c r="I336" s="9">
        <v>496</v>
      </c>
      <c r="J336" s="10">
        <v>173600</v>
      </c>
      <c r="K336" s="10">
        <v>74648</v>
      </c>
      <c r="L336">
        <v>49</v>
      </c>
      <c r="M336" s="8">
        <v>43739</v>
      </c>
      <c r="N336" s="23">
        <v>8.7446734184343895E-4</v>
      </c>
      <c r="O336" s="10" t="str">
        <f>IF(Sales_Data[[#This Row],[Total Profit]]&gt;0,"Profitable","Loss")</f>
        <v>Profitable</v>
      </c>
      <c r="P336" s="10" t="str">
        <f>IF(Sales_Data[[#This Row],[Total Profit]]&gt;100000,"High Value",IF(Sales_Data[[#This Row],[Total Profit]]&gt;60000,"Medium","Low"))</f>
        <v>Medium</v>
      </c>
      <c r="Q336" s="11" t="str">
        <f>PROPER(Sales_Data[[#This Row],[Month Name]])</f>
        <v>Dezembro</v>
      </c>
      <c r="R336" s="11" t="str">
        <f>PROPER(Sales_Data[[#This Row],[Sales Manager]])</f>
        <v>John Smith</v>
      </c>
    </row>
    <row r="337" spans="1:18" hidden="1" x14ac:dyDescent="0.25">
      <c r="A337">
        <v>10336</v>
      </c>
      <c r="B337">
        <v>2019</v>
      </c>
      <c r="C337" t="s">
        <v>77</v>
      </c>
      <c r="D337" s="8">
        <v>43801</v>
      </c>
      <c r="E337" t="s">
        <v>11</v>
      </c>
      <c r="F337" t="s">
        <v>16</v>
      </c>
      <c r="G337" t="s">
        <v>17</v>
      </c>
      <c r="H337" s="9">
        <v>28</v>
      </c>
      <c r="I337" s="9">
        <v>325</v>
      </c>
      <c r="J337" s="10">
        <v>81250</v>
      </c>
      <c r="K337" s="10">
        <v>32500</v>
      </c>
      <c r="L337">
        <v>49</v>
      </c>
      <c r="M337" s="8">
        <v>43739</v>
      </c>
      <c r="N337" s="23">
        <v>4.0927690970495002E-4</v>
      </c>
      <c r="O337" s="10" t="str">
        <f>IF(Sales_Data[[#This Row],[Total Profit]]&gt;0,"Profitable","Loss")</f>
        <v>Profitable</v>
      </c>
      <c r="P337" s="10" t="str">
        <f>IF(Sales_Data[[#This Row],[Total Profit]]&gt;100000,"High Value",IF(Sales_Data[[#This Row],[Total Profit]]&gt;60000,"Medium","Low"))</f>
        <v>Low</v>
      </c>
      <c r="Q337" s="11" t="str">
        <f>PROPER(Sales_Data[[#This Row],[Month Name]])</f>
        <v>Dezembro</v>
      </c>
      <c r="R337" s="11" t="str">
        <f>PROPER(Sales_Data[[#This Row],[Sales Manager]])</f>
        <v>James Brown</v>
      </c>
    </row>
    <row r="338" spans="1:18" hidden="1" x14ac:dyDescent="0.25">
      <c r="A338">
        <v>10337</v>
      </c>
      <c r="B338">
        <v>2019</v>
      </c>
      <c r="C338" t="s">
        <v>77</v>
      </c>
      <c r="D338" s="8">
        <v>43802</v>
      </c>
      <c r="E338" t="s">
        <v>11</v>
      </c>
      <c r="F338" t="s">
        <v>16</v>
      </c>
      <c r="G338" t="s">
        <v>13</v>
      </c>
      <c r="H338" s="9">
        <v>13</v>
      </c>
      <c r="I338" s="9">
        <v>241</v>
      </c>
      <c r="J338" s="10">
        <v>180750</v>
      </c>
      <c r="K338" s="10">
        <v>74107.5</v>
      </c>
      <c r="L338">
        <v>49</v>
      </c>
      <c r="M338" s="8">
        <v>43739</v>
      </c>
      <c r="N338" s="23">
        <v>9.1048370989747405E-4</v>
      </c>
      <c r="O338" s="10" t="str">
        <f>IF(Sales_Data[[#This Row],[Total Profit]]&gt;0,"Profitable","Loss")</f>
        <v>Profitable</v>
      </c>
      <c r="P338" s="10" t="str">
        <f>IF(Sales_Data[[#This Row],[Total Profit]]&gt;100000,"High Value",IF(Sales_Data[[#This Row],[Total Profit]]&gt;60000,"Medium","Low"))</f>
        <v>Medium</v>
      </c>
      <c r="Q338" s="11" t="str">
        <f>PROPER(Sales_Data[[#This Row],[Month Name]])</f>
        <v>Dezembro</v>
      </c>
      <c r="R338" s="11" t="str">
        <f>PROPER(Sales_Data[[#This Row],[Sales Manager]])</f>
        <v>James Brown</v>
      </c>
    </row>
    <row r="339" spans="1:18" hidden="1" x14ac:dyDescent="0.25">
      <c r="A339">
        <v>10338</v>
      </c>
      <c r="B339">
        <v>2019</v>
      </c>
      <c r="C339" t="s">
        <v>77</v>
      </c>
      <c r="D339" s="8">
        <v>43803</v>
      </c>
      <c r="E339" t="s">
        <v>14</v>
      </c>
      <c r="F339" t="s">
        <v>12</v>
      </c>
      <c r="G339" t="s">
        <v>13</v>
      </c>
      <c r="H339" s="9">
        <v>35</v>
      </c>
      <c r="I339" s="9">
        <v>404</v>
      </c>
      <c r="J339" s="10">
        <v>303000</v>
      </c>
      <c r="K339" s="10">
        <v>112110</v>
      </c>
      <c r="L339">
        <v>49</v>
      </c>
      <c r="M339" s="8">
        <v>43739</v>
      </c>
      <c r="N339" s="23">
        <v>1.52628804480738E-3</v>
      </c>
      <c r="O339" s="10" t="str">
        <f>IF(Sales_Data[[#This Row],[Total Profit]]&gt;0,"Profitable","Loss")</f>
        <v>Profitable</v>
      </c>
      <c r="P339" s="10" t="str">
        <f>IF(Sales_Data[[#This Row],[Total Profit]]&gt;100000,"High Value",IF(Sales_Data[[#This Row],[Total Profit]]&gt;60000,"Medium","Low"))</f>
        <v>High Value</v>
      </c>
      <c r="Q339" s="11" t="str">
        <f>PROPER(Sales_Data[[#This Row],[Month Name]])</f>
        <v>Dezembro</v>
      </c>
      <c r="R339" s="11" t="str">
        <f>PROPER(Sales_Data[[#This Row],[Sales Manager]])</f>
        <v>Emily White</v>
      </c>
    </row>
    <row r="340" spans="1:18" hidden="1" x14ac:dyDescent="0.25">
      <c r="A340">
        <v>10339</v>
      </c>
      <c r="B340">
        <v>2019</v>
      </c>
      <c r="C340" t="s">
        <v>77</v>
      </c>
      <c r="D340" s="8">
        <v>43804</v>
      </c>
      <c r="E340" t="s">
        <v>19</v>
      </c>
      <c r="F340" t="s">
        <v>24</v>
      </c>
      <c r="G340" t="s">
        <v>15</v>
      </c>
      <c r="H340" s="9">
        <v>9</v>
      </c>
      <c r="I340" s="9">
        <v>203</v>
      </c>
      <c r="J340" s="10">
        <v>101500</v>
      </c>
      <c r="K340" s="10">
        <v>11165</v>
      </c>
      <c r="L340">
        <v>49</v>
      </c>
      <c r="M340" s="8">
        <v>43739</v>
      </c>
      <c r="N340" s="23">
        <v>5.1128130873910702E-4</v>
      </c>
      <c r="O340" s="10" t="str">
        <f>IF(Sales_Data[[#This Row],[Total Profit]]&gt;0,"Profitable","Loss")</f>
        <v>Profitable</v>
      </c>
      <c r="P340" s="10" t="str">
        <f>IF(Sales_Data[[#This Row],[Total Profit]]&gt;100000,"High Value",IF(Sales_Data[[#This Row],[Total Profit]]&gt;60000,"Medium","Low"))</f>
        <v>Low</v>
      </c>
      <c r="Q340" s="11" t="str">
        <f>PROPER(Sales_Data[[#This Row],[Month Name]])</f>
        <v>Dezembro</v>
      </c>
      <c r="R340" s="11" t="str">
        <f>PROPER(Sales_Data[[#This Row],[Sales Manager]])</f>
        <v>Liam Lee</v>
      </c>
    </row>
    <row r="341" spans="1:18" hidden="1" x14ac:dyDescent="0.25">
      <c r="A341">
        <v>10340</v>
      </c>
      <c r="B341">
        <v>2019</v>
      </c>
      <c r="C341" t="s">
        <v>77</v>
      </c>
      <c r="D341" s="8">
        <v>43805</v>
      </c>
      <c r="E341" t="s">
        <v>11</v>
      </c>
      <c r="F341" t="s">
        <v>18</v>
      </c>
      <c r="G341" t="s">
        <v>15</v>
      </c>
      <c r="H341" s="9">
        <v>13</v>
      </c>
      <c r="I341" s="9">
        <v>330</v>
      </c>
      <c r="J341" s="10">
        <v>165000</v>
      </c>
      <c r="K341" s="10">
        <v>59400</v>
      </c>
      <c r="L341">
        <v>49</v>
      </c>
      <c r="M341" s="8">
        <v>43739</v>
      </c>
      <c r="N341" s="23">
        <v>8.3114695509312996E-4</v>
      </c>
      <c r="O341" s="10" t="str">
        <f>IF(Sales_Data[[#This Row],[Total Profit]]&gt;0,"Profitable","Loss")</f>
        <v>Profitable</v>
      </c>
      <c r="P341" s="10" t="str">
        <f>IF(Sales_Data[[#This Row],[Total Profit]]&gt;100000,"High Value",IF(Sales_Data[[#This Row],[Total Profit]]&gt;60000,"Medium","Low"))</f>
        <v>Low</v>
      </c>
      <c r="Q341" s="11" t="str">
        <f>PROPER(Sales_Data[[#This Row],[Month Name]])</f>
        <v>Dezembro</v>
      </c>
      <c r="R341" s="11" t="str">
        <f>PROPER(Sales_Data[[#This Row],[Sales Manager]])</f>
        <v>Jane Doe</v>
      </c>
    </row>
    <row r="342" spans="1:18" hidden="1" x14ac:dyDescent="0.25">
      <c r="A342">
        <v>10341</v>
      </c>
      <c r="B342">
        <v>2019</v>
      </c>
      <c r="C342" t="s">
        <v>77</v>
      </c>
      <c r="D342" s="8">
        <v>43806</v>
      </c>
      <c r="E342" t="s">
        <v>25</v>
      </c>
      <c r="F342" t="s">
        <v>24</v>
      </c>
      <c r="G342" t="s">
        <v>15</v>
      </c>
      <c r="H342" s="9">
        <v>16</v>
      </c>
      <c r="I342" s="9">
        <v>314</v>
      </c>
      <c r="J342" s="10">
        <v>157000</v>
      </c>
      <c r="K342" s="10">
        <v>37680</v>
      </c>
      <c r="L342">
        <v>49</v>
      </c>
      <c r="M342" s="8">
        <v>43739</v>
      </c>
      <c r="N342" s="23">
        <v>7.9084892090679605E-4</v>
      </c>
      <c r="O342" s="10" t="str">
        <f>IF(Sales_Data[[#This Row],[Total Profit]]&gt;0,"Profitable","Loss")</f>
        <v>Profitable</v>
      </c>
      <c r="P342" s="10" t="str">
        <f>IF(Sales_Data[[#This Row],[Total Profit]]&gt;100000,"High Value",IF(Sales_Data[[#This Row],[Total Profit]]&gt;60000,"Medium","Low"))</f>
        <v>Low</v>
      </c>
      <c r="Q342" s="11" t="str">
        <f>PROPER(Sales_Data[[#This Row],[Month Name]])</f>
        <v>Dezembro</v>
      </c>
      <c r="R342" s="11" t="str">
        <f>PROPER(Sales_Data[[#This Row],[Sales Manager]])</f>
        <v>Liam Lee</v>
      </c>
    </row>
    <row r="343" spans="1:18" hidden="1" x14ac:dyDescent="0.25">
      <c r="A343">
        <v>10342</v>
      </c>
      <c r="B343">
        <v>2019</v>
      </c>
      <c r="C343" t="s">
        <v>77</v>
      </c>
      <c r="D343" s="8">
        <v>43807</v>
      </c>
      <c r="E343" t="s">
        <v>19</v>
      </c>
      <c r="F343" t="s">
        <v>18</v>
      </c>
      <c r="G343" t="s">
        <v>17</v>
      </c>
      <c r="H343" s="9">
        <v>24</v>
      </c>
      <c r="I343" s="9">
        <v>466</v>
      </c>
      <c r="J343" s="10">
        <v>116500</v>
      </c>
      <c r="K343" s="10">
        <v>51260</v>
      </c>
      <c r="L343">
        <v>50</v>
      </c>
      <c r="M343" s="8">
        <v>43739</v>
      </c>
      <c r="N343" s="23">
        <v>5.8684012283848302E-4</v>
      </c>
      <c r="O343" s="10" t="str">
        <f>IF(Sales_Data[[#This Row],[Total Profit]]&gt;0,"Profitable","Loss")</f>
        <v>Profitable</v>
      </c>
      <c r="P343" s="10" t="str">
        <f>IF(Sales_Data[[#This Row],[Total Profit]]&gt;100000,"High Value",IF(Sales_Data[[#This Row],[Total Profit]]&gt;60000,"Medium","Low"))</f>
        <v>Low</v>
      </c>
      <c r="Q343" s="11" t="str">
        <f>PROPER(Sales_Data[[#This Row],[Month Name]])</f>
        <v>Dezembro</v>
      </c>
      <c r="R343" s="11" t="str">
        <f>PROPER(Sales_Data[[#This Row],[Sales Manager]])</f>
        <v>Jane Doe</v>
      </c>
    </row>
    <row r="344" spans="1:18" hidden="1" x14ac:dyDescent="0.25">
      <c r="A344">
        <v>10343</v>
      </c>
      <c r="B344">
        <v>2019</v>
      </c>
      <c r="C344" t="s">
        <v>77</v>
      </c>
      <c r="D344" s="8">
        <v>43808</v>
      </c>
      <c r="E344" t="s">
        <v>14</v>
      </c>
      <c r="F344" t="s">
        <v>21</v>
      </c>
      <c r="G344" t="s">
        <v>20</v>
      </c>
      <c r="H344" s="9">
        <v>18</v>
      </c>
      <c r="I344" s="9">
        <v>249</v>
      </c>
      <c r="J344" s="10">
        <v>211650</v>
      </c>
      <c r="K344" s="10">
        <v>71961</v>
      </c>
      <c r="L344">
        <v>50</v>
      </c>
      <c r="M344" s="8">
        <v>43739</v>
      </c>
      <c r="N344" s="23">
        <v>1.06613486694219E-3</v>
      </c>
      <c r="O344" s="10" t="str">
        <f>IF(Sales_Data[[#This Row],[Total Profit]]&gt;0,"Profitable","Loss")</f>
        <v>Profitable</v>
      </c>
      <c r="P344" s="10" t="str">
        <f>IF(Sales_Data[[#This Row],[Total Profit]]&gt;100000,"High Value",IF(Sales_Data[[#This Row],[Total Profit]]&gt;60000,"Medium","Low"))</f>
        <v>Medium</v>
      </c>
      <c r="Q344" s="11" t="str">
        <f>PROPER(Sales_Data[[#This Row],[Month Name]])</f>
        <v>Dezembro</v>
      </c>
      <c r="R344" s="11" t="str">
        <f>PROPER(Sales_Data[[#This Row],[Sales Manager]])</f>
        <v>John Smith</v>
      </c>
    </row>
    <row r="345" spans="1:18" hidden="1" x14ac:dyDescent="0.25">
      <c r="A345">
        <v>10344</v>
      </c>
      <c r="B345">
        <v>2019</v>
      </c>
      <c r="C345" t="s">
        <v>77</v>
      </c>
      <c r="D345" s="8">
        <v>43809</v>
      </c>
      <c r="E345" t="s">
        <v>22</v>
      </c>
      <c r="F345" t="s">
        <v>16</v>
      </c>
      <c r="G345" t="s">
        <v>15</v>
      </c>
      <c r="H345" s="9">
        <v>2</v>
      </c>
      <c r="I345" s="9">
        <v>23</v>
      </c>
      <c r="J345" s="10">
        <v>11500</v>
      </c>
      <c r="K345" s="10">
        <v>4255</v>
      </c>
      <c r="L345">
        <v>50</v>
      </c>
      <c r="M345" s="8">
        <v>43739</v>
      </c>
      <c r="N345" s="23">
        <v>5.7928424142854497E-5</v>
      </c>
      <c r="O345" s="10" t="str">
        <f>IF(Sales_Data[[#This Row],[Total Profit]]&gt;0,"Profitable","Loss")</f>
        <v>Profitable</v>
      </c>
      <c r="P345" s="10" t="str">
        <f>IF(Sales_Data[[#This Row],[Total Profit]]&gt;100000,"High Value",IF(Sales_Data[[#This Row],[Total Profit]]&gt;60000,"Medium","Low"))</f>
        <v>Low</v>
      </c>
      <c r="Q345" s="11" t="str">
        <f>PROPER(Sales_Data[[#This Row],[Month Name]])</f>
        <v>Dezembro</v>
      </c>
      <c r="R345" s="11" t="str">
        <f>PROPER(Sales_Data[[#This Row],[Sales Manager]])</f>
        <v>James Brown</v>
      </c>
    </row>
    <row r="346" spans="1:18" hidden="1" x14ac:dyDescent="0.25">
      <c r="A346">
        <v>10345</v>
      </c>
      <c r="B346">
        <v>2019</v>
      </c>
      <c r="C346" t="s">
        <v>77</v>
      </c>
      <c r="D346" s="8">
        <v>43810</v>
      </c>
      <c r="E346" t="s">
        <v>19</v>
      </c>
      <c r="F346" t="s">
        <v>18</v>
      </c>
      <c r="G346" t="s">
        <v>17</v>
      </c>
      <c r="H346" s="9">
        <v>10</v>
      </c>
      <c r="I346" s="9">
        <v>263</v>
      </c>
      <c r="J346" s="10">
        <v>65750</v>
      </c>
      <c r="K346" s="10">
        <v>25642.5</v>
      </c>
      <c r="L346">
        <v>50</v>
      </c>
      <c r="M346" s="8">
        <v>43739</v>
      </c>
      <c r="N346" s="23">
        <v>3.3119946846892903E-4</v>
      </c>
      <c r="O346" s="10" t="str">
        <f>IF(Sales_Data[[#This Row],[Total Profit]]&gt;0,"Profitable","Loss")</f>
        <v>Profitable</v>
      </c>
      <c r="P346" s="10" t="str">
        <f>IF(Sales_Data[[#This Row],[Total Profit]]&gt;100000,"High Value",IF(Sales_Data[[#This Row],[Total Profit]]&gt;60000,"Medium","Low"))</f>
        <v>Low</v>
      </c>
      <c r="Q346" s="11" t="str">
        <f>PROPER(Sales_Data[[#This Row],[Month Name]])</f>
        <v>Dezembro</v>
      </c>
      <c r="R346" s="11" t="str">
        <f>PROPER(Sales_Data[[#This Row],[Sales Manager]])</f>
        <v>Jane Doe</v>
      </c>
    </row>
    <row r="347" spans="1:18" hidden="1" x14ac:dyDescent="0.25">
      <c r="A347">
        <v>10346</v>
      </c>
      <c r="B347">
        <v>2019</v>
      </c>
      <c r="C347" t="s">
        <v>77</v>
      </c>
      <c r="D347" s="8">
        <v>43811</v>
      </c>
      <c r="E347" t="s">
        <v>14</v>
      </c>
      <c r="F347" t="s">
        <v>21</v>
      </c>
      <c r="G347" t="s">
        <v>20</v>
      </c>
      <c r="H347" s="9">
        <v>10</v>
      </c>
      <c r="I347" s="9">
        <v>141</v>
      </c>
      <c r="J347" s="10">
        <v>119850</v>
      </c>
      <c r="K347" s="10">
        <v>53932.5</v>
      </c>
      <c r="L347">
        <v>50</v>
      </c>
      <c r="M347" s="8">
        <v>43739</v>
      </c>
      <c r="N347" s="23">
        <v>6.0371492465401003E-4</v>
      </c>
      <c r="O347" s="10" t="str">
        <f>IF(Sales_Data[[#This Row],[Total Profit]]&gt;0,"Profitable","Loss")</f>
        <v>Profitable</v>
      </c>
      <c r="P347" s="10" t="str">
        <f>IF(Sales_Data[[#This Row],[Total Profit]]&gt;100000,"High Value",IF(Sales_Data[[#This Row],[Total Profit]]&gt;60000,"Medium","Low"))</f>
        <v>Low</v>
      </c>
      <c r="Q347" s="11" t="str">
        <f>PROPER(Sales_Data[[#This Row],[Month Name]])</f>
        <v>Dezembro</v>
      </c>
      <c r="R347" s="11" t="str">
        <f>PROPER(Sales_Data[[#This Row],[Sales Manager]])</f>
        <v>John Smith</v>
      </c>
    </row>
    <row r="348" spans="1:18" hidden="1" x14ac:dyDescent="0.25">
      <c r="A348">
        <v>10347</v>
      </c>
      <c r="B348">
        <v>2019</v>
      </c>
      <c r="C348" t="s">
        <v>77</v>
      </c>
      <c r="D348" s="8">
        <v>43812</v>
      </c>
      <c r="E348" t="s">
        <v>19</v>
      </c>
      <c r="F348" t="s">
        <v>21</v>
      </c>
      <c r="G348" t="s">
        <v>15</v>
      </c>
      <c r="H348" s="9">
        <v>15</v>
      </c>
      <c r="I348" s="9">
        <v>347</v>
      </c>
      <c r="J348" s="10">
        <v>173500</v>
      </c>
      <c r="K348" s="10">
        <v>69400</v>
      </c>
      <c r="L348">
        <v>50</v>
      </c>
      <c r="M348" s="8">
        <v>43739</v>
      </c>
      <c r="N348" s="23">
        <v>8.7396361641610897E-4</v>
      </c>
      <c r="O348" s="10" t="str">
        <f>IF(Sales_Data[[#This Row],[Total Profit]]&gt;0,"Profitable","Loss")</f>
        <v>Profitable</v>
      </c>
      <c r="P348" s="10" t="str">
        <f>IF(Sales_Data[[#This Row],[Total Profit]]&gt;100000,"High Value",IF(Sales_Data[[#This Row],[Total Profit]]&gt;60000,"Medium","Low"))</f>
        <v>Medium</v>
      </c>
      <c r="Q348" s="11" t="str">
        <f>PROPER(Sales_Data[[#This Row],[Month Name]])</f>
        <v>Dezembro</v>
      </c>
      <c r="R348" s="11" t="str">
        <f>PROPER(Sales_Data[[#This Row],[Sales Manager]])</f>
        <v>John Smith</v>
      </c>
    </row>
    <row r="349" spans="1:18" hidden="1" x14ac:dyDescent="0.25">
      <c r="A349">
        <v>10348</v>
      </c>
      <c r="B349">
        <v>2019</v>
      </c>
      <c r="C349" t="s">
        <v>77</v>
      </c>
      <c r="D349" s="8">
        <v>43813</v>
      </c>
      <c r="E349" t="s">
        <v>25</v>
      </c>
      <c r="F349" t="s">
        <v>21</v>
      </c>
      <c r="G349" t="s">
        <v>15</v>
      </c>
      <c r="H349" s="9">
        <v>15</v>
      </c>
      <c r="I349" s="9">
        <v>486</v>
      </c>
      <c r="J349" s="10">
        <v>243000</v>
      </c>
      <c r="K349" s="10">
        <v>77760</v>
      </c>
      <c r="L349">
        <v>50</v>
      </c>
      <c r="M349" s="8">
        <v>43739</v>
      </c>
      <c r="N349" s="23">
        <v>1.2240527884098799E-3</v>
      </c>
      <c r="O349" s="10" t="str">
        <f>IF(Sales_Data[[#This Row],[Total Profit]]&gt;0,"Profitable","Loss")</f>
        <v>Profitable</v>
      </c>
      <c r="P349" s="10" t="str">
        <f>IF(Sales_Data[[#This Row],[Total Profit]]&gt;100000,"High Value",IF(Sales_Data[[#This Row],[Total Profit]]&gt;60000,"Medium","Low"))</f>
        <v>Medium</v>
      </c>
      <c r="Q349" s="11" t="str">
        <f>PROPER(Sales_Data[[#This Row],[Month Name]])</f>
        <v>Dezembro</v>
      </c>
      <c r="R349" s="11" t="str">
        <f>PROPER(Sales_Data[[#This Row],[Sales Manager]])</f>
        <v>John Smith</v>
      </c>
    </row>
    <row r="350" spans="1:18" hidden="1" x14ac:dyDescent="0.25">
      <c r="A350">
        <v>10349</v>
      </c>
      <c r="B350">
        <v>2019</v>
      </c>
      <c r="C350" t="s">
        <v>77</v>
      </c>
      <c r="D350" s="8">
        <v>43814</v>
      </c>
      <c r="E350" t="s">
        <v>19</v>
      </c>
      <c r="F350" t="s">
        <v>12</v>
      </c>
      <c r="G350" t="s">
        <v>17</v>
      </c>
      <c r="H350" s="9">
        <v>16</v>
      </c>
      <c r="I350" s="9">
        <v>383</v>
      </c>
      <c r="J350" s="10">
        <v>95750</v>
      </c>
      <c r="K350" s="10">
        <v>14362.5</v>
      </c>
      <c r="L350">
        <v>51</v>
      </c>
      <c r="M350" s="8">
        <v>43739</v>
      </c>
      <c r="N350" s="23">
        <v>4.8231709666768E-4</v>
      </c>
      <c r="O350" s="10" t="str">
        <f>IF(Sales_Data[[#This Row],[Total Profit]]&gt;0,"Profitable","Loss")</f>
        <v>Profitable</v>
      </c>
      <c r="P350" s="10" t="str">
        <f>IF(Sales_Data[[#This Row],[Total Profit]]&gt;100000,"High Value",IF(Sales_Data[[#This Row],[Total Profit]]&gt;60000,"Medium","Low"))</f>
        <v>Low</v>
      </c>
      <c r="Q350" s="11" t="str">
        <f>PROPER(Sales_Data[[#This Row],[Month Name]])</f>
        <v>Dezembro</v>
      </c>
      <c r="R350" s="11" t="str">
        <f>PROPER(Sales_Data[[#This Row],[Sales Manager]])</f>
        <v>Emily White</v>
      </c>
    </row>
    <row r="351" spans="1:18" hidden="1" x14ac:dyDescent="0.25">
      <c r="A351">
        <v>10350</v>
      </c>
      <c r="B351">
        <v>2019</v>
      </c>
      <c r="C351" t="s">
        <v>77</v>
      </c>
      <c r="D351" s="8">
        <v>43815</v>
      </c>
      <c r="E351" t="s">
        <v>14</v>
      </c>
      <c r="F351" t="s">
        <v>18</v>
      </c>
      <c r="G351" t="s">
        <v>23</v>
      </c>
      <c r="H351" s="9">
        <v>6</v>
      </c>
      <c r="I351" s="9">
        <v>324</v>
      </c>
      <c r="J351" s="10">
        <v>113400</v>
      </c>
      <c r="K351" s="10">
        <v>26082</v>
      </c>
      <c r="L351">
        <v>51</v>
      </c>
      <c r="M351" s="8">
        <v>43739</v>
      </c>
      <c r="N351" s="23">
        <v>5.7122463459127802E-4</v>
      </c>
      <c r="O351" s="10" t="str">
        <f>IF(Sales_Data[[#This Row],[Total Profit]]&gt;0,"Profitable","Loss")</f>
        <v>Profitable</v>
      </c>
      <c r="P351" s="10" t="str">
        <f>IF(Sales_Data[[#This Row],[Total Profit]]&gt;100000,"High Value",IF(Sales_Data[[#This Row],[Total Profit]]&gt;60000,"Medium","Low"))</f>
        <v>Low</v>
      </c>
      <c r="Q351" s="11" t="str">
        <f>PROPER(Sales_Data[[#This Row],[Month Name]])</f>
        <v>Dezembro</v>
      </c>
      <c r="R351" s="11" t="str">
        <f>PROPER(Sales_Data[[#This Row],[Sales Manager]])</f>
        <v>Jane Doe</v>
      </c>
    </row>
    <row r="352" spans="1:18" hidden="1" x14ac:dyDescent="0.25">
      <c r="A352">
        <v>10351</v>
      </c>
      <c r="B352">
        <v>2019</v>
      </c>
      <c r="C352" t="s">
        <v>77</v>
      </c>
      <c r="D352" s="8">
        <v>43816</v>
      </c>
      <c r="E352" t="s">
        <v>11</v>
      </c>
      <c r="F352" t="s">
        <v>18</v>
      </c>
      <c r="G352" t="s">
        <v>13</v>
      </c>
      <c r="H352" s="9">
        <v>3</v>
      </c>
      <c r="I352" s="9">
        <v>269</v>
      </c>
      <c r="J352" s="10">
        <v>201750</v>
      </c>
      <c r="K352" s="10">
        <v>54472.5</v>
      </c>
      <c r="L352">
        <v>51</v>
      </c>
      <c r="M352" s="8">
        <v>43739</v>
      </c>
      <c r="N352" s="23">
        <v>1.0162660496366E-3</v>
      </c>
      <c r="O352" s="10" t="str">
        <f>IF(Sales_Data[[#This Row],[Total Profit]]&gt;0,"Profitable","Loss")</f>
        <v>Profitable</v>
      </c>
      <c r="P352" s="10" t="str">
        <f>IF(Sales_Data[[#This Row],[Total Profit]]&gt;100000,"High Value",IF(Sales_Data[[#This Row],[Total Profit]]&gt;60000,"Medium","Low"))</f>
        <v>Low</v>
      </c>
      <c r="Q352" s="11" t="str">
        <f>PROPER(Sales_Data[[#This Row],[Month Name]])</f>
        <v>Dezembro</v>
      </c>
      <c r="R352" s="11" t="str">
        <f>PROPER(Sales_Data[[#This Row],[Sales Manager]])</f>
        <v>Jane Doe</v>
      </c>
    </row>
    <row r="353" spans="1:18" hidden="1" x14ac:dyDescent="0.25">
      <c r="A353">
        <v>10352</v>
      </c>
      <c r="B353">
        <v>2019</v>
      </c>
      <c r="C353" t="s">
        <v>77</v>
      </c>
      <c r="D353" s="8">
        <v>43817</v>
      </c>
      <c r="E353" t="s">
        <v>25</v>
      </c>
      <c r="F353" t="s">
        <v>21</v>
      </c>
      <c r="G353" t="s">
        <v>15</v>
      </c>
      <c r="H353" s="9">
        <v>3</v>
      </c>
      <c r="I353" s="9">
        <v>235</v>
      </c>
      <c r="J353" s="10">
        <v>117500</v>
      </c>
      <c r="K353" s="10">
        <v>16450</v>
      </c>
      <c r="L353">
        <v>51</v>
      </c>
      <c r="M353" s="8">
        <v>43739</v>
      </c>
      <c r="N353" s="23">
        <v>5.9187737711177398E-4</v>
      </c>
      <c r="O353" s="10" t="str">
        <f>IF(Sales_Data[[#This Row],[Total Profit]]&gt;0,"Profitable","Loss")</f>
        <v>Profitable</v>
      </c>
      <c r="P353" s="10" t="str">
        <f>IF(Sales_Data[[#This Row],[Total Profit]]&gt;100000,"High Value",IF(Sales_Data[[#This Row],[Total Profit]]&gt;60000,"Medium","Low"))</f>
        <v>Low</v>
      </c>
      <c r="Q353" s="11" t="str">
        <f>PROPER(Sales_Data[[#This Row],[Month Name]])</f>
        <v>Dezembro</v>
      </c>
      <c r="R353" s="11" t="str">
        <f>PROPER(Sales_Data[[#This Row],[Sales Manager]])</f>
        <v>John Smith</v>
      </c>
    </row>
    <row r="354" spans="1:18" hidden="1" x14ac:dyDescent="0.25">
      <c r="A354">
        <v>10353</v>
      </c>
      <c r="B354">
        <v>2019</v>
      </c>
      <c r="C354" t="s">
        <v>77</v>
      </c>
      <c r="D354" s="8">
        <v>43818</v>
      </c>
      <c r="E354" t="s">
        <v>19</v>
      </c>
      <c r="F354" t="s">
        <v>16</v>
      </c>
      <c r="G354" t="s">
        <v>15</v>
      </c>
      <c r="H354" s="9">
        <v>18</v>
      </c>
      <c r="I354" s="9">
        <v>204</v>
      </c>
      <c r="J354" s="10">
        <v>102000</v>
      </c>
      <c r="K354" s="10">
        <v>27540</v>
      </c>
      <c r="L354">
        <v>51</v>
      </c>
      <c r="M354" s="8">
        <v>43739</v>
      </c>
      <c r="N354" s="23">
        <v>5.1379993587575298E-4</v>
      </c>
      <c r="O354" s="10" t="str">
        <f>IF(Sales_Data[[#This Row],[Total Profit]]&gt;0,"Profitable","Loss")</f>
        <v>Profitable</v>
      </c>
      <c r="P354" s="10" t="str">
        <f>IF(Sales_Data[[#This Row],[Total Profit]]&gt;100000,"High Value",IF(Sales_Data[[#This Row],[Total Profit]]&gt;60000,"Medium","Low"))</f>
        <v>Low</v>
      </c>
      <c r="Q354" s="11" t="str">
        <f>PROPER(Sales_Data[[#This Row],[Month Name]])</f>
        <v>Dezembro</v>
      </c>
      <c r="R354" s="11" t="str">
        <f>PROPER(Sales_Data[[#This Row],[Sales Manager]])</f>
        <v>James Brown</v>
      </c>
    </row>
    <row r="355" spans="1:18" hidden="1" x14ac:dyDescent="0.25">
      <c r="A355">
        <v>10354</v>
      </c>
      <c r="B355">
        <v>2019</v>
      </c>
      <c r="C355" t="s">
        <v>77</v>
      </c>
      <c r="D355" s="8">
        <v>43819</v>
      </c>
      <c r="E355" t="s">
        <v>14</v>
      </c>
      <c r="F355" t="s">
        <v>21</v>
      </c>
      <c r="G355" t="s">
        <v>23</v>
      </c>
      <c r="H355" s="9">
        <v>18</v>
      </c>
      <c r="I355" s="9">
        <v>224</v>
      </c>
      <c r="J355" s="10">
        <v>78400</v>
      </c>
      <c r="K355" s="10">
        <v>16464</v>
      </c>
      <c r="L355">
        <v>51</v>
      </c>
      <c r="M355" s="8">
        <v>43739</v>
      </c>
      <c r="N355" s="23">
        <v>3.9492073502606897E-4</v>
      </c>
      <c r="O355" s="10" t="str">
        <f>IF(Sales_Data[[#This Row],[Total Profit]]&gt;0,"Profitable","Loss")</f>
        <v>Profitable</v>
      </c>
      <c r="P355" s="10" t="str">
        <f>IF(Sales_Data[[#This Row],[Total Profit]]&gt;100000,"High Value",IF(Sales_Data[[#This Row],[Total Profit]]&gt;60000,"Medium","Low"))</f>
        <v>Low</v>
      </c>
      <c r="Q355" s="11" t="str">
        <f>PROPER(Sales_Data[[#This Row],[Month Name]])</f>
        <v>Dezembro</v>
      </c>
      <c r="R355" s="11" t="str">
        <f>PROPER(Sales_Data[[#This Row],[Sales Manager]])</f>
        <v>John Smith</v>
      </c>
    </row>
    <row r="356" spans="1:18" hidden="1" x14ac:dyDescent="0.25">
      <c r="A356">
        <v>10355</v>
      </c>
      <c r="B356">
        <v>2019</v>
      </c>
      <c r="C356" t="s">
        <v>77</v>
      </c>
      <c r="D356" s="8">
        <v>43820</v>
      </c>
      <c r="E356" t="s">
        <v>25</v>
      </c>
      <c r="F356" t="s">
        <v>18</v>
      </c>
      <c r="G356" t="s">
        <v>23</v>
      </c>
      <c r="H356" s="9">
        <v>1</v>
      </c>
      <c r="I356" s="9">
        <v>70</v>
      </c>
      <c r="J356" s="10">
        <v>24500</v>
      </c>
      <c r="K356" s="10">
        <v>10780</v>
      </c>
      <c r="L356">
        <v>51</v>
      </c>
      <c r="M356" s="8">
        <v>43739</v>
      </c>
      <c r="N356" s="23">
        <v>1.2341272969564699E-4</v>
      </c>
      <c r="O356" s="10" t="str">
        <f>IF(Sales_Data[[#This Row],[Total Profit]]&gt;0,"Profitable","Loss")</f>
        <v>Profitable</v>
      </c>
      <c r="P356" s="10" t="str">
        <f>IF(Sales_Data[[#This Row],[Total Profit]]&gt;100000,"High Value",IF(Sales_Data[[#This Row],[Total Profit]]&gt;60000,"Medium","Low"))</f>
        <v>Low</v>
      </c>
      <c r="Q356" s="11" t="str">
        <f>PROPER(Sales_Data[[#This Row],[Month Name]])</f>
        <v>Dezembro</v>
      </c>
      <c r="R356" s="11" t="str">
        <f>PROPER(Sales_Data[[#This Row],[Sales Manager]])</f>
        <v>Jane Doe</v>
      </c>
    </row>
    <row r="357" spans="1:18" hidden="1" x14ac:dyDescent="0.25">
      <c r="A357">
        <v>10356</v>
      </c>
      <c r="B357">
        <v>2019</v>
      </c>
      <c r="C357" t="s">
        <v>77</v>
      </c>
      <c r="D357" s="8">
        <v>43821</v>
      </c>
      <c r="E357" t="s">
        <v>11</v>
      </c>
      <c r="F357" t="s">
        <v>21</v>
      </c>
      <c r="G357" t="s">
        <v>23</v>
      </c>
      <c r="H357" s="9">
        <v>42</v>
      </c>
      <c r="I357" s="9">
        <v>426</v>
      </c>
      <c r="J357" s="10">
        <v>149100</v>
      </c>
      <c r="K357" s="10">
        <v>47712</v>
      </c>
      <c r="L357">
        <v>52</v>
      </c>
      <c r="M357" s="8">
        <v>43739</v>
      </c>
      <c r="N357" s="23">
        <v>7.5105461214779201E-4</v>
      </c>
      <c r="O357" s="10" t="str">
        <f>IF(Sales_Data[[#This Row],[Total Profit]]&gt;0,"Profitable","Loss")</f>
        <v>Profitable</v>
      </c>
      <c r="P357" s="10" t="str">
        <f>IF(Sales_Data[[#This Row],[Total Profit]]&gt;100000,"High Value",IF(Sales_Data[[#This Row],[Total Profit]]&gt;60000,"Medium","Low"))</f>
        <v>Low</v>
      </c>
      <c r="Q357" s="11" t="str">
        <f>PROPER(Sales_Data[[#This Row],[Month Name]])</f>
        <v>Dezembro</v>
      </c>
      <c r="R357" s="11" t="str">
        <f>PROPER(Sales_Data[[#This Row],[Sales Manager]])</f>
        <v>John Smith</v>
      </c>
    </row>
    <row r="358" spans="1:18" hidden="1" x14ac:dyDescent="0.25">
      <c r="A358">
        <v>10357</v>
      </c>
      <c r="B358">
        <v>2019</v>
      </c>
      <c r="C358" t="s">
        <v>77</v>
      </c>
      <c r="D358" s="8">
        <v>43822</v>
      </c>
      <c r="E358" t="s">
        <v>22</v>
      </c>
      <c r="F358" t="s">
        <v>24</v>
      </c>
      <c r="G358" t="s">
        <v>20</v>
      </c>
      <c r="H358" s="9">
        <v>3</v>
      </c>
      <c r="I358" s="9">
        <v>223</v>
      </c>
      <c r="J358" s="10">
        <v>189550</v>
      </c>
      <c r="K358" s="10">
        <v>79611</v>
      </c>
      <c r="L358">
        <v>52</v>
      </c>
      <c r="M358" s="8">
        <v>43739</v>
      </c>
      <c r="N358" s="23">
        <v>9.5481154750244102E-4</v>
      </c>
      <c r="O358" s="10" t="str">
        <f>IF(Sales_Data[[#This Row],[Total Profit]]&gt;0,"Profitable","Loss")</f>
        <v>Profitable</v>
      </c>
      <c r="P358" s="10" t="str">
        <f>IF(Sales_Data[[#This Row],[Total Profit]]&gt;100000,"High Value",IF(Sales_Data[[#This Row],[Total Profit]]&gt;60000,"Medium","Low"))</f>
        <v>Medium</v>
      </c>
      <c r="Q358" s="11" t="str">
        <f>PROPER(Sales_Data[[#This Row],[Month Name]])</f>
        <v>Dezembro</v>
      </c>
      <c r="R358" s="11" t="str">
        <f>PROPER(Sales_Data[[#This Row],[Sales Manager]])</f>
        <v>Liam Lee</v>
      </c>
    </row>
    <row r="359" spans="1:18" hidden="1" x14ac:dyDescent="0.25">
      <c r="A359">
        <v>10358</v>
      </c>
      <c r="B359">
        <v>2019</v>
      </c>
      <c r="C359" t="s">
        <v>77</v>
      </c>
      <c r="D359" s="8">
        <v>43823</v>
      </c>
      <c r="E359" t="s">
        <v>14</v>
      </c>
      <c r="F359" t="s">
        <v>21</v>
      </c>
      <c r="G359" t="s">
        <v>13</v>
      </c>
      <c r="H359" s="9">
        <v>24</v>
      </c>
      <c r="I359" s="9">
        <v>440</v>
      </c>
      <c r="J359" s="10">
        <v>330000</v>
      </c>
      <c r="K359" s="10">
        <v>75900</v>
      </c>
      <c r="L359">
        <v>52</v>
      </c>
      <c r="M359" s="8">
        <v>43739</v>
      </c>
      <c r="N359" s="23">
        <v>1.6622939101862599E-3</v>
      </c>
      <c r="O359" s="10" t="str">
        <f>IF(Sales_Data[[#This Row],[Total Profit]]&gt;0,"Profitable","Loss")</f>
        <v>Profitable</v>
      </c>
      <c r="P359" s="10" t="str">
        <f>IF(Sales_Data[[#This Row],[Total Profit]]&gt;100000,"High Value",IF(Sales_Data[[#This Row],[Total Profit]]&gt;60000,"Medium","Low"))</f>
        <v>Medium</v>
      </c>
      <c r="Q359" s="11" t="str">
        <f>PROPER(Sales_Data[[#This Row],[Month Name]])</f>
        <v>Dezembro</v>
      </c>
      <c r="R359" s="11" t="str">
        <f>PROPER(Sales_Data[[#This Row],[Sales Manager]])</f>
        <v>John Smith</v>
      </c>
    </row>
    <row r="360" spans="1:18" hidden="1" x14ac:dyDescent="0.25">
      <c r="A360">
        <v>10359</v>
      </c>
      <c r="B360">
        <v>2019</v>
      </c>
      <c r="C360" t="s">
        <v>77</v>
      </c>
      <c r="D360" s="8">
        <v>43824</v>
      </c>
      <c r="E360" t="s">
        <v>11</v>
      </c>
      <c r="F360" t="s">
        <v>12</v>
      </c>
      <c r="G360" t="s">
        <v>13</v>
      </c>
      <c r="H360" s="9">
        <v>25</v>
      </c>
      <c r="I360" s="9">
        <v>401</v>
      </c>
      <c r="J360" s="10">
        <v>300750</v>
      </c>
      <c r="K360" s="10">
        <v>57142.5</v>
      </c>
      <c r="L360">
        <v>52</v>
      </c>
      <c r="M360" s="8">
        <v>43739</v>
      </c>
      <c r="N360" s="23">
        <v>1.5149542226924799E-3</v>
      </c>
      <c r="O360" s="10" t="str">
        <f>IF(Sales_Data[[#This Row],[Total Profit]]&gt;0,"Profitable","Loss")</f>
        <v>Profitable</v>
      </c>
      <c r="P360" s="10" t="str">
        <f>IF(Sales_Data[[#This Row],[Total Profit]]&gt;100000,"High Value",IF(Sales_Data[[#This Row],[Total Profit]]&gt;60000,"Medium","Low"))</f>
        <v>Low</v>
      </c>
      <c r="Q360" s="11" t="str">
        <f>PROPER(Sales_Data[[#This Row],[Month Name]])</f>
        <v>Dezembro</v>
      </c>
      <c r="R360" s="11" t="str">
        <f>PROPER(Sales_Data[[#This Row],[Sales Manager]])</f>
        <v>Emily White</v>
      </c>
    </row>
    <row r="361" spans="1:18" hidden="1" x14ac:dyDescent="0.25">
      <c r="A361">
        <v>10360</v>
      </c>
      <c r="B361">
        <v>2019</v>
      </c>
      <c r="C361" t="s">
        <v>77</v>
      </c>
      <c r="D361" s="8">
        <v>43825</v>
      </c>
      <c r="E361" t="s">
        <v>22</v>
      </c>
      <c r="F361" t="s">
        <v>18</v>
      </c>
      <c r="G361" t="s">
        <v>23</v>
      </c>
      <c r="H361" s="9">
        <v>21</v>
      </c>
      <c r="I361" s="9">
        <v>273</v>
      </c>
      <c r="J361" s="10">
        <v>95550</v>
      </c>
      <c r="K361" s="10">
        <v>34398</v>
      </c>
      <c r="L361">
        <v>52</v>
      </c>
      <c r="M361" s="8">
        <v>43739</v>
      </c>
      <c r="N361" s="23">
        <v>4.8130964581302201E-4</v>
      </c>
      <c r="O361" s="10" t="str">
        <f>IF(Sales_Data[[#This Row],[Total Profit]]&gt;0,"Profitable","Loss")</f>
        <v>Profitable</v>
      </c>
      <c r="P361" s="10" t="str">
        <f>IF(Sales_Data[[#This Row],[Total Profit]]&gt;100000,"High Value",IF(Sales_Data[[#This Row],[Total Profit]]&gt;60000,"Medium","Low"))</f>
        <v>Low</v>
      </c>
      <c r="Q361" s="11" t="str">
        <f>PROPER(Sales_Data[[#This Row],[Month Name]])</f>
        <v>Dezembro</v>
      </c>
      <c r="R361" s="11" t="str">
        <f>PROPER(Sales_Data[[#This Row],[Sales Manager]])</f>
        <v>Jane Doe</v>
      </c>
    </row>
    <row r="362" spans="1:18" hidden="1" x14ac:dyDescent="0.25">
      <c r="A362">
        <v>10361</v>
      </c>
      <c r="B362">
        <v>2019</v>
      </c>
      <c r="C362" t="s">
        <v>77</v>
      </c>
      <c r="D362" s="8">
        <v>43826</v>
      </c>
      <c r="E362" t="s">
        <v>11</v>
      </c>
      <c r="F362" t="s">
        <v>12</v>
      </c>
      <c r="G362" t="s">
        <v>15</v>
      </c>
      <c r="H362" s="9">
        <v>12</v>
      </c>
      <c r="I362" s="9">
        <v>284</v>
      </c>
      <c r="J362" s="10">
        <v>142000</v>
      </c>
      <c r="K362" s="10">
        <v>58220</v>
      </c>
      <c r="L362">
        <v>52</v>
      </c>
      <c r="M362" s="8">
        <v>43739</v>
      </c>
      <c r="N362" s="23">
        <v>7.1529010680742103E-4</v>
      </c>
      <c r="O362" s="10" t="str">
        <f>IF(Sales_Data[[#This Row],[Total Profit]]&gt;0,"Profitable","Loss")</f>
        <v>Profitable</v>
      </c>
      <c r="P362" s="10" t="str">
        <f>IF(Sales_Data[[#This Row],[Total Profit]]&gt;100000,"High Value",IF(Sales_Data[[#This Row],[Total Profit]]&gt;60000,"Medium","Low"))</f>
        <v>Low</v>
      </c>
      <c r="Q362" s="11" t="str">
        <f>PROPER(Sales_Data[[#This Row],[Month Name]])</f>
        <v>Dezembro</v>
      </c>
      <c r="R362" s="11" t="str">
        <f>PROPER(Sales_Data[[#This Row],[Sales Manager]])</f>
        <v>Emily White</v>
      </c>
    </row>
    <row r="363" spans="1:18" hidden="1" x14ac:dyDescent="0.25">
      <c r="A363">
        <v>10362</v>
      </c>
      <c r="B363">
        <v>2019</v>
      </c>
      <c r="C363" t="s">
        <v>77</v>
      </c>
      <c r="D363" s="8">
        <v>43827</v>
      </c>
      <c r="E363" t="s">
        <v>22</v>
      </c>
      <c r="F363" t="s">
        <v>18</v>
      </c>
      <c r="G363" t="s">
        <v>23</v>
      </c>
      <c r="H363" s="9">
        <v>1</v>
      </c>
      <c r="I363" s="9">
        <v>28</v>
      </c>
      <c r="J363" s="10">
        <v>9800</v>
      </c>
      <c r="K363" s="10">
        <v>2940</v>
      </c>
      <c r="L363">
        <v>52</v>
      </c>
      <c r="M363" s="8">
        <v>43739</v>
      </c>
      <c r="N363" s="23">
        <v>4.9365091878258601E-5</v>
      </c>
      <c r="O363" s="10" t="str">
        <f>IF(Sales_Data[[#This Row],[Total Profit]]&gt;0,"Profitable","Loss")</f>
        <v>Profitable</v>
      </c>
      <c r="P363" s="10" t="str">
        <f>IF(Sales_Data[[#This Row],[Total Profit]]&gt;100000,"High Value",IF(Sales_Data[[#This Row],[Total Profit]]&gt;60000,"Medium","Low"))</f>
        <v>Low</v>
      </c>
      <c r="Q363" s="11" t="str">
        <f>PROPER(Sales_Data[[#This Row],[Month Name]])</f>
        <v>Dezembro</v>
      </c>
      <c r="R363" s="11" t="str">
        <f>PROPER(Sales_Data[[#This Row],[Sales Manager]])</f>
        <v>Jane Doe</v>
      </c>
    </row>
    <row r="364" spans="1:18" hidden="1" x14ac:dyDescent="0.25">
      <c r="A364">
        <v>10363</v>
      </c>
      <c r="B364">
        <v>2019</v>
      </c>
      <c r="C364" t="s">
        <v>77</v>
      </c>
      <c r="D364" s="8">
        <v>43828</v>
      </c>
      <c r="E364" t="s">
        <v>14</v>
      </c>
      <c r="F364" t="s">
        <v>12</v>
      </c>
      <c r="G364" t="s">
        <v>13</v>
      </c>
      <c r="H364" s="9">
        <v>15</v>
      </c>
      <c r="I364" s="9">
        <v>168</v>
      </c>
      <c r="J364" s="10">
        <v>126000</v>
      </c>
      <c r="K364" s="10">
        <v>50400</v>
      </c>
      <c r="L364">
        <v>53</v>
      </c>
      <c r="M364" s="8">
        <v>43739</v>
      </c>
      <c r="N364" s="23">
        <v>6.3469403843475396E-4</v>
      </c>
      <c r="O364" s="10" t="str">
        <f>IF(Sales_Data[[#This Row],[Total Profit]]&gt;0,"Profitable","Loss")</f>
        <v>Profitable</v>
      </c>
      <c r="P364" s="10" t="str">
        <f>IF(Sales_Data[[#This Row],[Total Profit]]&gt;100000,"High Value",IF(Sales_Data[[#This Row],[Total Profit]]&gt;60000,"Medium","Low"))</f>
        <v>Low</v>
      </c>
      <c r="Q364" s="11" t="str">
        <f>PROPER(Sales_Data[[#This Row],[Month Name]])</f>
        <v>Dezembro</v>
      </c>
      <c r="R364" s="11" t="str">
        <f>PROPER(Sales_Data[[#This Row],[Sales Manager]])</f>
        <v>Emily White</v>
      </c>
    </row>
    <row r="365" spans="1:18" hidden="1" x14ac:dyDescent="0.25">
      <c r="A365">
        <v>10364</v>
      </c>
      <c r="B365">
        <v>2019</v>
      </c>
      <c r="C365" t="s">
        <v>77</v>
      </c>
      <c r="D365" s="8">
        <v>43829</v>
      </c>
      <c r="E365" t="s">
        <v>22</v>
      </c>
      <c r="F365" t="s">
        <v>21</v>
      </c>
      <c r="G365" t="s">
        <v>15</v>
      </c>
      <c r="H365" s="9">
        <v>4</v>
      </c>
      <c r="I365" s="9">
        <v>140</v>
      </c>
      <c r="J365" s="10">
        <v>70000</v>
      </c>
      <c r="K365" s="10">
        <v>30100</v>
      </c>
      <c r="L365">
        <v>53</v>
      </c>
      <c r="M365" s="8">
        <v>43739</v>
      </c>
      <c r="N365" s="23">
        <v>3.5260779913041902E-4</v>
      </c>
      <c r="O365" s="10" t="str">
        <f>IF(Sales_Data[[#This Row],[Total Profit]]&gt;0,"Profitable","Loss")</f>
        <v>Profitable</v>
      </c>
      <c r="P365" s="10" t="str">
        <f>IF(Sales_Data[[#This Row],[Total Profit]]&gt;100000,"High Value",IF(Sales_Data[[#This Row],[Total Profit]]&gt;60000,"Medium","Low"))</f>
        <v>Low</v>
      </c>
      <c r="Q365" s="11" t="str">
        <f>PROPER(Sales_Data[[#This Row],[Month Name]])</f>
        <v>Dezembro</v>
      </c>
      <c r="R365" s="11" t="str">
        <f>PROPER(Sales_Data[[#This Row],[Sales Manager]])</f>
        <v>John Smith</v>
      </c>
    </row>
    <row r="366" spans="1:18" hidden="1" x14ac:dyDescent="0.25">
      <c r="A366">
        <v>10365</v>
      </c>
      <c r="B366">
        <v>2019</v>
      </c>
      <c r="C366" t="s">
        <v>77</v>
      </c>
      <c r="D366" s="8">
        <v>43830</v>
      </c>
      <c r="E366" t="s">
        <v>22</v>
      </c>
      <c r="F366" t="s">
        <v>21</v>
      </c>
      <c r="G366" t="s">
        <v>20</v>
      </c>
      <c r="H366" s="9">
        <v>1</v>
      </c>
      <c r="I366" s="9">
        <v>33</v>
      </c>
      <c r="J366" s="10">
        <v>28050</v>
      </c>
      <c r="K366" s="10">
        <v>11220</v>
      </c>
      <c r="L366">
        <v>53</v>
      </c>
      <c r="M366" s="8">
        <v>43739</v>
      </c>
      <c r="N366" s="23">
        <v>1.41294982365832E-4</v>
      </c>
      <c r="O366" s="10" t="str">
        <f>IF(Sales_Data[[#This Row],[Total Profit]]&gt;0,"Profitable","Loss")</f>
        <v>Profitable</v>
      </c>
      <c r="P366" s="10" t="str">
        <f>IF(Sales_Data[[#This Row],[Total Profit]]&gt;100000,"High Value",IF(Sales_Data[[#This Row],[Total Profit]]&gt;60000,"Medium","Low"))</f>
        <v>Low</v>
      </c>
      <c r="Q366" s="11" t="str">
        <f>PROPER(Sales_Data[[#This Row],[Month Name]])</f>
        <v>Dezembro</v>
      </c>
      <c r="R366" s="11" t="str">
        <f>PROPER(Sales_Data[[#This Row],[Sales Manager]])</f>
        <v>John Smith</v>
      </c>
    </row>
    <row r="367" spans="1:18" hidden="1" x14ac:dyDescent="0.25">
      <c r="A367">
        <v>10366</v>
      </c>
      <c r="B367">
        <v>2020</v>
      </c>
      <c r="C367" t="s">
        <v>66</v>
      </c>
      <c r="D367" s="8">
        <v>43831</v>
      </c>
      <c r="E367" t="s">
        <v>22</v>
      </c>
      <c r="F367" t="s">
        <v>16</v>
      </c>
      <c r="G367" t="s">
        <v>15</v>
      </c>
      <c r="H367" s="9">
        <v>9</v>
      </c>
      <c r="I367" s="9">
        <v>132</v>
      </c>
      <c r="J367" s="10">
        <v>66000</v>
      </c>
      <c r="K367" s="10">
        <v>17160</v>
      </c>
      <c r="L367">
        <v>1</v>
      </c>
      <c r="M367" s="8">
        <v>43831</v>
      </c>
      <c r="N367" s="23">
        <v>3.3245878203725201E-4</v>
      </c>
      <c r="O367" s="10" t="str">
        <f>IF(Sales_Data[[#This Row],[Total Profit]]&gt;0,"Profitable","Loss")</f>
        <v>Profitable</v>
      </c>
      <c r="P367" s="10" t="str">
        <f>IF(Sales_Data[[#This Row],[Total Profit]]&gt;100000,"High Value",IF(Sales_Data[[#This Row],[Total Profit]]&gt;60000,"Medium","Low"))</f>
        <v>Low</v>
      </c>
      <c r="Q367" s="11" t="str">
        <f>PROPER(Sales_Data[[#This Row],[Month Name]])</f>
        <v>Janeiro</v>
      </c>
      <c r="R367" s="11" t="str">
        <f>PROPER(Sales_Data[[#This Row],[Sales Manager]])</f>
        <v>James Brown</v>
      </c>
    </row>
    <row r="368" spans="1:18" hidden="1" x14ac:dyDescent="0.25">
      <c r="A368">
        <v>10367</v>
      </c>
      <c r="B368">
        <v>2020</v>
      </c>
      <c r="C368" t="s">
        <v>66</v>
      </c>
      <c r="D368" s="8">
        <v>43832</v>
      </c>
      <c r="E368" t="s">
        <v>22</v>
      </c>
      <c r="F368" t="s">
        <v>24</v>
      </c>
      <c r="G368" t="s">
        <v>15</v>
      </c>
      <c r="H368" s="9">
        <v>12</v>
      </c>
      <c r="I368" s="9">
        <v>349</v>
      </c>
      <c r="J368" s="10">
        <v>174500</v>
      </c>
      <c r="K368" s="10">
        <v>22685</v>
      </c>
      <c r="L368">
        <v>1</v>
      </c>
      <c r="M368" s="8">
        <v>43831</v>
      </c>
      <c r="N368" s="23">
        <v>8.7900087068940101E-4</v>
      </c>
      <c r="O368" s="10" t="str">
        <f>IF(Sales_Data[[#This Row],[Total Profit]]&gt;0,"Profitable","Loss")</f>
        <v>Profitable</v>
      </c>
      <c r="P368" s="10" t="str">
        <f>IF(Sales_Data[[#This Row],[Total Profit]]&gt;100000,"High Value",IF(Sales_Data[[#This Row],[Total Profit]]&gt;60000,"Medium","Low"))</f>
        <v>Low</v>
      </c>
      <c r="Q368" s="11" t="str">
        <f>PROPER(Sales_Data[[#This Row],[Month Name]])</f>
        <v>Janeiro</v>
      </c>
      <c r="R368" s="11" t="str">
        <f>PROPER(Sales_Data[[#This Row],[Sales Manager]])</f>
        <v>Liam Lee</v>
      </c>
    </row>
    <row r="369" spans="1:18" hidden="1" x14ac:dyDescent="0.25">
      <c r="A369">
        <v>10368</v>
      </c>
      <c r="B369">
        <v>2020</v>
      </c>
      <c r="C369" t="s">
        <v>66</v>
      </c>
      <c r="D369" s="8">
        <v>43833</v>
      </c>
      <c r="E369" t="s">
        <v>14</v>
      </c>
      <c r="F369" t="s">
        <v>21</v>
      </c>
      <c r="G369" t="s">
        <v>20</v>
      </c>
      <c r="H369" s="9">
        <v>7</v>
      </c>
      <c r="I369" s="9">
        <v>248</v>
      </c>
      <c r="J369" s="10">
        <v>210800</v>
      </c>
      <c r="K369" s="10">
        <v>35836</v>
      </c>
      <c r="L369">
        <v>1</v>
      </c>
      <c r="M369" s="8">
        <v>43831</v>
      </c>
      <c r="N369" s="23">
        <v>1.06185320080989E-3</v>
      </c>
      <c r="O369" s="10" t="str">
        <f>IF(Sales_Data[[#This Row],[Total Profit]]&gt;0,"Profitable","Loss")</f>
        <v>Profitable</v>
      </c>
      <c r="P369" s="10" t="str">
        <f>IF(Sales_Data[[#This Row],[Total Profit]]&gt;100000,"High Value",IF(Sales_Data[[#This Row],[Total Profit]]&gt;60000,"Medium","Low"))</f>
        <v>Low</v>
      </c>
      <c r="Q369" s="11" t="str">
        <f>PROPER(Sales_Data[[#This Row],[Month Name]])</f>
        <v>Janeiro</v>
      </c>
      <c r="R369" s="11" t="str">
        <f>PROPER(Sales_Data[[#This Row],[Sales Manager]])</f>
        <v>John Smith</v>
      </c>
    </row>
    <row r="370" spans="1:18" hidden="1" x14ac:dyDescent="0.25">
      <c r="A370">
        <v>10369</v>
      </c>
      <c r="B370">
        <v>2020</v>
      </c>
      <c r="C370" t="s">
        <v>66</v>
      </c>
      <c r="D370" s="8">
        <v>43834</v>
      </c>
      <c r="E370" t="s">
        <v>14</v>
      </c>
      <c r="F370" t="s">
        <v>24</v>
      </c>
      <c r="G370" t="s">
        <v>15</v>
      </c>
      <c r="H370" s="9">
        <v>1</v>
      </c>
      <c r="I370" s="9">
        <v>60</v>
      </c>
      <c r="J370" s="10">
        <v>30000</v>
      </c>
      <c r="K370" s="10">
        <v>6900</v>
      </c>
      <c r="L370">
        <v>1</v>
      </c>
      <c r="M370" s="8">
        <v>43831</v>
      </c>
      <c r="N370" s="23">
        <v>1.51117628198751E-4</v>
      </c>
      <c r="O370" s="10" t="str">
        <f>IF(Sales_Data[[#This Row],[Total Profit]]&gt;0,"Profitable","Loss")</f>
        <v>Profitable</v>
      </c>
      <c r="P370" s="10" t="str">
        <f>IF(Sales_Data[[#This Row],[Total Profit]]&gt;100000,"High Value",IF(Sales_Data[[#This Row],[Total Profit]]&gt;60000,"Medium","Low"))</f>
        <v>Low</v>
      </c>
      <c r="Q370" s="11" t="str">
        <f>PROPER(Sales_Data[[#This Row],[Month Name]])</f>
        <v>Janeiro</v>
      </c>
      <c r="R370" s="11" t="str">
        <f>PROPER(Sales_Data[[#This Row],[Sales Manager]])</f>
        <v>Liam Lee</v>
      </c>
    </row>
    <row r="371" spans="1:18" hidden="1" x14ac:dyDescent="0.25">
      <c r="A371">
        <v>10370</v>
      </c>
      <c r="B371">
        <v>2020</v>
      </c>
      <c r="C371" t="s">
        <v>66</v>
      </c>
      <c r="D371" s="8">
        <v>43835</v>
      </c>
      <c r="E371" t="s">
        <v>11</v>
      </c>
      <c r="F371" t="s">
        <v>24</v>
      </c>
      <c r="G371" t="s">
        <v>15</v>
      </c>
      <c r="H371" s="9">
        <v>3</v>
      </c>
      <c r="I371" s="9">
        <v>225</v>
      </c>
      <c r="J371" s="10">
        <v>112500</v>
      </c>
      <c r="K371" s="10">
        <v>11250</v>
      </c>
      <c r="L371">
        <v>2</v>
      </c>
      <c r="M371" s="8">
        <v>43831</v>
      </c>
      <c r="N371" s="23">
        <v>5.6669110574531596E-4</v>
      </c>
      <c r="O371" s="10" t="str">
        <f>IF(Sales_Data[[#This Row],[Total Profit]]&gt;0,"Profitable","Loss")</f>
        <v>Profitable</v>
      </c>
      <c r="P371" s="10" t="str">
        <f>IF(Sales_Data[[#This Row],[Total Profit]]&gt;100000,"High Value",IF(Sales_Data[[#This Row],[Total Profit]]&gt;60000,"Medium","Low"))</f>
        <v>Low</v>
      </c>
      <c r="Q371" s="11" t="str">
        <f>PROPER(Sales_Data[[#This Row],[Month Name]])</f>
        <v>Janeiro</v>
      </c>
      <c r="R371" s="11" t="str">
        <f>PROPER(Sales_Data[[#This Row],[Sales Manager]])</f>
        <v>Liam Lee</v>
      </c>
    </row>
    <row r="372" spans="1:18" hidden="1" x14ac:dyDescent="0.25">
      <c r="A372">
        <v>10371</v>
      </c>
      <c r="B372">
        <v>2020</v>
      </c>
      <c r="C372" t="s">
        <v>66</v>
      </c>
      <c r="D372" s="8">
        <v>43836</v>
      </c>
      <c r="E372" t="s">
        <v>14</v>
      </c>
      <c r="F372" t="s">
        <v>24</v>
      </c>
      <c r="G372" t="s">
        <v>15</v>
      </c>
      <c r="H372" s="9">
        <v>40</v>
      </c>
      <c r="I372" s="9">
        <v>437</v>
      </c>
      <c r="J372" s="10">
        <v>218500</v>
      </c>
      <c r="K372" s="10">
        <v>43700</v>
      </c>
      <c r="L372">
        <v>2</v>
      </c>
      <c r="M372" s="8">
        <v>43831</v>
      </c>
      <c r="N372" s="23">
        <v>1.10064005871424E-3</v>
      </c>
      <c r="O372" s="10" t="str">
        <f>IF(Sales_Data[[#This Row],[Total Profit]]&gt;0,"Profitable","Loss")</f>
        <v>Profitable</v>
      </c>
      <c r="P372" s="10" t="str">
        <f>IF(Sales_Data[[#This Row],[Total Profit]]&gt;100000,"High Value",IF(Sales_Data[[#This Row],[Total Profit]]&gt;60000,"Medium","Low"))</f>
        <v>Low</v>
      </c>
      <c r="Q372" s="11" t="str">
        <f>PROPER(Sales_Data[[#This Row],[Month Name]])</f>
        <v>Janeiro</v>
      </c>
      <c r="R372" s="11" t="str">
        <f>PROPER(Sales_Data[[#This Row],[Sales Manager]])</f>
        <v>Liam Lee</v>
      </c>
    </row>
    <row r="373" spans="1:18" hidden="1" x14ac:dyDescent="0.25">
      <c r="A373">
        <v>10372</v>
      </c>
      <c r="B373">
        <v>2020</v>
      </c>
      <c r="C373" t="s">
        <v>66</v>
      </c>
      <c r="D373" s="8">
        <v>43837</v>
      </c>
      <c r="E373" t="s">
        <v>19</v>
      </c>
      <c r="F373" t="s">
        <v>24</v>
      </c>
      <c r="G373" t="s">
        <v>23</v>
      </c>
      <c r="H373" s="9">
        <v>18</v>
      </c>
      <c r="I373" s="9">
        <v>207</v>
      </c>
      <c r="J373" s="10">
        <v>72450</v>
      </c>
      <c r="K373" s="10">
        <v>26082</v>
      </c>
      <c r="L373">
        <v>2</v>
      </c>
      <c r="M373" s="8">
        <v>43831</v>
      </c>
      <c r="N373" s="23">
        <v>3.6494907209998402E-4</v>
      </c>
      <c r="O373" s="10" t="str">
        <f>IF(Sales_Data[[#This Row],[Total Profit]]&gt;0,"Profitable","Loss")</f>
        <v>Profitable</v>
      </c>
      <c r="P373" s="10" t="str">
        <f>IF(Sales_Data[[#This Row],[Total Profit]]&gt;100000,"High Value",IF(Sales_Data[[#This Row],[Total Profit]]&gt;60000,"Medium","Low"))</f>
        <v>Low</v>
      </c>
      <c r="Q373" s="11" t="str">
        <f>PROPER(Sales_Data[[#This Row],[Month Name]])</f>
        <v>Janeiro</v>
      </c>
      <c r="R373" s="11" t="str">
        <f>PROPER(Sales_Data[[#This Row],[Sales Manager]])</f>
        <v>Liam Lee</v>
      </c>
    </row>
    <row r="374" spans="1:18" hidden="1" x14ac:dyDescent="0.25">
      <c r="A374">
        <v>10373</v>
      </c>
      <c r="B374">
        <v>2020</v>
      </c>
      <c r="C374" t="s">
        <v>66</v>
      </c>
      <c r="D374" s="8">
        <v>43838</v>
      </c>
      <c r="E374" t="s">
        <v>22</v>
      </c>
      <c r="F374" t="s">
        <v>18</v>
      </c>
      <c r="G374" t="s">
        <v>17</v>
      </c>
      <c r="H374" s="9">
        <v>1</v>
      </c>
      <c r="I374" s="9">
        <v>22</v>
      </c>
      <c r="J374" s="10">
        <v>5500</v>
      </c>
      <c r="K374" s="10">
        <v>1540.0000000000002</v>
      </c>
      <c r="L374">
        <v>2</v>
      </c>
      <c r="M374" s="8">
        <v>43831</v>
      </c>
      <c r="N374" s="23">
        <v>2.77048985031043E-5</v>
      </c>
      <c r="O374" s="10" t="str">
        <f>IF(Sales_Data[[#This Row],[Total Profit]]&gt;0,"Profitable","Loss")</f>
        <v>Profitable</v>
      </c>
      <c r="P374" s="10" t="str">
        <f>IF(Sales_Data[[#This Row],[Total Profit]]&gt;100000,"High Value",IF(Sales_Data[[#This Row],[Total Profit]]&gt;60000,"Medium","Low"))</f>
        <v>Low</v>
      </c>
      <c r="Q374" s="11" t="str">
        <f>PROPER(Sales_Data[[#This Row],[Month Name]])</f>
        <v>Janeiro</v>
      </c>
      <c r="R374" s="11" t="str">
        <f>PROPER(Sales_Data[[#This Row],[Sales Manager]])</f>
        <v>Jane Doe</v>
      </c>
    </row>
    <row r="375" spans="1:18" hidden="1" x14ac:dyDescent="0.25">
      <c r="A375">
        <v>10374</v>
      </c>
      <c r="B375">
        <v>2020</v>
      </c>
      <c r="C375" t="s">
        <v>66</v>
      </c>
      <c r="D375" s="8">
        <v>43839</v>
      </c>
      <c r="E375" t="s">
        <v>14</v>
      </c>
      <c r="F375" t="s">
        <v>24</v>
      </c>
      <c r="G375" t="s">
        <v>17</v>
      </c>
      <c r="H375" s="9">
        <v>4</v>
      </c>
      <c r="I375" s="9">
        <v>155</v>
      </c>
      <c r="J375" s="10">
        <v>38750</v>
      </c>
      <c r="K375" s="10">
        <v>13175.000000000002</v>
      </c>
      <c r="L375">
        <v>2</v>
      </c>
      <c r="M375" s="8">
        <v>43831</v>
      </c>
      <c r="N375" s="23">
        <v>1.9519360309005299E-4</v>
      </c>
      <c r="O375" s="10" t="str">
        <f>IF(Sales_Data[[#This Row],[Total Profit]]&gt;0,"Profitable","Loss")</f>
        <v>Profitable</v>
      </c>
      <c r="P375" s="10" t="str">
        <f>IF(Sales_Data[[#This Row],[Total Profit]]&gt;100000,"High Value",IF(Sales_Data[[#This Row],[Total Profit]]&gt;60000,"Medium","Low"))</f>
        <v>Low</v>
      </c>
      <c r="Q375" s="11" t="str">
        <f>PROPER(Sales_Data[[#This Row],[Month Name]])</f>
        <v>Janeiro</v>
      </c>
      <c r="R375" s="11" t="str">
        <f>PROPER(Sales_Data[[#This Row],[Sales Manager]])</f>
        <v>Liam Lee</v>
      </c>
    </row>
    <row r="376" spans="1:18" hidden="1" x14ac:dyDescent="0.25">
      <c r="A376">
        <v>10375</v>
      </c>
      <c r="B376">
        <v>2020</v>
      </c>
      <c r="C376" t="s">
        <v>66</v>
      </c>
      <c r="D376" s="8">
        <v>43840</v>
      </c>
      <c r="E376" t="s">
        <v>14</v>
      </c>
      <c r="F376" t="s">
        <v>12</v>
      </c>
      <c r="G376" t="s">
        <v>15</v>
      </c>
      <c r="H376" s="9">
        <v>35</v>
      </c>
      <c r="I376" s="9">
        <v>442</v>
      </c>
      <c r="J376" s="10">
        <v>221000</v>
      </c>
      <c r="K376" s="10">
        <v>26520</v>
      </c>
      <c r="L376">
        <v>2</v>
      </c>
      <c r="M376" s="8">
        <v>43831</v>
      </c>
      <c r="N376" s="23">
        <v>1.1132331943974601E-3</v>
      </c>
      <c r="O376" s="10" t="str">
        <f>IF(Sales_Data[[#This Row],[Total Profit]]&gt;0,"Profitable","Loss")</f>
        <v>Profitable</v>
      </c>
      <c r="P376" s="10" t="str">
        <f>IF(Sales_Data[[#This Row],[Total Profit]]&gt;100000,"High Value",IF(Sales_Data[[#This Row],[Total Profit]]&gt;60000,"Medium","Low"))</f>
        <v>Low</v>
      </c>
      <c r="Q376" s="11" t="str">
        <f>PROPER(Sales_Data[[#This Row],[Month Name]])</f>
        <v>Janeiro</v>
      </c>
      <c r="R376" s="11" t="str">
        <f>PROPER(Sales_Data[[#This Row],[Sales Manager]])</f>
        <v>Emily White</v>
      </c>
    </row>
    <row r="377" spans="1:18" hidden="1" x14ac:dyDescent="0.25">
      <c r="A377">
        <v>10376</v>
      </c>
      <c r="B377">
        <v>2020</v>
      </c>
      <c r="C377" t="s">
        <v>66</v>
      </c>
      <c r="D377" s="8">
        <v>43841</v>
      </c>
      <c r="E377" t="s">
        <v>22</v>
      </c>
      <c r="F377" t="s">
        <v>16</v>
      </c>
      <c r="G377" t="s">
        <v>23</v>
      </c>
      <c r="H377" s="9">
        <v>33</v>
      </c>
      <c r="I377" s="9">
        <v>417</v>
      </c>
      <c r="J377" s="10">
        <v>145950</v>
      </c>
      <c r="K377" s="10">
        <v>45244.5</v>
      </c>
      <c r="L377">
        <v>2</v>
      </c>
      <c r="M377" s="8">
        <v>43831</v>
      </c>
      <c r="N377" s="23">
        <v>7.3518726118692299E-4</v>
      </c>
      <c r="O377" s="10" t="str">
        <f>IF(Sales_Data[[#This Row],[Total Profit]]&gt;0,"Profitable","Loss")</f>
        <v>Profitable</v>
      </c>
      <c r="P377" s="10" t="str">
        <f>IF(Sales_Data[[#This Row],[Total Profit]]&gt;100000,"High Value",IF(Sales_Data[[#This Row],[Total Profit]]&gt;60000,"Medium","Low"))</f>
        <v>Low</v>
      </c>
      <c r="Q377" s="11" t="str">
        <f>PROPER(Sales_Data[[#This Row],[Month Name]])</f>
        <v>Janeiro</v>
      </c>
      <c r="R377" s="11" t="str">
        <f>PROPER(Sales_Data[[#This Row],[Sales Manager]])</f>
        <v>James Brown</v>
      </c>
    </row>
    <row r="378" spans="1:18" hidden="1" x14ac:dyDescent="0.25">
      <c r="A378">
        <v>10377</v>
      </c>
      <c r="B378">
        <v>2020</v>
      </c>
      <c r="C378" t="s">
        <v>66</v>
      </c>
      <c r="D378" s="8">
        <v>43842</v>
      </c>
      <c r="E378" t="s">
        <v>11</v>
      </c>
      <c r="F378" t="s">
        <v>12</v>
      </c>
      <c r="G378" t="s">
        <v>20</v>
      </c>
      <c r="H378" s="9">
        <v>7</v>
      </c>
      <c r="I378" s="9">
        <v>99</v>
      </c>
      <c r="J378" s="10">
        <v>84150</v>
      </c>
      <c r="K378" s="10">
        <v>19354.5</v>
      </c>
      <c r="L378">
        <v>3</v>
      </c>
      <c r="M378" s="8">
        <v>43831</v>
      </c>
      <c r="N378" s="23">
        <v>4.2388494709749599E-4</v>
      </c>
      <c r="O378" s="10" t="str">
        <f>IF(Sales_Data[[#This Row],[Total Profit]]&gt;0,"Profitable","Loss")</f>
        <v>Profitable</v>
      </c>
      <c r="P378" s="10" t="str">
        <f>IF(Sales_Data[[#This Row],[Total Profit]]&gt;100000,"High Value",IF(Sales_Data[[#This Row],[Total Profit]]&gt;60000,"Medium","Low"))</f>
        <v>Low</v>
      </c>
      <c r="Q378" s="11" t="str">
        <f>PROPER(Sales_Data[[#This Row],[Month Name]])</f>
        <v>Janeiro</v>
      </c>
      <c r="R378" s="11" t="str">
        <f>PROPER(Sales_Data[[#This Row],[Sales Manager]])</f>
        <v>Emily White</v>
      </c>
    </row>
    <row r="379" spans="1:18" hidden="1" x14ac:dyDescent="0.25">
      <c r="A379">
        <v>10378</v>
      </c>
      <c r="B379">
        <v>2020</v>
      </c>
      <c r="C379" t="s">
        <v>66</v>
      </c>
      <c r="D379" s="8">
        <v>43843</v>
      </c>
      <c r="E379" t="s">
        <v>11</v>
      </c>
      <c r="F379" t="s">
        <v>21</v>
      </c>
      <c r="G379" t="s">
        <v>15</v>
      </c>
      <c r="H379" s="9">
        <v>16</v>
      </c>
      <c r="I379" s="9">
        <v>237</v>
      </c>
      <c r="J379" s="10">
        <v>118500</v>
      </c>
      <c r="K379" s="10">
        <v>53325</v>
      </c>
      <c r="L379">
        <v>3</v>
      </c>
      <c r="M379" s="8">
        <v>43831</v>
      </c>
      <c r="N379" s="23">
        <v>5.9691463138506601E-4</v>
      </c>
      <c r="O379" s="10" t="str">
        <f>IF(Sales_Data[[#This Row],[Total Profit]]&gt;0,"Profitable","Loss")</f>
        <v>Profitable</v>
      </c>
      <c r="P379" s="10" t="str">
        <f>IF(Sales_Data[[#This Row],[Total Profit]]&gt;100000,"High Value",IF(Sales_Data[[#This Row],[Total Profit]]&gt;60000,"Medium","Low"))</f>
        <v>Low</v>
      </c>
      <c r="Q379" s="11" t="str">
        <f>PROPER(Sales_Data[[#This Row],[Month Name]])</f>
        <v>Janeiro</v>
      </c>
      <c r="R379" s="11" t="str">
        <f>PROPER(Sales_Data[[#This Row],[Sales Manager]])</f>
        <v>John Smith</v>
      </c>
    </row>
    <row r="380" spans="1:18" hidden="1" x14ac:dyDescent="0.25">
      <c r="A380">
        <v>10379</v>
      </c>
      <c r="B380">
        <v>2020</v>
      </c>
      <c r="C380" t="s">
        <v>66</v>
      </c>
      <c r="D380" s="8">
        <v>43844</v>
      </c>
      <c r="E380" t="s">
        <v>14</v>
      </c>
      <c r="F380" t="s">
        <v>16</v>
      </c>
      <c r="G380" t="s">
        <v>20</v>
      </c>
      <c r="H380" s="9">
        <v>6</v>
      </c>
      <c r="I380" s="9">
        <v>90</v>
      </c>
      <c r="J380" s="10">
        <v>76500</v>
      </c>
      <c r="K380" s="10">
        <v>7650</v>
      </c>
      <c r="L380">
        <v>3</v>
      </c>
      <c r="M380" s="8">
        <v>43831</v>
      </c>
      <c r="N380" s="23">
        <v>3.8534995190681498E-4</v>
      </c>
      <c r="O380" s="10" t="str">
        <f>IF(Sales_Data[[#This Row],[Total Profit]]&gt;0,"Profitable","Loss")</f>
        <v>Profitable</v>
      </c>
      <c r="P380" s="10" t="str">
        <f>IF(Sales_Data[[#This Row],[Total Profit]]&gt;100000,"High Value",IF(Sales_Data[[#This Row],[Total Profit]]&gt;60000,"Medium","Low"))</f>
        <v>Low</v>
      </c>
      <c r="Q380" s="11" t="str">
        <f>PROPER(Sales_Data[[#This Row],[Month Name]])</f>
        <v>Janeiro</v>
      </c>
      <c r="R380" s="11" t="str">
        <f>PROPER(Sales_Data[[#This Row],[Sales Manager]])</f>
        <v>James Brown</v>
      </c>
    </row>
    <row r="381" spans="1:18" hidden="1" x14ac:dyDescent="0.25">
      <c r="A381">
        <v>10380</v>
      </c>
      <c r="B381">
        <v>2020</v>
      </c>
      <c r="C381" t="s">
        <v>66</v>
      </c>
      <c r="D381" s="8">
        <v>43845</v>
      </c>
      <c r="E381" t="s">
        <v>14</v>
      </c>
      <c r="F381" t="s">
        <v>16</v>
      </c>
      <c r="G381" t="s">
        <v>13</v>
      </c>
      <c r="H381" s="9">
        <v>7</v>
      </c>
      <c r="I381" s="9">
        <v>77</v>
      </c>
      <c r="J381" s="10">
        <v>57750</v>
      </c>
      <c r="K381" s="10">
        <v>12705</v>
      </c>
      <c r="L381">
        <v>3</v>
      </c>
      <c r="M381" s="8">
        <v>43831</v>
      </c>
      <c r="N381" s="23">
        <v>2.9090143428259598E-4</v>
      </c>
      <c r="O381" s="10" t="str">
        <f>IF(Sales_Data[[#This Row],[Total Profit]]&gt;0,"Profitable","Loss")</f>
        <v>Profitable</v>
      </c>
      <c r="P381" s="10" t="str">
        <f>IF(Sales_Data[[#This Row],[Total Profit]]&gt;100000,"High Value",IF(Sales_Data[[#This Row],[Total Profit]]&gt;60000,"Medium","Low"))</f>
        <v>Low</v>
      </c>
      <c r="Q381" s="11" t="str">
        <f>PROPER(Sales_Data[[#This Row],[Month Name]])</f>
        <v>Janeiro</v>
      </c>
      <c r="R381" s="11" t="str">
        <f>PROPER(Sales_Data[[#This Row],[Sales Manager]])</f>
        <v>James Brown</v>
      </c>
    </row>
    <row r="382" spans="1:18" hidden="1" x14ac:dyDescent="0.25">
      <c r="A382">
        <v>10381</v>
      </c>
      <c r="B382">
        <v>2020</v>
      </c>
      <c r="C382" t="s">
        <v>66</v>
      </c>
      <c r="D382" s="8">
        <v>43846</v>
      </c>
      <c r="E382" t="s">
        <v>11</v>
      </c>
      <c r="F382" t="s">
        <v>21</v>
      </c>
      <c r="G382" t="s">
        <v>13</v>
      </c>
      <c r="H382" s="9">
        <v>25</v>
      </c>
      <c r="I382" s="9">
        <v>472</v>
      </c>
      <c r="J382" s="10">
        <v>354000</v>
      </c>
      <c r="K382" s="10">
        <v>63720</v>
      </c>
      <c r="L382">
        <v>3</v>
      </c>
      <c r="M382" s="8">
        <v>43831</v>
      </c>
      <c r="N382" s="23">
        <v>1.7831880127452599E-3</v>
      </c>
      <c r="O382" s="10" t="str">
        <f>IF(Sales_Data[[#This Row],[Total Profit]]&gt;0,"Profitable","Loss")</f>
        <v>Profitable</v>
      </c>
      <c r="P382" s="10" t="str">
        <f>IF(Sales_Data[[#This Row],[Total Profit]]&gt;100000,"High Value",IF(Sales_Data[[#This Row],[Total Profit]]&gt;60000,"Medium","Low"))</f>
        <v>Medium</v>
      </c>
      <c r="Q382" s="11" t="str">
        <f>PROPER(Sales_Data[[#This Row],[Month Name]])</f>
        <v>Janeiro</v>
      </c>
      <c r="R382" s="11" t="str">
        <f>PROPER(Sales_Data[[#This Row],[Sales Manager]])</f>
        <v>John Smith</v>
      </c>
    </row>
    <row r="383" spans="1:18" hidden="1" x14ac:dyDescent="0.25">
      <c r="A383">
        <v>10382</v>
      </c>
      <c r="B383">
        <v>2020</v>
      </c>
      <c r="C383" t="s">
        <v>66</v>
      </c>
      <c r="D383" s="8">
        <v>43847</v>
      </c>
      <c r="E383" t="s">
        <v>25</v>
      </c>
      <c r="F383" t="s">
        <v>12</v>
      </c>
      <c r="G383" t="s">
        <v>15</v>
      </c>
      <c r="H383" s="9">
        <v>8</v>
      </c>
      <c r="I383" s="9">
        <v>138</v>
      </c>
      <c r="J383" s="10">
        <v>69000</v>
      </c>
      <c r="K383" s="10">
        <v>13110</v>
      </c>
      <c r="L383">
        <v>3</v>
      </c>
      <c r="M383" s="8">
        <v>43831</v>
      </c>
      <c r="N383" s="23">
        <v>3.4757054485712698E-4</v>
      </c>
      <c r="O383" s="10" t="str">
        <f>IF(Sales_Data[[#This Row],[Total Profit]]&gt;0,"Profitable","Loss")</f>
        <v>Profitable</v>
      </c>
      <c r="P383" s="10" t="str">
        <f>IF(Sales_Data[[#This Row],[Total Profit]]&gt;100000,"High Value",IF(Sales_Data[[#This Row],[Total Profit]]&gt;60000,"Medium","Low"))</f>
        <v>Low</v>
      </c>
      <c r="Q383" s="11" t="str">
        <f>PROPER(Sales_Data[[#This Row],[Month Name]])</f>
        <v>Janeiro</v>
      </c>
      <c r="R383" s="11" t="str">
        <f>PROPER(Sales_Data[[#This Row],[Sales Manager]])</f>
        <v>Emily White</v>
      </c>
    </row>
    <row r="384" spans="1:18" hidden="1" x14ac:dyDescent="0.25">
      <c r="A384">
        <v>10383</v>
      </c>
      <c r="B384">
        <v>2020</v>
      </c>
      <c r="C384" t="s">
        <v>66</v>
      </c>
      <c r="D384" s="8">
        <v>43848</v>
      </c>
      <c r="E384" t="s">
        <v>22</v>
      </c>
      <c r="F384" t="s">
        <v>18</v>
      </c>
      <c r="G384" t="s">
        <v>15</v>
      </c>
      <c r="H384" s="9">
        <v>17</v>
      </c>
      <c r="I384" s="9">
        <v>186</v>
      </c>
      <c r="J384" s="10">
        <v>93000</v>
      </c>
      <c r="K384" s="10">
        <v>19530</v>
      </c>
      <c r="L384">
        <v>3</v>
      </c>
      <c r="M384" s="8">
        <v>43831</v>
      </c>
      <c r="N384" s="23">
        <v>4.6846464741612801E-4</v>
      </c>
      <c r="O384" s="10" t="str">
        <f>IF(Sales_Data[[#This Row],[Total Profit]]&gt;0,"Profitable","Loss")</f>
        <v>Profitable</v>
      </c>
      <c r="P384" s="10" t="str">
        <f>IF(Sales_Data[[#This Row],[Total Profit]]&gt;100000,"High Value",IF(Sales_Data[[#This Row],[Total Profit]]&gt;60000,"Medium","Low"))</f>
        <v>Low</v>
      </c>
      <c r="Q384" s="11" t="str">
        <f>PROPER(Sales_Data[[#This Row],[Month Name]])</f>
        <v>Janeiro</v>
      </c>
      <c r="R384" s="11" t="str">
        <f>PROPER(Sales_Data[[#This Row],[Sales Manager]])</f>
        <v>Jane Doe</v>
      </c>
    </row>
    <row r="385" spans="1:18" hidden="1" x14ac:dyDescent="0.25">
      <c r="A385">
        <v>10384</v>
      </c>
      <c r="B385">
        <v>2020</v>
      </c>
      <c r="C385" t="s">
        <v>66</v>
      </c>
      <c r="D385" s="8">
        <v>43849</v>
      </c>
      <c r="E385" t="s">
        <v>25</v>
      </c>
      <c r="F385" t="s">
        <v>21</v>
      </c>
      <c r="G385" t="s">
        <v>15</v>
      </c>
      <c r="H385" s="9">
        <v>9</v>
      </c>
      <c r="I385" s="9">
        <v>336</v>
      </c>
      <c r="J385" s="10">
        <v>168000</v>
      </c>
      <c r="K385" s="10">
        <v>48720</v>
      </c>
      <c r="L385">
        <v>4</v>
      </c>
      <c r="M385" s="8">
        <v>43831</v>
      </c>
      <c r="N385" s="23">
        <v>8.4625871791300499E-4</v>
      </c>
      <c r="O385" s="10" t="str">
        <f>IF(Sales_Data[[#This Row],[Total Profit]]&gt;0,"Profitable","Loss")</f>
        <v>Profitable</v>
      </c>
      <c r="P385" s="10" t="str">
        <f>IF(Sales_Data[[#This Row],[Total Profit]]&gt;100000,"High Value",IF(Sales_Data[[#This Row],[Total Profit]]&gt;60000,"Medium","Low"))</f>
        <v>Low</v>
      </c>
      <c r="Q385" s="11" t="str">
        <f>PROPER(Sales_Data[[#This Row],[Month Name]])</f>
        <v>Janeiro</v>
      </c>
      <c r="R385" s="11" t="str">
        <f>PROPER(Sales_Data[[#This Row],[Sales Manager]])</f>
        <v>John Smith</v>
      </c>
    </row>
    <row r="386" spans="1:18" hidden="1" x14ac:dyDescent="0.25">
      <c r="A386">
        <v>10385</v>
      </c>
      <c r="B386">
        <v>2020</v>
      </c>
      <c r="C386" t="s">
        <v>66</v>
      </c>
      <c r="D386" s="8">
        <v>43850</v>
      </c>
      <c r="E386" t="s">
        <v>14</v>
      </c>
      <c r="F386" t="s">
        <v>12</v>
      </c>
      <c r="G386" t="s">
        <v>15</v>
      </c>
      <c r="H386" s="9">
        <v>18</v>
      </c>
      <c r="I386" s="9">
        <v>208</v>
      </c>
      <c r="J386" s="10">
        <v>104000</v>
      </c>
      <c r="K386" s="10">
        <v>28080.000000000004</v>
      </c>
      <c r="L386">
        <v>4</v>
      </c>
      <c r="M386" s="8">
        <v>43831</v>
      </c>
      <c r="N386" s="23">
        <v>5.2387444442233597E-4</v>
      </c>
      <c r="O386" s="10" t="str">
        <f>IF(Sales_Data[[#This Row],[Total Profit]]&gt;0,"Profitable","Loss")</f>
        <v>Profitable</v>
      </c>
      <c r="P386" s="10" t="str">
        <f>IF(Sales_Data[[#This Row],[Total Profit]]&gt;100000,"High Value",IF(Sales_Data[[#This Row],[Total Profit]]&gt;60000,"Medium","Low"))</f>
        <v>Low</v>
      </c>
      <c r="Q386" s="11" t="str">
        <f>PROPER(Sales_Data[[#This Row],[Month Name]])</f>
        <v>Janeiro</v>
      </c>
      <c r="R386" s="11" t="str">
        <f>PROPER(Sales_Data[[#This Row],[Sales Manager]])</f>
        <v>Emily White</v>
      </c>
    </row>
    <row r="387" spans="1:18" hidden="1" x14ac:dyDescent="0.25">
      <c r="A387">
        <v>10386</v>
      </c>
      <c r="B387">
        <v>2020</v>
      </c>
      <c r="C387" t="s">
        <v>66</v>
      </c>
      <c r="D387" s="8">
        <v>43851</v>
      </c>
      <c r="E387" t="s">
        <v>22</v>
      </c>
      <c r="F387" t="s">
        <v>18</v>
      </c>
      <c r="G387" t="s">
        <v>20</v>
      </c>
      <c r="H387" s="9">
        <v>32</v>
      </c>
      <c r="I387" s="9">
        <v>342</v>
      </c>
      <c r="J387" s="10">
        <v>290700</v>
      </c>
      <c r="K387" s="10">
        <v>127908</v>
      </c>
      <c r="L387">
        <v>4</v>
      </c>
      <c r="M387" s="8">
        <v>43831</v>
      </c>
      <c r="N387" s="23">
        <v>1.4643298172459E-3</v>
      </c>
      <c r="O387" s="10" t="str">
        <f>IF(Sales_Data[[#This Row],[Total Profit]]&gt;0,"Profitable","Loss")</f>
        <v>Profitable</v>
      </c>
      <c r="P387" s="10" t="str">
        <f>IF(Sales_Data[[#This Row],[Total Profit]]&gt;100000,"High Value",IF(Sales_Data[[#This Row],[Total Profit]]&gt;60000,"Medium","Low"))</f>
        <v>High Value</v>
      </c>
      <c r="Q387" s="11" t="str">
        <f>PROPER(Sales_Data[[#This Row],[Month Name]])</f>
        <v>Janeiro</v>
      </c>
      <c r="R387" s="11" t="str">
        <f>PROPER(Sales_Data[[#This Row],[Sales Manager]])</f>
        <v>Jane Doe</v>
      </c>
    </row>
    <row r="388" spans="1:18" hidden="1" x14ac:dyDescent="0.25">
      <c r="A388">
        <v>10387</v>
      </c>
      <c r="B388">
        <v>2020</v>
      </c>
      <c r="C388" t="s">
        <v>66</v>
      </c>
      <c r="D388" s="8">
        <v>43852</v>
      </c>
      <c r="E388" t="s">
        <v>11</v>
      </c>
      <c r="F388" t="s">
        <v>18</v>
      </c>
      <c r="G388" t="s">
        <v>23</v>
      </c>
      <c r="H388" s="9">
        <v>3</v>
      </c>
      <c r="I388" s="9">
        <v>66</v>
      </c>
      <c r="J388" s="10">
        <v>23100</v>
      </c>
      <c r="K388" s="10">
        <v>3465</v>
      </c>
      <c r="L388">
        <v>4</v>
      </c>
      <c r="M388" s="8">
        <v>43831</v>
      </c>
      <c r="N388" s="23">
        <v>1.16360573713038E-4</v>
      </c>
      <c r="O388" s="10" t="str">
        <f>IF(Sales_Data[[#This Row],[Total Profit]]&gt;0,"Profitable","Loss")</f>
        <v>Profitable</v>
      </c>
      <c r="P388" s="10" t="str">
        <f>IF(Sales_Data[[#This Row],[Total Profit]]&gt;100000,"High Value",IF(Sales_Data[[#This Row],[Total Profit]]&gt;60000,"Medium","Low"))</f>
        <v>Low</v>
      </c>
      <c r="Q388" s="11" t="str">
        <f>PROPER(Sales_Data[[#This Row],[Month Name]])</f>
        <v>Janeiro</v>
      </c>
      <c r="R388" s="11" t="str">
        <f>PROPER(Sales_Data[[#This Row],[Sales Manager]])</f>
        <v>Jane Doe</v>
      </c>
    </row>
    <row r="389" spans="1:18" hidden="1" x14ac:dyDescent="0.25">
      <c r="A389">
        <v>10388</v>
      </c>
      <c r="B389">
        <v>2020</v>
      </c>
      <c r="C389" t="s">
        <v>66</v>
      </c>
      <c r="D389" s="8">
        <v>43853</v>
      </c>
      <c r="E389" t="s">
        <v>14</v>
      </c>
      <c r="F389" t="s">
        <v>21</v>
      </c>
      <c r="G389" t="s">
        <v>17</v>
      </c>
      <c r="H389" s="9">
        <v>9</v>
      </c>
      <c r="I389" s="9">
        <v>220</v>
      </c>
      <c r="J389" s="10">
        <v>55000</v>
      </c>
      <c r="K389" s="10">
        <v>5500</v>
      </c>
      <c r="L389">
        <v>4</v>
      </c>
      <c r="M389" s="8">
        <v>43831</v>
      </c>
      <c r="N389" s="23">
        <v>2.7704898503104301E-4</v>
      </c>
      <c r="O389" s="10" t="str">
        <f>IF(Sales_Data[[#This Row],[Total Profit]]&gt;0,"Profitable","Loss")</f>
        <v>Profitable</v>
      </c>
      <c r="P389" s="10" t="str">
        <f>IF(Sales_Data[[#This Row],[Total Profit]]&gt;100000,"High Value",IF(Sales_Data[[#This Row],[Total Profit]]&gt;60000,"Medium","Low"))</f>
        <v>Low</v>
      </c>
      <c r="Q389" s="11" t="str">
        <f>PROPER(Sales_Data[[#This Row],[Month Name]])</f>
        <v>Janeiro</v>
      </c>
      <c r="R389" s="11" t="str">
        <f>PROPER(Sales_Data[[#This Row],[Sales Manager]])</f>
        <v>John Smith</v>
      </c>
    </row>
    <row r="390" spans="1:18" hidden="1" x14ac:dyDescent="0.25">
      <c r="A390">
        <v>10389</v>
      </c>
      <c r="B390">
        <v>2020</v>
      </c>
      <c r="C390" t="s">
        <v>66</v>
      </c>
      <c r="D390" s="8">
        <v>43854</v>
      </c>
      <c r="E390" t="s">
        <v>22</v>
      </c>
      <c r="F390" t="s">
        <v>12</v>
      </c>
      <c r="G390" t="s">
        <v>13</v>
      </c>
      <c r="H390" s="9">
        <v>7</v>
      </c>
      <c r="I390" s="9">
        <v>87</v>
      </c>
      <c r="J390" s="10">
        <v>65250</v>
      </c>
      <c r="K390" s="10">
        <v>19575</v>
      </c>
      <c r="L390">
        <v>4</v>
      </c>
      <c r="M390" s="8">
        <v>43831</v>
      </c>
      <c r="N390" s="23">
        <v>3.2868084133228301E-4</v>
      </c>
      <c r="O390" s="10" t="str">
        <f>IF(Sales_Data[[#This Row],[Total Profit]]&gt;0,"Profitable","Loss")</f>
        <v>Profitable</v>
      </c>
      <c r="P390" s="10" t="str">
        <f>IF(Sales_Data[[#This Row],[Total Profit]]&gt;100000,"High Value",IF(Sales_Data[[#This Row],[Total Profit]]&gt;60000,"Medium","Low"))</f>
        <v>Low</v>
      </c>
      <c r="Q390" s="11" t="str">
        <f>PROPER(Sales_Data[[#This Row],[Month Name]])</f>
        <v>Janeiro</v>
      </c>
      <c r="R390" s="11" t="str">
        <f>PROPER(Sales_Data[[#This Row],[Sales Manager]])</f>
        <v>Emily White</v>
      </c>
    </row>
    <row r="391" spans="1:18" hidden="1" x14ac:dyDescent="0.25">
      <c r="A391">
        <v>10390</v>
      </c>
      <c r="B391">
        <v>2020</v>
      </c>
      <c r="C391" t="s">
        <v>66</v>
      </c>
      <c r="D391" s="8">
        <v>43855</v>
      </c>
      <c r="E391" t="s">
        <v>25</v>
      </c>
      <c r="F391" t="s">
        <v>24</v>
      </c>
      <c r="G391" t="s">
        <v>20</v>
      </c>
      <c r="H391" s="9">
        <v>1</v>
      </c>
      <c r="I391" s="9">
        <v>42</v>
      </c>
      <c r="J391" s="10">
        <v>35700</v>
      </c>
      <c r="K391" s="10">
        <v>8211</v>
      </c>
      <c r="L391">
        <v>4</v>
      </c>
      <c r="M391" s="8">
        <v>43831</v>
      </c>
      <c r="N391" s="23">
        <v>1.7982997755651401E-4</v>
      </c>
      <c r="O391" s="10" t="str">
        <f>IF(Sales_Data[[#This Row],[Total Profit]]&gt;0,"Profitable","Loss")</f>
        <v>Profitable</v>
      </c>
      <c r="P391" s="10" t="str">
        <f>IF(Sales_Data[[#This Row],[Total Profit]]&gt;100000,"High Value",IF(Sales_Data[[#This Row],[Total Profit]]&gt;60000,"Medium","Low"))</f>
        <v>Low</v>
      </c>
      <c r="Q391" s="11" t="str">
        <f>PROPER(Sales_Data[[#This Row],[Month Name]])</f>
        <v>Janeiro</v>
      </c>
      <c r="R391" s="11" t="str">
        <f>PROPER(Sales_Data[[#This Row],[Sales Manager]])</f>
        <v>Liam Lee</v>
      </c>
    </row>
    <row r="392" spans="1:18" hidden="1" x14ac:dyDescent="0.25">
      <c r="A392">
        <v>10391</v>
      </c>
      <c r="B392">
        <v>2020</v>
      </c>
      <c r="C392" t="s">
        <v>66</v>
      </c>
      <c r="D392" s="8">
        <v>43856</v>
      </c>
      <c r="E392" t="s">
        <v>19</v>
      </c>
      <c r="F392" t="s">
        <v>24</v>
      </c>
      <c r="G392" t="s">
        <v>23</v>
      </c>
      <c r="H392" s="9">
        <v>42</v>
      </c>
      <c r="I392" s="9">
        <v>497</v>
      </c>
      <c r="J392" s="10">
        <v>173950</v>
      </c>
      <c r="K392" s="10">
        <v>76538</v>
      </c>
      <c r="L392">
        <v>5</v>
      </c>
      <c r="M392" s="8">
        <v>43831</v>
      </c>
      <c r="N392" s="23">
        <v>8.7623038083909104E-4</v>
      </c>
      <c r="O392" s="10" t="str">
        <f>IF(Sales_Data[[#This Row],[Total Profit]]&gt;0,"Profitable","Loss")</f>
        <v>Profitable</v>
      </c>
      <c r="P392" s="10" t="str">
        <f>IF(Sales_Data[[#This Row],[Total Profit]]&gt;100000,"High Value",IF(Sales_Data[[#This Row],[Total Profit]]&gt;60000,"Medium","Low"))</f>
        <v>Medium</v>
      </c>
      <c r="Q392" s="11" t="str">
        <f>PROPER(Sales_Data[[#This Row],[Month Name]])</f>
        <v>Janeiro</v>
      </c>
      <c r="R392" s="11" t="str">
        <f>PROPER(Sales_Data[[#This Row],[Sales Manager]])</f>
        <v>Liam Lee</v>
      </c>
    </row>
    <row r="393" spans="1:18" hidden="1" x14ac:dyDescent="0.25">
      <c r="A393">
        <v>10392</v>
      </c>
      <c r="B393">
        <v>2020</v>
      </c>
      <c r="C393" t="s">
        <v>66</v>
      </c>
      <c r="D393" s="8">
        <v>43857</v>
      </c>
      <c r="E393" t="s">
        <v>11</v>
      </c>
      <c r="F393" t="s">
        <v>24</v>
      </c>
      <c r="G393" t="s">
        <v>20</v>
      </c>
      <c r="H393" s="9">
        <v>35</v>
      </c>
      <c r="I393" s="9">
        <v>356</v>
      </c>
      <c r="J393" s="10">
        <v>302600</v>
      </c>
      <c r="K393" s="10">
        <v>133144</v>
      </c>
      <c r="L393">
        <v>5</v>
      </c>
      <c r="M393" s="8">
        <v>43831</v>
      </c>
      <c r="N393" s="23">
        <v>1.5242731430980701E-3</v>
      </c>
      <c r="O393" s="10" t="str">
        <f>IF(Sales_Data[[#This Row],[Total Profit]]&gt;0,"Profitable","Loss")</f>
        <v>Profitable</v>
      </c>
      <c r="P393" s="10" t="str">
        <f>IF(Sales_Data[[#This Row],[Total Profit]]&gt;100000,"High Value",IF(Sales_Data[[#This Row],[Total Profit]]&gt;60000,"Medium","Low"))</f>
        <v>High Value</v>
      </c>
      <c r="Q393" s="11" t="str">
        <f>PROPER(Sales_Data[[#This Row],[Month Name]])</f>
        <v>Janeiro</v>
      </c>
      <c r="R393" s="11" t="str">
        <f>PROPER(Sales_Data[[#This Row],[Sales Manager]])</f>
        <v>Liam Lee</v>
      </c>
    </row>
    <row r="394" spans="1:18" hidden="1" x14ac:dyDescent="0.25">
      <c r="A394">
        <v>10393</v>
      </c>
      <c r="B394">
        <v>2020</v>
      </c>
      <c r="C394" t="s">
        <v>66</v>
      </c>
      <c r="D394" s="8">
        <v>43858</v>
      </c>
      <c r="E394" t="s">
        <v>22</v>
      </c>
      <c r="F394" t="s">
        <v>12</v>
      </c>
      <c r="G394" t="s">
        <v>13</v>
      </c>
      <c r="H394" s="9">
        <v>11</v>
      </c>
      <c r="I394" s="9">
        <v>121</v>
      </c>
      <c r="J394" s="10">
        <v>90750</v>
      </c>
      <c r="K394" s="10">
        <v>16335</v>
      </c>
      <c r="L394">
        <v>5</v>
      </c>
      <c r="M394" s="8">
        <v>43831</v>
      </c>
      <c r="N394" s="23">
        <v>4.5713082530122198E-4</v>
      </c>
      <c r="O394" s="10" t="str">
        <f>IF(Sales_Data[[#This Row],[Total Profit]]&gt;0,"Profitable","Loss")</f>
        <v>Profitable</v>
      </c>
      <c r="P394" s="10" t="str">
        <f>IF(Sales_Data[[#This Row],[Total Profit]]&gt;100000,"High Value",IF(Sales_Data[[#This Row],[Total Profit]]&gt;60000,"Medium","Low"))</f>
        <v>Low</v>
      </c>
      <c r="Q394" s="11" t="str">
        <f>PROPER(Sales_Data[[#This Row],[Month Name]])</f>
        <v>Janeiro</v>
      </c>
      <c r="R394" s="11" t="str">
        <f>PROPER(Sales_Data[[#This Row],[Sales Manager]])</f>
        <v>Emily White</v>
      </c>
    </row>
    <row r="395" spans="1:18" hidden="1" x14ac:dyDescent="0.25">
      <c r="A395">
        <v>10394</v>
      </c>
      <c r="B395">
        <v>2020</v>
      </c>
      <c r="C395" t="s">
        <v>66</v>
      </c>
      <c r="D395" s="8">
        <v>43859</v>
      </c>
      <c r="E395" t="s">
        <v>19</v>
      </c>
      <c r="F395" t="s">
        <v>12</v>
      </c>
      <c r="G395" t="s">
        <v>17</v>
      </c>
      <c r="H395" s="9">
        <v>1</v>
      </c>
      <c r="I395" s="9">
        <v>72</v>
      </c>
      <c r="J395" s="10">
        <v>18000</v>
      </c>
      <c r="K395" s="10">
        <v>7740</v>
      </c>
      <c r="L395">
        <v>5</v>
      </c>
      <c r="M395" s="8">
        <v>43831</v>
      </c>
      <c r="N395" s="23">
        <v>9.0670576919250597E-5</v>
      </c>
      <c r="O395" s="10" t="str">
        <f>IF(Sales_Data[[#This Row],[Total Profit]]&gt;0,"Profitable","Loss")</f>
        <v>Profitable</v>
      </c>
      <c r="P395" s="10" t="str">
        <f>IF(Sales_Data[[#This Row],[Total Profit]]&gt;100000,"High Value",IF(Sales_Data[[#This Row],[Total Profit]]&gt;60000,"Medium","Low"))</f>
        <v>Low</v>
      </c>
      <c r="Q395" s="11" t="str">
        <f>PROPER(Sales_Data[[#This Row],[Month Name]])</f>
        <v>Janeiro</v>
      </c>
      <c r="R395" s="11" t="str">
        <f>PROPER(Sales_Data[[#This Row],[Sales Manager]])</f>
        <v>Emily White</v>
      </c>
    </row>
    <row r="396" spans="1:18" hidden="1" x14ac:dyDescent="0.25">
      <c r="A396">
        <v>10395</v>
      </c>
      <c r="B396">
        <v>2020</v>
      </c>
      <c r="C396" t="s">
        <v>66</v>
      </c>
      <c r="D396" s="8">
        <v>43860</v>
      </c>
      <c r="E396" t="s">
        <v>14</v>
      </c>
      <c r="F396" t="s">
        <v>24</v>
      </c>
      <c r="G396" t="s">
        <v>23</v>
      </c>
      <c r="H396" s="9">
        <v>9</v>
      </c>
      <c r="I396" s="9">
        <v>366</v>
      </c>
      <c r="J396" s="10">
        <v>128100</v>
      </c>
      <c r="K396" s="10">
        <v>48678</v>
      </c>
      <c r="L396">
        <v>5</v>
      </c>
      <c r="M396" s="8">
        <v>43831</v>
      </c>
      <c r="N396" s="23">
        <v>6.4527227240866595E-4</v>
      </c>
      <c r="O396" s="10" t="str">
        <f>IF(Sales_Data[[#This Row],[Total Profit]]&gt;0,"Profitable","Loss")</f>
        <v>Profitable</v>
      </c>
      <c r="P396" s="10" t="str">
        <f>IF(Sales_Data[[#This Row],[Total Profit]]&gt;100000,"High Value",IF(Sales_Data[[#This Row],[Total Profit]]&gt;60000,"Medium","Low"))</f>
        <v>Low</v>
      </c>
      <c r="Q396" s="11" t="str">
        <f>PROPER(Sales_Data[[#This Row],[Month Name]])</f>
        <v>Janeiro</v>
      </c>
      <c r="R396" s="11" t="str">
        <f>PROPER(Sales_Data[[#This Row],[Sales Manager]])</f>
        <v>Liam Lee</v>
      </c>
    </row>
    <row r="397" spans="1:18" hidden="1" x14ac:dyDescent="0.25">
      <c r="A397">
        <v>10396</v>
      </c>
      <c r="B397">
        <v>2020</v>
      </c>
      <c r="C397" t="s">
        <v>66</v>
      </c>
      <c r="D397" s="8">
        <v>43861</v>
      </c>
      <c r="E397" t="s">
        <v>22</v>
      </c>
      <c r="F397" t="s">
        <v>24</v>
      </c>
      <c r="G397" t="s">
        <v>23</v>
      </c>
      <c r="H397" s="9">
        <v>26</v>
      </c>
      <c r="I397" s="9">
        <v>264</v>
      </c>
      <c r="J397" s="10">
        <v>92400</v>
      </c>
      <c r="K397" s="10">
        <v>13860</v>
      </c>
      <c r="L397">
        <v>5</v>
      </c>
      <c r="M397" s="8">
        <v>43831</v>
      </c>
      <c r="N397" s="23">
        <v>4.6544229485215299E-4</v>
      </c>
      <c r="O397" s="10" t="str">
        <f>IF(Sales_Data[[#This Row],[Total Profit]]&gt;0,"Profitable","Loss")</f>
        <v>Profitable</v>
      </c>
      <c r="P397" s="10" t="str">
        <f>IF(Sales_Data[[#This Row],[Total Profit]]&gt;100000,"High Value",IF(Sales_Data[[#This Row],[Total Profit]]&gt;60000,"Medium","Low"))</f>
        <v>Low</v>
      </c>
      <c r="Q397" s="11" t="str">
        <f>PROPER(Sales_Data[[#This Row],[Month Name]])</f>
        <v>Janeiro</v>
      </c>
      <c r="R397" s="11" t="str">
        <f>PROPER(Sales_Data[[#This Row],[Sales Manager]])</f>
        <v>Liam Lee</v>
      </c>
    </row>
    <row r="398" spans="1:18" hidden="1" x14ac:dyDescent="0.25">
      <c r="A398">
        <v>10397</v>
      </c>
      <c r="B398">
        <v>2020</v>
      </c>
      <c r="C398" t="s">
        <v>67</v>
      </c>
      <c r="D398" s="8">
        <v>43862</v>
      </c>
      <c r="E398" t="s">
        <v>22</v>
      </c>
      <c r="F398" t="s">
        <v>16</v>
      </c>
      <c r="G398" t="s">
        <v>17</v>
      </c>
      <c r="H398" s="9">
        <v>5</v>
      </c>
      <c r="I398" s="9">
        <v>167</v>
      </c>
      <c r="J398" s="10">
        <v>41750</v>
      </c>
      <c r="K398" s="10">
        <v>6680</v>
      </c>
      <c r="L398">
        <v>5</v>
      </c>
      <c r="M398" s="8">
        <v>43831</v>
      </c>
      <c r="N398" s="23">
        <v>2.1030536590992799E-4</v>
      </c>
      <c r="O398" s="10" t="str">
        <f>IF(Sales_Data[[#This Row],[Total Profit]]&gt;0,"Profitable","Loss")</f>
        <v>Profitable</v>
      </c>
      <c r="P398" s="10" t="str">
        <f>IF(Sales_Data[[#This Row],[Total Profit]]&gt;100000,"High Value",IF(Sales_Data[[#This Row],[Total Profit]]&gt;60000,"Medium","Low"))</f>
        <v>Low</v>
      </c>
      <c r="Q398" s="11" t="str">
        <f>PROPER(Sales_Data[[#This Row],[Month Name]])</f>
        <v>Fevereiro</v>
      </c>
      <c r="R398" s="11" t="str">
        <f>PROPER(Sales_Data[[#This Row],[Sales Manager]])</f>
        <v>James Brown</v>
      </c>
    </row>
    <row r="399" spans="1:18" hidden="1" x14ac:dyDescent="0.25">
      <c r="A399">
        <v>10398</v>
      </c>
      <c r="B399">
        <v>2020</v>
      </c>
      <c r="C399" t="s">
        <v>67</v>
      </c>
      <c r="D399" s="8">
        <v>43863</v>
      </c>
      <c r="E399" t="s">
        <v>14</v>
      </c>
      <c r="F399" t="s">
        <v>18</v>
      </c>
      <c r="G399" t="s">
        <v>13</v>
      </c>
      <c r="H399" s="9">
        <v>12</v>
      </c>
      <c r="I399" s="9">
        <v>496</v>
      </c>
      <c r="J399" s="10">
        <v>372000</v>
      </c>
      <c r="K399" s="10">
        <v>89280</v>
      </c>
      <c r="L399">
        <v>6</v>
      </c>
      <c r="M399" s="8">
        <v>43831</v>
      </c>
      <c r="N399" s="23">
        <v>1.8738585896645101E-3</v>
      </c>
      <c r="O399" s="10" t="str">
        <f>IF(Sales_Data[[#This Row],[Total Profit]]&gt;0,"Profitable","Loss")</f>
        <v>Profitable</v>
      </c>
      <c r="P399" s="10" t="str">
        <f>IF(Sales_Data[[#This Row],[Total Profit]]&gt;100000,"High Value",IF(Sales_Data[[#This Row],[Total Profit]]&gt;60000,"Medium","Low"))</f>
        <v>Medium</v>
      </c>
      <c r="Q399" s="11" t="str">
        <f>PROPER(Sales_Data[[#This Row],[Month Name]])</f>
        <v>Fevereiro</v>
      </c>
      <c r="R399" s="11" t="str">
        <f>PROPER(Sales_Data[[#This Row],[Sales Manager]])</f>
        <v>Jane Doe</v>
      </c>
    </row>
    <row r="400" spans="1:18" hidden="1" x14ac:dyDescent="0.25">
      <c r="A400">
        <v>10399</v>
      </c>
      <c r="B400">
        <v>2020</v>
      </c>
      <c r="C400" t="s">
        <v>67</v>
      </c>
      <c r="D400" s="8">
        <v>43864</v>
      </c>
      <c r="E400" t="s">
        <v>11</v>
      </c>
      <c r="F400" t="s">
        <v>21</v>
      </c>
      <c r="G400" t="s">
        <v>15</v>
      </c>
      <c r="H400" s="9">
        <v>23</v>
      </c>
      <c r="I400" s="9">
        <v>279</v>
      </c>
      <c r="J400" s="10">
        <v>139500</v>
      </c>
      <c r="K400" s="10">
        <v>19530.000000000004</v>
      </c>
      <c r="L400">
        <v>6</v>
      </c>
      <c r="M400" s="8">
        <v>43831</v>
      </c>
      <c r="N400" s="23">
        <v>7.0269697112419196E-4</v>
      </c>
      <c r="O400" s="10" t="str">
        <f>IF(Sales_Data[[#This Row],[Total Profit]]&gt;0,"Profitable","Loss")</f>
        <v>Profitable</v>
      </c>
      <c r="P400" s="10" t="str">
        <f>IF(Sales_Data[[#This Row],[Total Profit]]&gt;100000,"High Value",IF(Sales_Data[[#This Row],[Total Profit]]&gt;60000,"Medium","Low"))</f>
        <v>Low</v>
      </c>
      <c r="Q400" s="11" t="str">
        <f>PROPER(Sales_Data[[#This Row],[Month Name]])</f>
        <v>Fevereiro</v>
      </c>
      <c r="R400" s="11" t="str">
        <f>PROPER(Sales_Data[[#This Row],[Sales Manager]])</f>
        <v>John Smith</v>
      </c>
    </row>
    <row r="401" spans="1:18" hidden="1" x14ac:dyDescent="0.25">
      <c r="A401">
        <v>10400</v>
      </c>
      <c r="B401">
        <v>2020</v>
      </c>
      <c r="C401" t="s">
        <v>67</v>
      </c>
      <c r="D401" s="8">
        <v>43865</v>
      </c>
      <c r="E401" t="s">
        <v>19</v>
      </c>
      <c r="F401" t="s">
        <v>21</v>
      </c>
      <c r="G401" t="s">
        <v>17</v>
      </c>
      <c r="H401" s="9">
        <v>37</v>
      </c>
      <c r="I401" s="9">
        <v>477</v>
      </c>
      <c r="J401" s="10">
        <v>119250</v>
      </c>
      <c r="K401" s="10">
        <v>50085</v>
      </c>
      <c r="L401">
        <v>6</v>
      </c>
      <c r="M401" s="8">
        <v>43831</v>
      </c>
      <c r="N401" s="23">
        <v>6.0069257209003496E-4</v>
      </c>
      <c r="O401" s="10" t="str">
        <f>IF(Sales_Data[[#This Row],[Total Profit]]&gt;0,"Profitable","Loss")</f>
        <v>Profitable</v>
      </c>
      <c r="P401" s="10" t="str">
        <f>IF(Sales_Data[[#This Row],[Total Profit]]&gt;100000,"High Value",IF(Sales_Data[[#This Row],[Total Profit]]&gt;60000,"Medium","Low"))</f>
        <v>Low</v>
      </c>
      <c r="Q401" s="11" t="str">
        <f>PROPER(Sales_Data[[#This Row],[Month Name]])</f>
        <v>Fevereiro</v>
      </c>
      <c r="R401" s="11" t="str">
        <f>PROPER(Sales_Data[[#This Row],[Sales Manager]])</f>
        <v>John Smith</v>
      </c>
    </row>
    <row r="402" spans="1:18" hidden="1" x14ac:dyDescent="0.25">
      <c r="A402">
        <v>10401</v>
      </c>
      <c r="B402">
        <v>2020</v>
      </c>
      <c r="C402" t="s">
        <v>67</v>
      </c>
      <c r="D402" s="8">
        <v>43866</v>
      </c>
      <c r="E402" t="s">
        <v>22</v>
      </c>
      <c r="F402" t="s">
        <v>24</v>
      </c>
      <c r="G402" t="s">
        <v>17</v>
      </c>
      <c r="H402" s="9">
        <v>7</v>
      </c>
      <c r="I402" s="9">
        <v>306</v>
      </c>
      <c r="J402" s="10">
        <v>76500</v>
      </c>
      <c r="K402" s="10">
        <v>13770</v>
      </c>
      <c r="L402">
        <v>6</v>
      </c>
      <c r="M402" s="8">
        <v>43831</v>
      </c>
      <c r="N402" s="23">
        <v>3.8534995190681498E-4</v>
      </c>
      <c r="O402" s="10" t="str">
        <f>IF(Sales_Data[[#This Row],[Total Profit]]&gt;0,"Profitable","Loss")</f>
        <v>Profitable</v>
      </c>
      <c r="P402" s="10" t="str">
        <f>IF(Sales_Data[[#This Row],[Total Profit]]&gt;100000,"High Value",IF(Sales_Data[[#This Row],[Total Profit]]&gt;60000,"Medium","Low"))</f>
        <v>Low</v>
      </c>
      <c r="Q402" s="11" t="str">
        <f>PROPER(Sales_Data[[#This Row],[Month Name]])</f>
        <v>Fevereiro</v>
      </c>
      <c r="R402" s="11" t="str">
        <f>PROPER(Sales_Data[[#This Row],[Sales Manager]])</f>
        <v>Liam Lee</v>
      </c>
    </row>
    <row r="403" spans="1:18" hidden="1" x14ac:dyDescent="0.25">
      <c r="A403">
        <v>10402</v>
      </c>
      <c r="B403">
        <v>2020</v>
      </c>
      <c r="C403" t="s">
        <v>67</v>
      </c>
      <c r="D403" s="8">
        <v>43867</v>
      </c>
      <c r="E403" t="s">
        <v>19</v>
      </c>
      <c r="F403" t="s">
        <v>21</v>
      </c>
      <c r="G403" t="s">
        <v>15</v>
      </c>
      <c r="H403" s="9">
        <v>46</v>
      </c>
      <c r="I403" s="9">
        <v>492</v>
      </c>
      <c r="J403" s="10">
        <v>246000</v>
      </c>
      <c r="K403" s="10">
        <v>76260</v>
      </c>
      <c r="L403">
        <v>6</v>
      </c>
      <c r="M403" s="8">
        <v>43831</v>
      </c>
      <c r="N403" s="23">
        <v>1.23916455122976E-3</v>
      </c>
      <c r="O403" s="10" t="str">
        <f>IF(Sales_Data[[#This Row],[Total Profit]]&gt;0,"Profitable","Loss")</f>
        <v>Profitable</v>
      </c>
      <c r="P403" s="10" t="str">
        <f>IF(Sales_Data[[#This Row],[Total Profit]]&gt;100000,"High Value",IF(Sales_Data[[#This Row],[Total Profit]]&gt;60000,"Medium","Low"))</f>
        <v>Medium</v>
      </c>
      <c r="Q403" s="11" t="str">
        <f>PROPER(Sales_Data[[#This Row],[Month Name]])</f>
        <v>Fevereiro</v>
      </c>
      <c r="R403" s="11" t="str">
        <f>PROPER(Sales_Data[[#This Row],[Sales Manager]])</f>
        <v>John Smith</v>
      </c>
    </row>
    <row r="404" spans="1:18" hidden="1" x14ac:dyDescent="0.25">
      <c r="A404">
        <v>10403</v>
      </c>
      <c r="B404">
        <v>2020</v>
      </c>
      <c r="C404" t="s">
        <v>67</v>
      </c>
      <c r="D404" s="8">
        <v>43868</v>
      </c>
      <c r="E404" t="s">
        <v>11</v>
      </c>
      <c r="F404" t="s">
        <v>16</v>
      </c>
      <c r="G404" t="s">
        <v>17</v>
      </c>
      <c r="H404" s="9">
        <v>9</v>
      </c>
      <c r="I404" s="9">
        <v>365</v>
      </c>
      <c r="J404" s="10">
        <v>91250</v>
      </c>
      <c r="K404" s="10">
        <v>10037.5</v>
      </c>
      <c r="L404">
        <v>6</v>
      </c>
      <c r="M404" s="8">
        <v>43831</v>
      </c>
      <c r="N404" s="23">
        <v>4.5964945243786697E-4</v>
      </c>
      <c r="O404" s="10" t="str">
        <f>IF(Sales_Data[[#This Row],[Total Profit]]&gt;0,"Profitable","Loss")</f>
        <v>Profitable</v>
      </c>
      <c r="P404" s="10" t="str">
        <f>IF(Sales_Data[[#This Row],[Total Profit]]&gt;100000,"High Value",IF(Sales_Data[[#This Row],[Total Profit]]&gt;60000,"Medium","Low"))</f>
        <v>Low</v>
      </c>
      <c r="Q404" s="11" t="str">
        <f>PROPER(Sales_Data[[#This Row],[Month Name]])</f>
        <v>Fevereiro</v>
      </c>
      <c r="R404" s="11" t="str">
        <f>PROPER(Sales_Data[[#This Row],[Sales Manager]])</f>
        <v>James Brown</v>
      </c>
    </row>
    <row r="405" spans="1:18" hidden="1" x14ac:dyDescent="0.25">
      <c r="A405">
        <v>10404</v>
      </c>
      <c r="B405">
        <v>2020</v>
      </c>
      <c r="C405" t="s">
        <v>67</v>
      </c>
      <c r="D405" s="8">
        <v>43869</v>
      </c>
      <c r="E405" t="s">
        <v>14</v>
      </c>
      <c r="F405" t="s">
        <v>12</v>
      </c>
      <c r="G405" t="s">
        <v>15</v>
      </c>
      <c r="H405" s="9">
        <v>11</v>
      </c>
      <c r="I405" s="9">
        <v>449</v>
      </c>
      <c r="J405" s="10">
        <v>224500</v>
      </c>
      <c r="K405" s="10">
        <v>101025</v>
      </c>
      <c r="L405">
        <v>6</v>
      </c>
      <c r="M405" s="8">
        <v>43831</v>
      </c>
      <c r="N405" s="23">
        <v>1.1308635843539901E-3</v>
      </c>
      <c r="O405" s="10" t="str">
        <f>IF(Sales_Data[[#This Row],[Total Profit]]&gt;0,"Profitable","Loss")</f>
        <v>Profitable</v>
      </c>
      <c r="P405" s="10" t="str">
        <f>IF(Sales_Data[[#This Row],[Total Profit]]&gt;100000,"High Value",IF(Sales_Data[[#This Row],[Total Profit]]&gt;60000,"Medium","Low"))</f>
        <v>High Value</v>
      </c>
      <c r="Q405" s="11" t="str">
        <f>PROPER(Sales_Data[[#This Row],[Month Name]])</f>
        <v>Fevereiro</v>
      </c>
      <c r="R405" s="11" t="str">
        <f>PROPER(Sales_Data[[#This Row],[Sales Manager]])</f>
        <v>Emily White</v>
      </c>
    </row>
    <row r="406" spans="1:18" hidden="1" x14ac:dyDescent="0.25">
      <c r="A406">
        <v>10405</v>
      </c>
      <c r="B406">
        <v>2020</v>
      </c>
      <c r="C406" t="s">
        <v>67</v>
      </c>
      <c r="D406" s="8">
        <v>43870</v>
      </c>
      <c r="E406" t="s">
        <v>22</v>
      </c>
      <c r="F406" t="s">
        <v>24</v>
      </c>
      <c r="G406" t="s">
        <v>13</v>
      </c>
      <c r="H406" s="9">
        <v>3</v>
      </c>
      <c r="I406" s="9">
        <v>41</v>
      </c>
      <c r="J406" s="10">
        <v>30750</v>
      </c>
      <c r="K406" s="10">
        <v>7380</v>
      </c>
      <c r="L406">
        <v>7</v>
      </c>
      <c r="M406" s="8">
        <v>43831</v>
      </c>
      <c r="N406" s="23">
        <v>1.5489556890372E-4</v>
      </c>
      <c r="O406" s="10" t="str">
        <f>IF(Sales_Data[[#This Row],[Total Profit]]&gt;0,"Profitable","Loss")</f>
        <v>Profitable</v>
      </c>
      <c r="P406" s="10" t="str">
        <f>IF(Sales_Data[[#This Row],[Total Profit]]&gt;100000,"High Value",IF(Sales_Data[[#This Row],[Total Profit]]&gt;60000,"Medium","Low"))</f>
        <v>Low</v>
      </c>
      <c r="Q406" s="11" t="str">
        <f>PROPER(Sales_Data[[#This Row],[Month Name]])</f>
        <v>Fevereiro</v>
      </c>
      <c r="R406" s="11" t="str">
        <f>PROPER(Sales_Data[[#This Row],[Sales Manager]])</f>
        <v>Liam Lee</v>
      </c>
    </row>
    <row r="407" spans="1:18" hidden="1" x14ac:dyDescent="0.25">
      <c r="A407">
        <v>10406</v>
      </c>
      <c r="B407">
        <v>2020</v>
      </c>
      <c r="C407" t="s">
        <v>67</v>
      </c>
      <c r="D407" s="8">
        <v>43871</v>
      </c>
      <c r="E407" t="s">
        <v>25</v>
      </c>
      <c r="F407" t="s">
        <v>18</v>
      </c>
      <c r="G407" t="s">
        <v>20</v>
      </c>
      <c r="H407" s="9">
        <v>6</v>
      </c>
      <c r="I407" s="9">
        <v>149</v>
      </c>
      <c r="J407" s="10">
        <v>126650</v>
      </c>
      <c r="K407" s="10">
        <v>16464.5</v>
      </c>
      <c r="L407">
        <v>7</v>
      </c>
      <c r="M407" s="8">
        <v>43831</v>
      </c>
      <c r="N407" s="23">
        <v>6.3796825371239402E-4</v>
      </c>
      <c r="O407" s="10" t="str">
        <f>IF(Sales_Data[[#This Row],[Total Profit]]&gt;0,"Profitable","Loss")</f>
        <v>Profitable</v>
      </c>
      <c r="P407" s="10" t="str">
        <f>IF(Sales_Data[[#This Row],[Total Profit]]&gt;100000,"High Value",IF(Sales_Data[[#This Row],[Total Profit]]&gt;60000,"Medium","Low"))</f>
        <v>Low</v>
      </c>
      <c r="Q407" s="11" t="str">
        <f>PROPER(Sales_Data[[#This Row],[Month Name]])</f>
        <v>Fevereiro</v>
      </c>
      <c r="R407" s="11" t="str">
        <f>PROPER(Sales_Data[[#This Row],[Sales Manager]])</f>
        <v>Jane Doe</v>
      </c>
    </row>
    <row r="408" spans="1:18" hidden="1" x14ac:dyDescent="0.25">
      <c r="A408">
        <v>10407</v>
      </c>
      <c r="B408">
        <v>2020</v>
      </c>
      <c r="C408" t="s">
        <v>67</v>
      </c>
      <c r="D408" s="8">
        <v>43872</v>
      </c>
      <c r="E408" t="s">
        <v>11</v>
      </c>
      <c r="F408" t="s">
        <v>18</v>
      </c>
      <c r="G408" t="s">
        <v>23</v>
      </c>
      <c r="H408" s="9">
        <v>24</v>
      </c>
      <c r="I408" s="9">
        <v>279</v>
      </c>
      <c r="J408" s="10">
        <v>97650</v>
      </c>
      <c r="K408" s="10">
        <v>27342.000000000004</v>
      </c>
      <c r="L408">
        <v>7</v>
      </c>
      <c r="M408" s="8">
        <v>43831</v>
      </c>
      <c r="N408" s="23">
        <v>4.9188787978693405E-4</v>
      </c>
      <c r="O408" s="10" t="str">
        <f>IF(Sales_Data[[#This Row],[Total Profit]]&gt;0,"Profitable","Loss")</f>
        <v>Profitable</v>
      </c>
      <c r="P408" s="10" t="str">
        <f>IF(Sales_Data[[#This Row],[Total Profit]]&gt;100000,"High Value",IF(Sales_Data[[#This Row],[Total Profit]]&gt;60000,"Medium","Low"))</f>
        <v>Low</v>
      </c>
      <c r="Q408" s="11" t="str">
        <f>PROPER(Sales_Data[[#This Row],[Month Name]])</f>
        <v>Fevereiro</v>
      </c>
      <c r="R408" s="11" t="str">
        <f>PROPER(Sales_Data[[#This Row],[Sales Manager]])</f>
        <v>Jane Doe</v>
      </c>
    </row>
    <row r="409" spans="1:18" hidden="1" x14ac:dyDescent="0.25">
      <c r="A409">
        <v>10408</v>
      </c>
      <c r="B409">
        <v>2020</v>
      </c>
      <c r="C409" t="s">
        <v>67</v>
      </c>
      <c r="D409" s="8">
        <v>43873</v>
      </c>
      <c r="E409" t="s">
        <v>19</v>
      </c>
      <c r="F409" t="s">
        <v>21</v>
      </c>
      <c r="G409" t="s">
        <v>13</v>
      </c>
      <c r="H409" s="9">
        <v>14</v>
      </c>
      <c r="I409" s="9">
        <v>142</v>
      </c>
      <c r="J409" s="10">
        <v>106500</v>
      </c>
      <c r="K409" s="10">
        <v>15975</v>
      </c>
      <c r="L409">
        <v>7</v>
      </c>
      <c r="M409" s="8">
        <v>43831</v>
      </c>
      <c r="N409" s="23">
        <v>5.3646758010556601E-4</v>
      </c>
      <c r="O409" s="10" t="str">
        <f>IF(Sales_Data[[#This Row],[Total Profit]]&gt;0,"Profitable","Loss")</f>
        <v>Profitable</v>
      </c>
      <c r="P409" s="10" t="str">
        <f>IF(Sales_Data[[#This Row],[Total Profit]]&gt;100000,"High Value",IF(Sales_Data[[#This Row],[Total Profit]]&gt;60000,"Medium","Low"))</f>
        <v>Low</v>
      </c>
      <c r="Q409" s="11" t="str">
        <f>PROPER(Sales_Data[[#This Row],[Month Name]])</f>
        <v>Fevereiro</v>
      </c>
      <c r="R409" s="11" t="str">
        <f>PROPER(Sales_Data[[#This Row],[Sales Manager]])</f>
        <v>John Smith</v>
      </c>
    </row>
    <row r="410" spans="1:18" hidden="1" x14ac:dyDescent="0.25">
      <c r="A410">
        <v>10409</v>
      </c>
      <c r="B410">
        <v>2020</v>
      </c>
      <c r="C410" t="s">
        <v>67</v>
      </c>
      <c r="D410" s="8">
        <v>43874</v>
      </c>
      <c r="E410" t="s">
        <v>14</v>
      </c>
      <c r="F410" t="s">
        <v>21</v>
      </c>
      <c r="G410" t="s">
        <v>17</v>
      </c>
      <c r="H410" s="9">
        <v>3</v>
      </c>
      <c r="I410" s="9">
        <v>107</v>
      </c>
      <c r="J410" s="10">
        <v>26750</v>
      </c>
      <c r="K410" s="10">
        <v>12037.5</v>
      </c>
      <c r="L410">
        <v>7</v>
      </c>
      <c r="M410" s="8">
        <v>43831</v>
      </c>
      <c r="N410" s="23">
        <v>1.3474655181055299E-4</v>
      </c>
      <c r="O410" s="10" t="str">
        <f>IF(Sales_Data[[#This Row],[Total Profit]]&gt;0,"Profitable","Loss")</f>
        <v>Profitable</v>
      </c>
      <c r="P410" s="10" t="str">
        <f>IF(Sales_Data[[#This Row],[Total Profit]]&gt;100000,"High Value",IF(Sales_Data[[#This Row],[Total Profit]]&gt;60000,"Medium","Low"))</f>
        <v>Low</v>
      </c>
      <c r="Q410" s="11" t="str">
        <f>PROPER(Sales_Data[[#This Row],[Month Name]])</f>
        <v>Fevereiro</v>
      </c>
      <c r="R410" s="11" t="str">
        <f>PROPER(Sales_Data[[#This Row],[Sales Manager]])</f>
        <v>John Smith</v>
      </c>
    </row>
    <row r="411" spans="1:18" hidden="1" x14ac:dyDescent="0.25">
      <c r="A411">
        <v>10410</v>
      </c>
      <c r="B411">
        <v>2020</v>
      </c>
      <c r="C411" t="s">
        <v>67</v>
      </c>
      <c r="D411" s="8">
        <v>43875</v>
      </c>
      <c r="E411" t="s">
        <v>25</v>
      </c>
      <c r="F411" t="s">
        <v>21</v>
      </c>
      <c r="G411" t="s">
        <v>23</v>
      </c>
      <c r="H411" s="9">
        <v>16</v>
      </c>
      <c r="I411" s="9">
        <v>246</v>
      </c>
      <c r="J411" s="10">
        <v>86100</v>
      </c>
      <c r="K411" s="10">
        <v>24969</v>
      </c>
      <c r="L411">
        <v>7</v>
      </c>
      <c r="M411" s="8">
        <v>43831</v>
      </c>
      <c r="N411" s="23">
        <v>4.3370759293041503E-4</v>
      </c>
      <c r="O411" s="10" t="str">
        <f>IF(Sales_Data[[#This Row],[Total Profit]]&gt;0,"Profitable","Loss")</f>
        <v>Profitable</v>
      </c>
      <c r="P411" s="10" t="str">
        <f>IF(Sales_Data[[#This Row],[Total Profit]]&gt;100000,"High Value",IF(Sales_Data[[#This Row],[Total Profit]]&gt;60000,"Medium","Low"))</f>
        <v>Low</v>
      </c>
      <c r="Q411" s="11" t="str">
        <f>PROPER(Sales_Data[[#This Row],[Month Name]])</f>
        <v>Fevereiro</v>
      </c>
      <c r="R411" s="11" t="str">
        <f>PROPER(Sales_Data[[#This Row],[Sales Manager]])</f>
        <v>John Smith</v>
      </c>
    </row>
    <row r="412" spans="1:18" hidden="1" x14ac:dyDescent="0.25">
      <c r="A412">
        <v>10411</v>
      </c>
      <c r="B412">
        <v>2020</v>
      </c>
      <c r="C412" t="s">
        <v>67</v>
      </c>
      <c r="D412" s="8">
        <v>43876</v>
      </c>
      <c r="E412" t="s">
        <v>11</v>
      </c>
      <c r="F412" t="s">
        <v>21</v>
      </c>
      <c r="G412" t="s">
        <v>15</v>
      </c>
      <c r="H412" s="9">
        <v>1</v>
      </c>
      <c r="I412" s="9">
        <v>78</v>
      </c>
      <c r="J412" s="10">
        <v>39000</v>
      </c>
      <c r="K412" s="10">
        <v>13650</v>
      </c>
      <c r="L412">
        <v>7</v>
      </c>
      <c r="M412" s="8">
        <v>43831</v>
      </c>
      <c r="N412" s="23">
        <v>1.96452916658376E-4</v>
      </c>
      <c r="O412" s="10" t="str">
        <f>IF(Sales_Data[[#This Row],[Total Profit]]&gt;0,"Profitable","Loss")</f>
        <v>Profitable</v>
      </c>
      <c r="P412" s="10" t="str">
        <f>IF(Sales_Data[[#This Row],[Total Profit]]&gt;100000,"High Value",IF(Sales_Data[[#This Row],[Total Profit]]&gt;60000,"Medium","Low"))</f>
        <v>Low</v>
      </c>
      <c r="Q412" s="11" t="str">
        <f>PROPER(Sales_Data[[#This Row],[Month Name]])</f>
        <v>Fevereiro</v>
      </c>
      <c r="R412" s="11" t="str">
        <f>PROPER(Sales_Data[[#This Row],[Sales Manager]])</f>
        <v>John Smith</v>
      </c>
    </row>
    <row r="413" spans="1:18" hidden="1" x14ac:dyDescent="0.25">
      <c r="A413">
        <v>10412</v>
      </c>
      <c r="B413">
        <v>2020</v>
      </c>
      <c r="C413" t="s">
        <v>67</v>
      </c>
      <c r="D413" s="8">
        <v>43877</v>
      </c>
      <c r="E413" t="s">
        <v>25</v>
      </c>
      <c r="F413" t="s">
        <v>12</v>
      </c>
      <c r="G413" t="s">
        <v>20</v>
      </c>
      <c r="H413" s="9">
        <v>2</v>
      </c>
      <c r="I413" s="9">
        <v>98</v>
      </c>
      <c r="J413" s="10">
        <v>83300</v>
      </c>
      <c r="K413" s="10">
        <v>14994</v>
      </c>
      <c r="L413">
        <v>8</v>
      </c>
      <c r="M413" s="8">
        <v>43831</v>
      </c>
      <c r="N413" s="23">
        <v>4.1960328096519799E-4</v>
      </c>
      <c r="O413" s="10" t="str">
        <f>IF(Sales_Data[[#This Row],[Total Profit]]&gt;0,"Profitable","Loss")</f>
        <v>Profitable</v>
      </c>
      <c r="P413" s="10" t="str">
        <f>IF(Sales_Data[[#This Row],[Total Profit]]&gt;100000,"High Value",IF(Sales_Data[[#This Row],[Total Profit]]&gt;60000,"Medium","Low"))</f>
        <v>Low</v>
      </c>
      <c r="Q413" s="11" t="str">
        <f>PROPER(Sales_Data[[#This Row],[Month Name]])</f>
        <v>Fevereiro</v>
      </c>
      <c r="R413" s="11" t="str">
        <f>PROPER(Sales_Data[[#This Row],[Sales Manager]])</f>
        <v>Emily White</v>
      </c>
    </row>
    <row r="414" spans="1:18" hidden="1" x14ac:dyDescent="0.25">
      <c r="A414">
        <v>10413</v>
      </c>
      <c r="B414">
        <v>2020</v>
      </c>
      <c r="C414" t="s">
        <v>67</v>
      </c>
      <c r="D414" s="8">
        <v>43878</v>
      </c>
      <c r="E414" t="s">
        <v>22</v>
      </c>
      <c r="F414" t="s">
        <v>16</v>
      </c>
      <c r="G414" t="s">
        <v>15</v>
      </c>
      <c r="H414" s="9">
        <v>1</v>
      </c>
      <c r="I414" s="9">
        <v>16</v>
      </c>
      <c r="J414" s="10">
        <v>8000</v>
      </c>
      <c r="K414" s="10">
        <v>1920</v>
      </c>
      <c r="L414">
        <v>8</v>
      </c>
      <c r="M414" s="8">
        <v>43831</v>
      </c>
      <c r="N414" s="23">
        <v>4.02980341863336E-5</v>
      </c>
      <c r="O414" s="10" t="str">
        <f>IF(Sales_Data[[#This Row],[Total Profit]]&gt;0,"Profitable","Loss")</f>
        <v>Profitable</v>
      </c>
      <c r="P414" s="10" t="str">
        <f>IF(Sales_Data[[#This Row],[Total Profit]]&gt;100000,"High Value",IF(Sales_Data[[#This Row],[Total Profit]]&gt;60000,"Medium","Low"))</f>
        <v>Low</v>
      </c>
      <c r="Q414" s="11" t="str">
        <f>PROPER(Sales_Data[[#This Row],[Month Name]])</f>
        <v>Fevereiro</v>
      </c>
      <c r="R414" s="11" t="str">
        <f>PROPER(Sales_Data[[#This Row],[Sales Manager]])</f>
        <v>James Brown</v>
      </c>
    </row>
    <row r="415" spans="1:18" hidden="1" x14ac:dyDescent="0.25">
      <c r="A415">
        <v>10414</v>
      </c>
      <c r="B415">
        <v>2020</v>
      </c>
      <c r="C415" t="s">
        <v>67</v>
      </c>
      <c r="D415" s="8">
        <v>43879</v>
      </c>
      <c r="E415" t="s">
        <v>11</v>
      </c>
      <c r="F415" t="s">
        <v>21</v>
      </c>
      <c r="G415" t="s">
        <v>20</v>
      </c>
      <c r="H415" s="9">
        <v>3</v>
      </c>
      <c r="I415" s="9">
        <v>48</v>
      </c>
      <c r="J415" s="10">
        <v>40800</v>
      </c>
      <c r="K415" s="10">
        <v>6120</v>
      </c>
      <c r="L415">
        <v>8</v>
      </c>
      <c r="M415" s="8">
        <v>43831</v>
      </c>
      <c r="N415" s="23">
        <v>2.05519974350301E-4</v>
      </c>
      <c r="O415" s="10" t="str">
        <f>IF(Sales_Data[[#This Row],[Total Profit]]&gt;0,"Profitable","Loss")</f>
        <v>Profitable</v>
      </c>
      <c r="P415" s="10" t="str">
        <f>IF(Sales_Data[[#This Row],[Total Profit]]&gt;100000,"High Value",IF(Sales_Data[[#This Row],[Total Profit]]&gt;60000,"Medium","Low"))</f>
        <v>Low</v>
      </c>
      <c r="Q415" s="11" t="str">
        <f>PROPER(Sales_Data[[#This Row],[Month Name]])</f>
        <v>Fevereiro</v>
      </c>
      <c r="R415" s="11" t="str">
        <f>PROPER(Sales_Data[[#This Row],[Sales Manager]])</f>
        <v>John Smith</v>
      </c>
    </row>
    <row r="416" spans="1:18" hidden="1" x14ac:dyDescent="0.25">
      <c r="A416">
        <v>10415</v>
      </c>
      <c r="B416">
        <v>2020</v>
      </c>
      <c r="C416" t="s">
        <v>67</v>
      </c>
      <c r="D416" s="8">
        <v>43880</v>
      </c>
      <c r="E416" t="s">
        <v>25</v>
      </c>
      <c r="F416" t="s">
        <v>12</v>
      </c>
      <c r="G416" t="s">
        <v>20</v>
      </c>
      <c r="H416" s="9">
        <v>1</v>
      </c>
      <c r="I416" s="9">
        <v>63</v>
      </c>
      <c r="J416" s="10">
        <v>53550</v>
      </c>
      <c r="K416" s="10">
        <v>18207</v>
      </c>
      <c r="L416">
        <v>8</v>
      </c>
      <c r="M416" s="8">
        <v>43831</v>
      </c>
      <c r="N416" s="23">
        <v>2.6974496633477E-4</v>
      </c>
      <c r="O416" s="10" t="str">
        <f>IF(Sales_Data[[#This Row],[Total Profit]]&gt;0,"Profitable","Loss")</f>
        <v>Profitable</v>
      </c>
      <c r="P416" s="10" t="str">
        <f>IF(Sales_Data[[#This Row],[Total Profit]]&gt;100000,"High Value",IF(Sales_Data[[#This Row],[Total Profit]]&gt;60000,"Medium","Low"))</f>
        <v>Low</v>
      </c>
      <c r="Q416" s="11" t="str">
        <f>PROPER(Sales_Data[[#This Row],[Month Name]])</f>
        <v>Fevereiro</v>
      </c>
      <c r="R416" s="11" t="str">
        <f>PROPER(Sales_Data[[#This Row],[Sales Manager]])</f>
        <v>Emily White</v>
      </c>
    </row>
    <row r="417" spans="1:18" hidden="1" x14ac:dyDescent="0.25">
      <c r="A417">
        <v>10416</v>
      </c>
      <c r="B417">
        <v>2020</v>
      </c>
      <c r="C417" t="s">
        <v>67</v>
      </c>
      <c r="D417" s="8">
        <v>43881</v>
      </c>
      <c r="E417" t="s">
        <v>11</v>
      </c>
      <c r="F417" t="s">
        <v>24</v>
      </c>
      <c r="G417" t="s">
        <v>15</v>
      </c>
      <c r="H417" s="9">
        <v>37</v>
      </c>
      <c r="I417" s="9">
        <v>376</v>
      </c>
      <c r="J417" s="10">
        <v>188000</v>
      </c>
      <c r="K417" s="10">
        <v>24440</v>
      </c>
      <c r="L417">
        <v>8</v>
      </c>
      <c r="M417" s="8">
        <v>43831</v>
      </c>
      <c r="N417" s="23">
        <v>9.4700380337883901E-4</v>
      </c>
      <c r="O417" s="10" t="str">
        <f>IF(Sales_Data[[#This Row],[Total Profit]]&gt;0,"Profitable","Loss")</f>
        <v>Profitable</v>
      </c>
      <c r="P417" s="10" t="str">
        <f>IF(Sales_Data[[#This Row],[Total Profit]]&gt;100000,"High Value",IF(Sales_Data[[#This Row],[Total Profit]]&gt;60000,"Medium","Low"))</f>
        <v>Low</v>
      </c>
      <c r="Q417" s="11" t="str">
        <f>PROPER(Sales_Data[[#This Row],[Month Name]])</f>
        <v>Fevereiro</v>
      </c>
      <c r="R417" s="11" t="str">
        <f>PROPER(Sales_Data[[#This Row],[Sales Manager]])</f>
        <v>Liam Lee</v>
      </c>
    </row>
    <row r="418" spans="1:18" hidden="1" x14ac:dyDescent="0.25">
      <c r="A418">
        <v>10417</v>
      </c>
      <c r="B418">
        <v>2020</v>
      </c>
      <c r="C418" t="s">
        <v>67</v>
      </c>
      <c r="D418" s="8">
        <v>43882</v>
      </c>
      <c r="E418" t="s">
        <v>14</v>
      </c>
      <c r="F418" t="s">
        <v>21</v>
      </c>
      <c r="G418" t="s">
        <v>13</v>
      </c>
      <c r="H418" s="9">
        <v>12</v>
      </c>
      <c r="I418" s="9">
        <v>291</v>
      </c>
      <c r="J418" s="10">
        <v>218250</v>
      </c>
      <c r="K418" s="10">
        <v>65475</v>
      </c>
      <c r="L418">
        <v>8</v>
      </c>
      <c r="M418" s="8">
        <v>43831</v>
      </c>
      <c r="N418" s="23">
        <v>1.0993807451459101E-3</v>
      </c>
      <c r="O418" s="10" t="str">
        <f>IF(Sales_Data[[#This Row],[Total Profit]]&gt;0,"Profitable","Loss")</f>
        <v>Profitable</v>
      </c>
      <c r="P418" s="10" t="str">
        <f>IF(Sales_Data[[#This Row],[Total Profit]]&gt;100000,"High Value",IF(Sales_Data[[#This Row],[Total Profit]]&gt;60000,"Medium","Low"))</f>
        <v>Medium</v>
      </c>
      <c r="Q418" s="11" t="str">
        <f>PROPER(Sales_Data[[#This Row],[Month Name]])</f>
        <v>Fevereiro</v>
      </c>
      <c r="R418" s="11" t="str">
        <f>PROPER(Sales_Data[[#This Row],[Sales Manager]])</f>
        <v>John Smith</v>
      </c>
    </row>
    <row r="419" spans="1:18" hidden="1" x14ac:dyDescent="0.25">
      <c r="A419">
        <v>10418</v>
      </c>
      <c r="B419">
        <v>2020</v>
      </c>
      <c r="C419" t="s">
        <v>67</v>
      </c>
      <c r="D419" s="8">
        <v>43883</v>
      </c>
      <c r="E419" t="s">
        <v>11</v>
      </c>
      <c r="F419" t="s">
        <v>16</v>
      </c>
      <c r="G419" t="s">
        <v>23</v>
      </c>
      <c r="H419" s="9">
        <v>9</v>
      </c>
      <c r="I419" s="9">
        <v>271</v>
      </c>
      <c r="J419" s="10">
        <v>94850</v>
      </c>
      <c r="K419" s="10">
        <v>19918.5</v>
      </c>
      <c r="L419">
        <v>8</v>
      </c>
      <c r="M419" s="8">
        <v>43831</v>
      </c>
      <c r="N419" s="23">
        <v>4.7778356782171702E-4</v>
      </c>
      <c r="O419" s="10" t="str">
        <f>IF(Sales_Data[[#This Row],[Total Profit]]&gt;0,"Profitable","Loss")</f>
        <v>Profitable</v>
      </c>
      <c r="P419" s="10" t="str">
        <f>IF(Sales_Data[[#This Row],[Total Profit]]&gt;100000,"High Value",IF(Sales_Data[[#This Row],[Total Profit]]&gt;60000,"Medium","Low"))</f>
        <v>Low</v>
      </c>
      <c r="Q419" s="11" t="str">
        <f>PROPER(Sales_Data[[#This Row],[Month Name]])</f>
        <v>Fevereiro</v>
      </c>
      <c r="R419" s="11" t="str">
        <f>PROPER(Sales_Data[[#This Row],[Sales Manager]])</f>
        <v>James Brown</v>
      </c>
    </row>
    <row r="420" spans="1:18" hidden="1" x14ac:dyDescent="0.25">
      <c r="A420">
        <v>10419</v>
      </c>
      <c r="B420">
        <v>2020</v>
      </c>
      <c r="C420" t="s">
        <v>67</v>
      </c>
      <c r="D420" s="8">
        <v>43884</v>
      </c>
      <c r="E420" t="s">
        <v>14</v>
      </c>
      <c r="F420" t="s">
        <v>16</v>
      </c>
      <c r="G420" t="s">
        <v>23</v>
      </c>
      <c r="H420" s="9">
        <v>17</v>
      </c>
      <c r="I420" s="9">
        <v>223</v>
      </c>
      <c r="J420" s="10">
        <v>78050</v>
      </c>
      <c r="K420" s="10">
        <v>25756.5</v>
      </c>
      <c r="L420">
        <v>9</v>
      </c>
      <c r="M420" s="8">
        <v>43831</v>
      </c>
      <c r="N420" s="23">
        <v>3.9315769603041699E-4</v>
      </c>
      <c r="O420" s="10" t="str">
        <f>IF(Sales_Data[[#This Row],[Total Profit]]&gt;0,"Profitable","Loss")</f>
        <v>Profitable</v>
      </c>
      <c r="P420" s="10" t="str">
        <f>IF(Sales_Data[[#This Row],[Total Profit]]&gt;100000,"High Value",IF(Sales_Data[[#This Row],[Total Profit]]&gt;60000,"Medium","Low"))</f>
        <v>Low</v>
      </c>
      <c r="Q420" s="11" t="str">
        <f>PROPER(Sales_Data[[#This Row],[Month Name]])</f>
        <v>Fevereiro</v>
      </c>
      <c r="R420" s="11" t="str">
        <f>PROPER(Sales_Data[[#This Row],[Sales Manager]])</f>
        <v>James Brown</v>
      </c>
    </row>
    <row r="421" spans="1:18" hidden="1" x14ac:dyDescent="0.25">
      <c r="A421">
        <v>10420</v>
      </c>
      <c r="B421">
        <v>2020</v>
      </c>
      <c r="C421" t="s">
        <v>67</v>
      </c>
      <c r="D421" s="8">
        <v>43885</v>
      </c>
      <c r="E421" t="s">
        <v>14</v>
      </c>
      <c r="F421" t="s">
        <v>21</v>
      </c>
      <c r="G421" t="s">
        <v>17</v>
      </c>
      <c r="H421" s="9">
        <v>28</v>
      </c>
      <c r="I421" s="9">
        <v>344</v>
      </c>
      <c r="J421" s="10">
        <v>86000</v>
      </c>
      <c r="K421" s="10">
        <v>18060</v>
      </c>
      <c r="L421">
        <v>9</v>
      </c>
      <c r="M421" s="8">
        <v>43831</v>
      </c>
      <c r="N421" s="23">
        <v>4.3320386750308597E-4</v>
      </c>
      <c r="O421" s="10" t="str">
        <f>IF(Sales_Data[[#This Row],[Total Profit]]&gt;0,"Profitable","Loss")</f>
        <v>Profitable</v>
      </c>
      <c r="P421" s="10" t="str">
        <f>IF(Sales_Data[[#This Row],[Total Profit]]&gt;100000,"High Value",IF(Sales_Data[[#This Row],[Total Profit]]&gt;60000,"Medium","Low"))</f>
        <v>Low</v>
      </c>
      <c r="Q421" s="11" t="str">
        <f>PROPER(Sales_Data[[#This Row],[Month Name]])</f>
        <v>Fevereiro</v>
      </c>
      <c r="R421" s="11" t="str">
        <f>PROPER(Sales_Data[[#This Row],[Sales Manager]])</f>
        <v>John Smith</v>
      </c>
    </row>
    <row r="422" spans="1:18" hidden="1" x14ac:dyDescent="0.25">
      <c r="A422">
        <v>10421</v>
      </c>
      <c r="B422">
        <v>2020</v>
      </c>
      <c r="C422" t="s">
        <v>67</v>
      </c>
      <c r="D422" s="8">
        <v>43886</v>
      </c>
      <c r="E422" t="s">
        <v>25</v>
      </c>
      <c r="F422" t="s">
        <v>18</v>
      </c>
      <c r="G422" t="s">
        <v>23</v>
      </c>
      <c r="H422" s="9">
        <v>23</v>
      </c>
      <c r="I422" s="9">
        <v>435</v>
      </c>
      <c r="J422" s="10">
        <v>152250</v>
      </c>
      <c r="K422" s="10">
        <v>18270</v>
      </c>
      <c r="L422">
        <v>9</v>
      </c>
      <c r="M422" s="8">
        <v>43831</v>
      </c>
      <c r="N422" s="23">
        <v>7.6692196310866102E-4</v>
      </c>
      <c r="O422" s="10" t="str">
        <f>IF(Sales_Data[[#This Row],[Total Profit]]&gt;0,"Profitable","Loss")</f>
        <v>Profitable</v>
      </c>
      <c r="P422" s="10" t="str">
        <f>IF(Sales_Data[[#This Row],[Total Profit]]&gt;100000,"High Value",IF(Sales_Data[[#This Row],[Total Profit]]&gt;60000,"Medium","Low"))</f>
        <v>Low</v>
      </c>
      <c r="Q422" s="11" t="str">
        <f>PROPER(Sales_Data[[#This Row],[Month Name]])</f>
        <v>Fevereiro</v>
      </c>
      <c r="R422" s="11" t="str">
        <f>PROPER(Sales_Data[[#This Row],[Sales Manager]])</f>
        <v>Jane Doe</v>
      </c>
    </row>
    <row r="423" spans="1:18" hidden="1" x14ac:dyDescent="0.25">
      <c r="A423">
        <v>10422</v>
      </c>
      <c r="B423">
        <v>2020</v>
      </c>
      <c r="C423" t="s">
        <v>67</v>
      </c>
      <c r="D423" s="8">
        <v>43887</v>
      </c>
      <c r="E423" t="s">
        <v>14</v>
      </c>
      <c r="F423" t="s">
        <v>24</v>
      </c>
      <c r="G423" t="s">
        <v>23</v>
      </c>
      <c r="H423" s="9">
        <v>5</v>
      </c>
      <c r="I423" s="9">
        <v>436</v>
      </c>
      <c r="J423" s="10">
        <v>152600</v>
      </c>
      <c r="K423" s="10">
        <v>16786</v>
      </c>
      <c r="L423">
        <v>9</v>
      </c>
      <c r="M423" s="8">
        <v>43831</v>
      </c>
      <c r="N423" s="23">
        <v>7.68685002104313E-4</v>
      </c>
      <c r="O423" s="10" t="str">
        <f>IF(Sales_Data[[#This Row],[Total Profit]]&gt;0,"Profitable","Loss")</f>
        <v>Profitable</v>
      </c>
      <c r="P423" s="10" t="str">
        <f>IF(Sales_Data[[#This Row],[Total Profit]]&gt;100000,"High Value",IF(Sales_Data[[#This Row],[Total Profit]]&gt;60000,"Medium","Low"))</f>
        <v>Low</v>
      </c>
      <c r="Q423" s="11" t="str">
        <f>PROPER(Sales_Data[[#This Row],[Month Name]])</f>
        <v>Fevereiro</v>
      </c>
      <c r="R423" s="11" t="str">
        <f>PROPER(Sales_Data[[#This Row],[Sales Manager]])</f>
        <v>Liam Lee</v>
      </c>
    </row>
    <row r="424" spans="1:18" hidden="1" x14ac:dyDescent="0.25">
      <c r="A424">
        <v>10423</v>
      </c>
      <c r="B424">
        <v>2020</v>
      </c>
      <c r="C424" t="s">
        <v>67</v>
      </c>
      <c r="D424" s="8">
        <v>43888</v>
      </c>
      <c r="E424" t="s">
        <v>19</v>
      </c>
      <c r="F424" t="s">
        <v>24</v>
      </c>
      <c r="G424" t="s">
        <v>17</v>
      </c>
      <c r="H424" s="9">
        <v>35</v>
      </c>
      <c r="I424" s="9">
        <v>472</v>
      </c>
      <c r="J424" s="10">
        <v>118000</v>
      </c>
      <c r="K424" s="10">
        <v>28320</v>
      </c>
      <c r="L424">
        <v>9</v>
      </c>
      <c r="M424" s="8">
        <v>43831</v>
      </c>
      <c r="N424" s="23">
        <v>5.9439600424842005E-4</v>
      </c>
      <c r="O424" s="10" t="str">
        <f>IF(Sales_Data[[#This Row],[Total Profit]]&gt;0,"Profitable","Loss")</f>
        <v>Profitable</v>
      </c>
      <c r="P424" s="10" t="str">
        <f>IF(Sales_Data[[#This Row],[Total Profit]]&gt;100000,"High Value",IF(Sales_Data[[#This Row],[Total Profit]]&gt;60000,"Medium","Low"))</f>
        <v>Low</v>
      </c>
      <c r="Q424" s="11" t="str">
        <f>PROPER(Sales_Data[[#This Row],[Month Name]])</f>
        <v>Fevereiro</v>
      </c>
      <c r="R424" s="11" t="str">
        <f>PROPER(Sales_Data[[#This Row],[Sales Manager]])</f>
        <v>Liam Lee</v>
      </c>
    </row>
    <row r="425" spans="1:18" hidden="1" x14ac:dyDescent="0.25">
      <c r="A425">
        <v>10424</v>
      </c>
      <c r="B425">
        <v>2020</v>
      </c>
      <c r="C425" t="s">
        <v>67</v>
      </c>
      <c r="D425" s="8">
        <v>43889</v>
      </c>
      <c r="E425" t="s">
        <v>22</v>
      </c>
      <c r="F425" t="s">
        <v>12</v>
      </c>
      <c r="G425" t="s">
        <v>20</v>
      </c>
      <c r="H425" s="9">
        <v>6</v>
      </c>
      <c r="I425" s="9">
        <v>178</v>
      </c>
      <c r="J425" s="10">
        <v>151300</v>
      </c>
      <c r="K425" s="10">
        <v>30260</v>
      </c>
      <c r="L425">
        <v>9</v>
      </c>
      <c r="M425" s="8">
        <v>43831</v>
      </c>
      <c r="N425" s="23">
        <v>7.6213657154903397E-4</v>
      </c>
      <c r="O425" s="10" t="str">
        <f>IF(Sales_Data[[#This Row],[Total Profit]]&gt;0,"Profitable","Loss")</f>
        <v>Profitable</v>
      </c>
      <c r="P425" s="10" t="str">
        <f>IF(Sales_Data[[#This Row],[Total Profit]]&gt;100000,"High Value",IF(Sales_Data[[#This Row],[Total Profit]]&gt;60000,"Medium","Low"))</f>
        <v>Low</v>
      </c>
      <c r="Q425" s="11" t="str">
        <f>PROPER(Sales_Data[[#This Row],[Month Name]])</f>
        <v>Fevereiro</v>
      </c>
      <c r="R425" s="11" t="str">
        <f>PROPER(Sales_Data[[#This Row],[Sales Manager]])</f>
        <v>Emily White</v>
      </c>
    </row>
    <row r="426" spans="1:18" hidden="1" x14ac:dyDescent="0.25">
      <c r="A426">
        <v>10425</v>
      </c>
      <c r="B426">
        <v>2020</v>
      </c>
      <c r="C426" t="s">
        <v>67</v>
      </c>
      <c r="D426" s="8">
        <v>43890</v>
      </c>
      <c r="E426" t="s">
        <v>11</v>
      </c>
      <c r="F426" t="s">
        <v>24</v>
      </c>
      <c r="G426" t="s">
        <v>17</v>
      </c>
      <c r="H426" s="9">
        <v>30</v>
      </c>
      <c r="I426" s="9">
        <v>363</v>
      </c>
      <c r="J426" s="10">
        <v>90750</v>
      </c>
      <c r="K426" s="10">
        <v>39930</v>
      </c>
      <c r="L426">
        <v>9</v>
      </c>
      <c r="M426" s="8">
        <v>43831</v>
      </c>
      <c r="N426" s="23">
        <v>4.5713082530122198E-4</v>
      </c>
      <c r="O426" s="10" t="str">
        <f>IF(Sales_Data[[#This Row],[Total Profit]]&gt;0,"Profitable","Loss")</f>
        <v>Profitable</v>
      </c>
      <c r="P426" s="10" t="str">
        <f>IF(Sales_Data[[#This Row],[Total Profit]]&gt;100000,"High Value",IF(Sales_Data[[#This Row],[Total Profit]]&gt;60000,"Medium","Low"))</f>
        <v>Low</v>
      </c>
      <c r="Q426" s="11" t="str">
        <f>PROPER(Sales_Data[[#This Row],[Month Name]])</f>
        <v>Fevereiro</v>
      </c>
      <c r="R426" s="11" t="str">
        <f>PROPER(Sales_Data[[#This Row],[Sales Manager]])</f>
        <v>Liam Lee</v>
      </c>
    </row>
    <row r="427" spans="1:18" hidden="1" x14ac:dyDescent="0.25">
      <c r="A427">
        <v>10426</v>
      </c>
      <c r="B427">
        <v>2020</v>
      </c>
      <c r="C427" t="s">
        <v>68</v>
      </c>
      <c r="D427" s="8">
        <v>43891</v>
      </c>
      <c r="E427" t="s">
        <v>11</v>
      </c>
      <c r="F427" t="s">
        <v>16</v>
      </c>
      <c r="G427" t="s">
        <v>20</v>
      </c>
      <c r="H427" s="9">
        <v>1</v>
      </c>
      <c r="I427" s="9">
        <v>24</v>
      </c>
      <c r="J427" s="10">
        <v>20400</v>
      </c>
      <c r="K427" s="10">
        <v>8568</v>
      </c>
      <c r="L427">
        <v>10</v>
      </c>
      <c r="M427" s="8">
        <v>43831</v>
      </c>
      <c r="N427" s="23">
        <v>1.02759987175151E-4</v>
      </c>
      <c r="O427" s="10" t="str">
        <f>IF(Sales_Data[[#This Row],[Total Profit]]&gt;0,"Profitable","Loss")</f>
        <v>Profitable</v>
      </c>
      <c r="P427" s="10" t="str">
        <f>IF(Sales_Data[[#This Row],[Total Profit]]&gt;100000,"High Value",IF(Sales_Data[[#This Row],[Total Profit]]&gt;60000,"Medium","Low"))</f>
        <v>Low</v>
      </c>
      <c r="Q427" s="11" t="str">
        <f>PROPER(Sales_Data[[#This Row],[Month Name]])</f>
        <v>Março</v>
      </c>
      <c r="R427" s="11" t="str">
        <f>PROPER(Sales_Data[[#This Row],[Sales Manager]])</f>
        <v>James Brown</v>
      </c>
    </row>
    <row r="428" spans="1:18" hidden="1" x14ac:dyDescent="0.25">
      <c r="A428">
        <v>10427</v>
      </c>
      <c r="B428">
        <v>2020</v>
      </c>
      <c r="C428" t="s">
        <v>68</v>
      </c>
      <c r="D428" s="8">
        <v>43892</v>
      </c>
      <c r="E428" t="s">
        <v>11</v>
      </c>
      <c r="F428" t="s">
        <v>24</v>
      </c>
      <c r="G428" t="s">
        <v>13</v>
      </c>
      <c r="H428" s="9">
        <v>12</v>
      </c>
      <c r="I428" s="9">
        <v>124</v>
      </c>
      <c r="J428" s="10">
        <v>93000</v>
      </c>
      <c r="K428" s="10">
        <v>32549.999999999996</v>
      </c>
      <c r="L428">
        <v>10</v>
      </c>
      <c r="M428" s="8">
        <v>43831</v>
      </c>
      <c r="N428" s="23">
        <v>4.6846464741612801E-4</v>
      </c>
      <c r="O428" s="10" t="str">
        <f>IF(Sales_Data[[#This Row],[Total Profit]]&gt;0,"Profitable","Loss")</f>
        <v>Profitable</v>
      </c>
      <c r="P428" s="10" t="str">
        <f>IF(Sales_Data[[#This Row],[Total Profit]]&gt;100000,"High Value",IF(Sales_Data[[#This Row],[Total Profit]]&gt;60000,"Medium","Low"))</f>
        <v>Low</v>
      </c>
      <c r="Q428" s="11" t="str">
        <f>PROPER(Sales_Data[[#This Row],[Month Name]])</f>
        <v>Março</v>
      </c>
      <c r="R428" s="11" t="str">
        <f>PROPER(Sales_Data[[#This Row],[Sales Manager]])</f>
        <v>Liam Lee</v>
      </c>
    </row>
    <row r="429" spans="1:18" hidden="1" x14ac:dyDescent="0.25">
      <c r="A429">
        <v>10428</v>
      </c>
      <c r="B429">
        <v>2020</v>
      </c>
      <c r="C429" t="s">
        <v>68</v>
      </c>
      <c r="D429" s="8">
        <v>43893</v>
      </c>
      <c r="E429" t="s">
        <v>11</v>
      </c>
      <c r="F429" t="s">
        <v>21</v>
      </c>
      <c r="G429" t="s">
        <v>20</v>
      </c>
      <c r="H429" s="9">
        <v>35</v>
      </c>
      <c r="I429" s="9">
        <v>429</v>
      </c>
      <c r="J429" s="10">
        <v>364650</v>
      </c>
      <c r="K429" s="10">
        <v>98455.5</v>
      </c>
      <c r="L429">
        <v>10</v>
      </c>
      <c r="M429" s="8">
        <v>43831</v>
      </c>
      <c r="N429" s="23">
        <v>1.8368347707558199E-3</v>
      </c>
      <c r="O429" s="10" t="str">
        <f>IF(Sales_Data[[#This Row],[Total Profit]]&gt;0,"Profitable","Loss")</f>
        <v>Profitable</v>
      </c>
      <c r="P429" s="10" t="str">
        <f>IF(Sales_Data[[#This Row],[Total Profit]]&gt;100000,"High Value",IF(Sales_Data[[#This Row],[Total Profit]]&gt;60000,"Medium","Low"))</f>
        <v>Medium</v>
      </c>
      <c r="Q429" s="11" t="str">
        <f>PROPER(Sales_Data[[#This Row],[Month Name]])</f>
        <v>Março</v>
      </c>
      <c r="R429" s="11" t="str">
        <f>PROPER(Sales_Data[[#This Row],[Sales Manager]])</f>
        <v>John Smith</v>
      </c>
    </row>
    <row r="430" spans="1:18" hidden="1" x14ac:dyDescent="0.25">
      <c r="A430">
        <v>10429</v>
      </c>
      <c r="B430">
        <v>2020</v>
      </c>
      <c r="C430" t="s">
        <v>68</v>
      </c>
      <c r="D430" s="8">
        <v>43894</v>
      </c>
      <c r="E430" t="s">
        <v>25</v>
      </c>
      <c r="F430" t="s">
        <v>24</v>
      </c>
      <c r="G430" t="s">
        <v>17</v>
      </c>
      <c r="H430" s="9">
        <v>25</v>
      </c>
      <c r="I430" s="9">
        <v>338</v>
      </c>
      <c r="J430" s="10">
        <v>84500</v>
      </c>
      <c r="K430" s="10">
        <v>22815</v>
      </c>
      <c r="L430">
        <v>10</v>
      </c>
      <c r="M430" s="8">
        <v>43831</v>
      </c>
      <c r="N430" s="23">
        <v>4.2564798609314803E-4</v>
      </c>
      <c r="O430" s="10" t="str">
        <f>IF(Sales_Data[[#This Row],[Total Profit]]&gt;0,"Profitable","Loss")</f>
        <v>Profitable</v>
      </c>
      <c r="P430" s="10" t="str">
        <f>IF(Sales_Data[[#This Row],[Total Profit]]&gt;100000,"High Value",IF(Sales_Data[[#This Row],[Total Profit]]&gt;60000,"Medium","Low"))</f>
        <v>Low</v>
      </c>
      <c r="Q430" s="11" t="str">
        <f>PROPER(Sales_Data[[#This Row],[Month Name]])</f>
        <v>Março</v>
      </c>
      <c r="R430" s="11" t="str">
        <f>PROPER(Sales_Data[[#This Row],[Sales Manager]])</f>
        <v>Liam Lee</v>
      </c>
    </row>
    <row r="431" spans="1:18" hidden="1" x14ac:dyDescent="0.25">
      <c r="A431">
        <v>10430</v>
      </c>
      <c r="B431">
        <v>2020</v>
      </c>
      <c r="C431" t="s">
        <v>68</v>
      </c>
      <c r="D431" s="8">
        <v>43895</v>
      </c>
      <c r="E431" t="s">
        <v>14</v>
      </c>
      <c r="F431" t="s">
        <v>21</v>
      </c>
      <c r="G431" t="s">
        <v>23</v>
      </c>
      <c r="H431" s="9">
        <v>15</v>
      </c>
      <c r="I431" s="9">
        <v>175</v>
      </c>
      <c r="J431" s="10">
        <v>61250</v>
      </c>
      <c r="K431" s="10">
        <v>15925</v>
      </c>
      <c r="L431">
        <v>10</v>
      </c>
      <c r="M431" s="8">
        <v>43831</v>
      </c>
      <c r="N431" s="23">
        <v>3.08531824239116E-4</v>
      </c>
      <c r="O431" s="10" t="str">
        <f>IF(Sales_Data[[#This Row],[Total Profit]]&gt;0,"Profitable","Loss")</f>
        <v>Profitable</v>
      </c>
      <c r="P431" s="10" t="str">
        <f>IF(Sales_Data[[#This Row],[Total Profit]]&gt;100000,"High Value",IF(Sales_Data[[#This Row],[Total Profit]]&gt;60000,"Medium","Low"))</f>
        <v>Low</v>
      </c>
      <c r="Q431" s="11" t="str">
        <f>PROPER(Sales_Data[[#This Row],[Month Name]])</f>
        <v>Março</v>
      </c>
      <c r="R431" s="11" t="str">
        <f>PROPER(Sales_Data[[#This Row],[Sales Manager]])</f>
        <v>John Smith</v>
      </c>
    </row>
    <row r="432" spans="1:18" hidden="1" x14ac:dyDescent="0.25">
      <c r="A432">
        <v>10431</v>
      </c>
      <c r="B432">
        <v>2020</v>
      </c>
      <c r="C432" t="s">
        <v>68</v>
      </c>
      <c r="D432" s="8">
        <v>43896</v>
      </c>
      <c r="E432" t="s">
        <v>11</v>
      </c>
      <c r="F432" t="s">
        <v>24</v>
      </c>
      <c r="G432" t="s">
        <v>20</v>
      </c>
      <c r="H432" s="9">
        <v>1</v>
      </c>
      <c r="I432" s="9">
        <v>18</v>
      </c>
      <c r="J432" s="10">
        <v>15300</v>
      </c>
      <c r="K432" s="10">
        <v>6732</v>
      </c>
      <c r="L432">
        <v>10</v>
      </c>
      <c r="M432" s="8">
        <v>43831</v>
      </c>
      <c r="N432" s="23">
        <v>7.7069990381362996E-5</v>
      </c>
      <c r="O432" s="10" t="str">
        <f>IF(Sales_Data[[#This Row],[Total Profit]]&gt;0,"Profitable","Loss")</f>
        <v>Profitable</v>
      </c>
      <c r="P432" s="10" t="str">
        <f>IF(Sales_Data[[#This Row],[Total Profit]]&gt;100000,"High Value",IF(Sales_Data[[#This Row],[Total Profit]]&gt;60000,"Medium","Low"))</f>
        <v>Low</v>
      </c>
      <c r="Q432" s="11" t="str">
        <f>PROPER(Sales_Data[[#This Row],[Month Name]])</f>
        <v>Março</v>
      </c>
      <c r="R432" s="11" t="str">
        <f>PROPER(Sales_Data[[#This Row],[Sales Manager]])</f>
        <v>Liam Lee</v>
      </c>
    </row>
    <row r="433" spans="1:18" hidden="1" x14ac:dyDescent="0.25">
      <c r="A433">
        <v>10432</v>
      </c>
      <c r="B433">
        <v>2020</v>
      </c>
      <c r="C433" t="s">
        <v>68</v>
      </c>
      <c r="D433" s="8">
        <v>43897</v>
      </c>
      <c r="E433" t="s">
        <v>25</v>
      </c>
      <c r="F433" t="s">
        <v>18</v>
      </c>
      <c r="G433" t="s">
        <v>17</v>
      </c>
      <c r="H433" s="9">
        <v>6</v>
      </c>
      <c r="I433" s="9">
        <v>327</v>
      </c>
      <c r="J433" s="10">
        <v>81750</v>
      </c>
      <c r="K433" s="10">
        <v>30247.5</v>
      </c>
      <c r="L433">
        <v>10</v>
      </c>
      <c r="M433" s="8">
        <v>43831</v>
      </c>
      <c r="N433" s="23">
        <v>4.1179553684159598E-4</v>
      </c>
      <c r="O433" s="10" t="str">
        <f>IF(Sales_Data[[#This Row],[Total Profit]]&gt;0,"Profitable","Loss")</f>
        <v>Profitable</v>
      </c>
      <c r="P433" s="10" t="str">
        <f>IF(Sales_Data[[#This Row],[Total Profit]]&gt;100000,"High Value",IF(Sales_Data[[#This Row],[Total Profit]]&gt;60000,"Medium","Low"))</f>
        <v>Low</v>
      </c>
      <c r="Q433" s="11" t="str">
        <f>PROPER(Sales_Data[[#This Row],[Month Name]])</f>
        <v>Março</v>
      </c>
      <c r="R433" s="11" t="str">
        <f>PROPER(Sales_Data[[#This Row],[Sales Manager]])</f>
        <v>Jane Doe</v>
      </c>
    </row>
    <row r="434" spans="1:18" hidden="1" x14ac:dyDescent="0.25">
      <c r="A434">
        <v>10433</v>
      </c>
      <c r="B434">
        <v>2020</v>
      </c>
      <c r="C434" t="s">
        <v>68</v>
      </c>
      <c r="D434" s="8">
        <v>43898</v>
      </c>
      <c r="E434" t="s">
        <v>22</v>
      </c>
      <c r="F434" t="s">
        <v>12</v>
      </c>
      <c r="G434" t="s">
        <v>20</v>
      </c>
      <c r="H434" s="9">
        <v>13</v>
      </c>
      <c r="I434" s="9">
        <v>330</v>
      </c>
      <c r="J434" s="10">
        <v>280500</v>
      </c>
      <c r="K434" s="10">
        <v>100980</v>
      </c>
      <c r="L434">
        <v>11</v>
      </c>
      <c r="M434" s="8">
        <v>43831</v>
      </c>
      <c r="N434" s="23">
        <v>1.4129498236583201E-3</v>
      </c>
      <c r="O434" s="10" t="str">
        <f>IF(Sales_Data[[#This Row],[Total Profit]]&gt;0,"Profitable","Loss")</f>
        <v>Profitable</v>
      </c>
      <c r="P434" s="10" t="str">
        <f>IF(Sales_Data[[#This Row],[Total Profit]]&gt;100000,"High Value",IF(Sales_Data[[#This Row],[Total Profit]]&gt;60000,"Medium","Low"))</f>
        <v>High Value</v>
      </c>
      <c r="Q434" s="11" t="str">
        <f>PROPER(Sales_Data[[#This Row],[Month Name]])</f>
        <v>Março</v>
      </c>
      <c r="R434" s="11" t="str">
        <f>PROPER(Sales_Data[[#This Row],[Sales Manager]])</f>
        <v>Emily White</v>
      </c>
    </row>
    <row r="435" spans="1:18" hidden="1" x14ac:dyDescent="0.25">
      <c r="A435">
        <v>10434</v>
      </c>
      <c r="B435">
        <v>2020</v>
      </c>
      <c r="C435" t="s">
        <v>68</v>
      </c>
      <c r="D435" s="8">
        <v>43899</v>
      </c>
      <c r="E435" t="s">
        <v>25</v>
      </c>
      <c r="F435" t="s">
        <v>16</v>
      </c>
      <c r="G435" t="s">
        <v>13</v>
      </c>
      <c r="H435" s="9">
        <v>8</v>
      </c>
      <c r="I435" s="9">
        <v>185</v>
      </c>
      <c r="J435" s="10">
        <v>138750</v>
      </c>
      <c r="K435" s="10">
        <v>36075</v>
      </c>
      <c r="L435">
        <v>11</v>
      </c>
      <c r="M435" s="8">
        <v>43831</v>
      </c>
      <c r="N435" s="23">
        <v>6.9891903041922302E-4</v>
      </c>
      <c r="O435" s="10" t="str">
        <f>IF(Sales_Data[[#This Row],[Total Profit]]&gt;0,"Profitable","Loss")</f>
        <v>Profitable</v>
      </c>
      <c r="P435" s="10" t="str">
        <f>IF(Sales_Data[[#This Row],[Total Profit]]&gt;100000,"High Value",IF(Sales_Data[[#This Row],[Total Profit]]&gt;60000,"Medium","Low"))</f>
        <v>Low</v>
      </c>
      <c r="Q435" s="11" t="str">
        <f>PROPER(Sales_Data[[#This Row],[Month Name]])</f>
        <v>Março</v>
      </c>
      <c r="R435" s="11" t="str">
        <f>PROPER(Sales_Data[[#This Row],[Sales Manager]])</f>
        <v>James Brown</v>
      </c>
    </row>
    <row r="436" spans="1:18" hidden="1" x14ac:dyDescent="0.25">
      <c r="A436">
        <v>10435</v>
      </c>
      <c r="B436">
        <v>2020</v>
      </c>
      <c r="C436" t="s">
        <v>68</v>
      </c>
      <c r="D436" s="8">
        <v>43900</v>
      </c>
      <c r="E436" t="s">
        <v>25</v>
      </c>
      <c r="F436" t="s">
        <v>12</v>
      </c>
      <c r="G436" t="s">
        <v>17</v>
      </c>
      <c r="H436" s="9">
        <v>6</v>
      </c>
      <c r="I436" s="9">
        <v>221</v>
      </c>
      <c r="J436" s="10">
        <v>55250</v>
      </c>
      <c r="K436" s="10">
        <v>8840</v>
      </c>
      <c r="L436">
        <v>11</v>
      </c>
      <c r="M436" s="8">
        <v>43831</v>
      </c>
      <c r="N436" s="23">
        <v>2.78308298599366E-4</v>
      </c>
      <c r="O436" s="10" t="str">
        <f>IF(Sales_Data[[#This Row],[Total Profit]]&gt;0,"Profitable","Loss")</f>
        <v>Profitable</v>
      </c>
      <c r="P436" s="10" t="str">
        <f>IF(Sales_Data[[#This Row],[Total Profit]]&gt;100000,"High Value",IF(Sales_Data[[#This Row],[Total Profit]]&gt;60000,"Medium","Low"))</f>
        <v>Low</v>
      </c>
      <c r="Q436" s="11" t="str">
        <f>PROPER(Sales_Data[[#This Row],[Month Name]])</f>
        <v>Março</v>
      </c>
      <c r="R436" s="11" t="str">
        <f>PROPER(Sales_Data[[#This Row],[Sales Manager]])</f>
        <v>Emily White</v>
      </c>
    </row>
    <row r="437" spans="1:18" hidden="1" x14ac:dyDescent="0.25">
      <c r="A437">
        <v>10436</v>
      </c>
      <c r="B437">
        <v>2020</v>
      </c>
      <c r="C437" t="s">
        <v>68</v>
      </c>
      <c r="D437" s="8">
        <v>43901</v>
      </c>
      <c r="E437" t="s">
        <v>25</v>
      </c>
      <c r="F437" t="s">
        <v>12</v>
      </c>
      <c r="G437" t="s">
        <v>23</v>
      </c>
      <c r="H437" s="9">
        <v>22</v>
      </c>
      <c r="I437" s="9">
        <v>475</v>
      </c>
      <c r="J437" s="10">
        <v>166250</v>
      </c>
      <c r="K437" s="10">
        <v>21612.5</v>
      </c>
      <c r="L437">
        <v>11</v>
      </c>
      <c r="M437" s="8">
        <v>43831</v>
      </c>
      <c r="N437" s="23">
        <v>8.3744352293474498E-4</v>
      </c>
      <c r="O437" s="10" t="str">
        <f>IF(Sales_Data[[#This Row],[Total Profit]]&gt;0,"Profitable","Loss")</f>
        <v>Profitable</v>
      </c>
      <c r="P437" s="10" t="str">
        <f>IF(Sales_Data[[#This Row],[Total Profit]]&gt;100000,"High Value",IF(Sales_Data[[#This Row],[Total Profit]]&gt;60000,"Medium","Low"))</f>
        <v>Low</v>
      </c>
      <c r="Q437" s="11" t="str">
        <f>PROPER(Sales_Data[[#This Row],[Month Name]])</f>
        <v>Março</v>
      </c>
      <c r="R437" s="11" t="str">
        <f>PROPER(Sales_Data[[#This Row],[Sales Manager]])</f>
        <v>Emily White</v>
      </c>
    </row>
    <row r="438" spans="1:18" hidden="1" x14ac:dyDescent="0.25">
      <c r="A438">
        <v>10437</v>
      </c>
      <c r="B438">
        <v>2020</v>
      </c>
      <c r="C438" t="s">
        <v>68</v>
      </c>
      <c r="D438" s="8">
        <v>43902</v>
      </c>
      <c r="E438" t="s">
        <v>22</v>
      </c>
      <c r="F438" t="s">
        <v>16</v>
      </c>
      <c r="G438" t="s">
        <v>17</v>
      </c>
      <c r="H438" s="9">
        <v>6</v>
      </c>
      <c r="I438" s="9">
        <v>246</v>
      </c>
      <c r="J438" s="10">
        <v>61500</v>
      </c>
      <c r="K438" s="10">
        <v>12300</v>
      </c>
      <c r="L438">
        <v>11</v>
      </c>
      <c r="M438" s="8">
        <v>43831</v>
      </c>
      <c r="N438" s="23">
        <v>3.0979113780743898E-4</v>
      </c>
      <c r="O438" s="10" t="str">
        <f>IF(Sales_Data[[#This Row],[Total Profit]]&gt;0,"Profitable","Loss")</f>
        <v>Profitable</v>
      </c>
      <c r="P438" s="10" t="str">
        <f>IF(Sales_Data[[#This Row],[Total Profit]]&gt;100000,"High Value",IF(Sales_Data[[#This Row],[Total Profit]]&gt;60000,"Medium","Low"))</f>
        <v>Low</v>
      </c>
      <c r="Q438" s="11" t="str">
        <f>PROPER(Sales_Data[[#This Row],[Month Name]])</f>
        <v>Março</v>
      </c>
      <c r="R438" s="11" t="str">
        <f>PROPER(Sales_Data[[#This Row],[Sales Manager]])</f>
        <v>James Brown</v>
      </c>
    </row>
    <row r="439" spans="1:18" hidden="1" x14ac:dyDescent="0.25">
      <c r="A439">
        <v>10438</v>
      </c>
      <c r="B439">
        <v>2020</v>
      </c>
      <c r="C439" t="s">
        <v>68</v>
      </c>
      <c r="D439" s="8">
        <v>43903</v>
      </c>
      <c r="E439" t="s">
        <v>22</v>
      </c>
      <c r="F439" t="s">
        <v>21</v>
      </c>
      <c r="G439" t="s">
        <v>23</v>
      </c>
      <c r="H439" s="9">
        <v>23</v>
      </c>
      <c r="I439" s="9">
        <v>326</v>
      </c>
      <c r="J439" s="10">
        <v>114100</v>
      </c>
      <c r="K439" s="10">
        <v>23961</v>
      </c>
      <c r="L439">
        <v>11</v>
      </c>
      <c r="M439" s="8">
        <v>43831</v>
      </c>
      <c r="N439" s="23">
        <v>5.7475071258258296E-4</v>
      </c>
      <c r="O439" s="10" t="str">
        <f>IF(Sales_Data[[#This Row],[Total Profit]]&gt;0,"Profitable","Loss")</f>
        <v>Profitable</v>
      </c>
      <c r="P439" s="10" t="str">
        <f>IF(Sales_Data[[#This Row],[Total Profit]]&gt;100000,"High Value",IF(Sales_Data[[#This Row],[Total Profit]]&gt;60000,"Medium","Low"))</f>
        <v>Low</v>
      </c>
      <c r="Q439" s="11" t="str">
        <f>PROPER(Sales_Data[[#This Row],[Month Name]])</f>
        <v>Março</v>
      </c>
      <c r="R439" s="11" t="str">
        <f>PROPER(Sales_Data[[#This Row],[Sales Manager]])</f>
        <v>John Smith</v>
      </c>
    </row>
    <row r="440" spans="1:18" hidden="1" x14ac:dyDescent="0.25">
      <c r="A440">
        <v>10439</v>
      </c>
      <c r="B440">
        <v>2020</v>
      </c>
      <c r="C440" t="s">
        <v>68</v>
      </c>
      <c r="D440" s="8">
        <v>43904</v>
      </c>
      <c r="E440" t="s">
        <v>22</v>
      </c>
      <c r="F440" t="s">
        <v>24</v>
      </c>
      <c r="G440" t="s">
        <v>20</v>
      </c>
      <c r="H440" s="9">
        <v>2</v>
      </c>
      <c r="I440" s="9">
        <v>39</v>
      </c>
      <c r="J440" s="10">
        <v>33150</v>
      </c>
      <c r="K440" s="10">
        <v>5967</v>
      </c>
      <c r="L440">
        <v>11</v>
      </c>
      <c r="M440" s="8">
        <v>43831</v>
      </c>
      <c r="N440" s="23">
        <v>1.6698497915961999E-4</v>
      </c>
      <c r="O440" s="10" t="str">
        <f>IF(Sales_Data[[#This Row],[Total Profit]]&gt;0,"Profitable","Loss")</f>
        <v>Profitable</v>
      </c>
      <c r="P440" s="10" t="str">
        <f>IF(Sales_Data[[#This Row],[Total Profit]]&gt;100000,"High Value",IF(Sales_Data[[#This Row],[Total Profit]]&gt;60000,"Medium","Low"))</f>
        <v>Low</v>
      </c>
      <c r="Q440" s="11" t="str">
        <f>PROPER(Sales_Data[[#This Row],[Month Name]])</f>
        <v>Março</v>
      </c>
      <c r="R440" s="11" t="str">
        <f>PROPER(Sales_Data[[#This Row],[Sales Manager]])</f>
        <v>Liam Lee</v>
      </c>
    </row>
    <row r="441" spans="1:18" hidden="1" x14ac:dyDescent="0.25">
      <c r="A441">
        <v>10440</v>
      </c>
      <c r="B441">
        <v>2020</v>
      </c>
      <c r="C441" t="s">
        <v>68</v>
      </c>
      <c r="D441" s="8">
        <v>43905</v>
      </c>
      <c r="E441" t="s">
        <v>25</v>
      </c>
      <c r="F441" t="s">
        <v>12</v>
      </c>
      <c r="G441" t="s">
        <v>15</v>
      </c>
      <c r="H441" s="9">
        <v>1</v>
      </c>
      <c r="I441" s="9">
        <v>11</v>
      </c>
      <c r="J441" s="10">
        <v>5500</v>
      </c>
      <c r="K441" s="10">
        <v>2200</v>
      </c>
      <c r="L441">
        <v>12</v>
      </c>
      <c r="M441" s="8">
        <v>43831</v>
      </c>
      <c r="N441" s="23">
        <v>2.77048985031043E-5</v>
      </c>
      <c r="O441" s="10" t="str">
        <f>IF(Sales_Data[[#This Row],[Total Profit]]&gt;0,"Profitable","Loss")</f>
        <v>Profitable</v>
      </c>
      <c r="P441" s="10" t="str">
        <f>IF(Sales_Data[[#This Row],[Total Profit]]&gt;100000,"High Value",IF(Sales_Data[[#This Row],[Total Profit]]&gt;60000,"Medium","Low"))</f>
        <v>Low</v>
      </c>
      <c r="Q441" s="11" t="str">
        <f>PROPER(Sales_Data[[#This Row],[Month Name]])</f>
        <v>Março</v>
      </c>
      <c r="R441" s="11" t="str">
        <f>PROPER(Sales_Data[[#This Row],[Sales Manager]])</f>
        <v>Emily White</v>
      </c>
    </row>
    <row r="442" spans="1:18" hidden="1" x14ac:dyDescent="0.25">
      <c r="A442">
        <v>10441</v>
      </c>
      <c r="B442">
        <v>2020</v>
      </c>
      <c r="C442" t="s">
        <v>68</v>
      </c>
      <c r="D442" s="8">
        <v>43906</v>
      </c>
      <c r="E442" t="s">
        <v>19</v>
      </c>
      <c r="F442" t="s">
        <v>24</v>
      </c>
      <c r="G442" t="s">
        <v>20</v>
      </c>
      <c r="H442" s="9">
        <v>1</v>
      </c>
      <c r="I442" s="9">
        <v>13</v>
      </c>
      <c r="J442" s="10">
        <v>11050</v>
      </c>
      <c r="K442" s="10">
        <v>2431</v>
      </c>
      <c r="L442">
        <v>12</v>
      </c>
      <c r="M442" s="8">
        <v>43831</v>
      </c>
      <c r="N442" s="23">
        <v>5.5661659719873302E-5</v>
      </c>
      <c r="O442" s="10" t="str">
        <f>IF(Sales_Data[[#This Row],[Total Profit]]&gt;0,"Profitable","Loss")</f>
        <v>Profitable</v>
      </c>
      <c r="P442" s="10" t="str">
        <f>IF(Sales_Data[[#This Row],[Total Profit]]&gt;100000,"High Value",IF(Sales_Data[[#This Row],[Total Profit]]&gt;60000,"Medium","Low"))</f>
        <v>Low</v>
      </c>
      <c r="Q442" s="11" t="str">
        <f>PROPER(Sales_Data[[#This Row],[Month Name]])</f>
        <v>Março</v>
      </c>
      <c r="R442" s="11" t="str">
        <f>PROPER(Sales_Data[[#This Row],[Sales Manager]])</f>
        <v>Liam Lee</v>
      </c>
    </row>
    <row r="443" spans="1:18" hidden="1" x14ac:dyDescent="0.25">
      <c r="A443">
        <v>10442</v>
      </c>
      <c r="B443">
        <v>2020</v>
      </c>
      <c r="C443" t="s">
        <v>68</v>
      </c>
      <c r="D443" s="8">
        <v>43907</v>
      </c>
      <c r="E443" t="s">
        <v>11</v>
      </c>
      <c r="F443" t="s">
        <v>18</v>
      </c>
      <c r="G443" t="s">
        <v>13</v>
      </c>
      <c r="H443" s="9">
        <v>31</v>
      </c>
      <c r="I443" s="9">
        <v>390</v>
      </c>
      <c r="J443" s="10">
        <v>292500</v>
      </c>
      <c r="K443" s="10">
        <v>40950.000000000007</v>
      </c>
      <c r="L443">
        <v>12</v>
      </c>
      <c r="M443" s="8">
        <v>43831</v>
      </c>
      <c r="N443" s="23">
        <v>1.47339687493782E-3</v>
      </c>
      <c r="O443" s="10" t="str">
        <f>IF(Sales_Data[[#This Row],[Total Profit]]&gt;0,"Profitable","Loss")</f>
        <v>Profitable</v>
      </c>
      <c r="P443" s="10" t="str">
        <f>IF(Sales_Data[[#This Row],[Total Profit]]&gt;100000,"High Value",IF(Sales_Data[[#This Row],[Total Profit]]&gt;60000,"Medium","Low"))</f>
        <v>Low</v>
      </c>
      <c r="Q443" s="11" t="str">
        <f>PROPER(Sales_Data[[#This Row],[Month Name]])</f>
        <v>Março</v>
      </c>
      <c r="R443" s="11" t="str">
        <f>PROPER(Sales_Data[[#This Row],[Sales Manager]])</f>
        <v>Jane Doe</v>
      </c>
    </row>
    <row r="444" spans="1:18" hidden="1" x14ac:dyDescent="0.25">
      <c r="A444">
        <v>10443</v>
      </c>
      <c r="B444">
        <v>2020</v>
      </c>
      <c r="C444" t="s">
        <v>68</v>
      </c>
      <c r="D444" s="8">
        <v>43908</v>
      </c>
      <c r="E444" t="s">
        <v>14</v>
      </c>
      <c r="F444" t="s">
        <v>18</v>
      </c>
      <c r="G444" t="s">
        <v>20</v>
      </c>
      <c r="H444" s="9">
        <v>3</v>
      </c>
      <c r="I444" s="9">
        <v>95</v>
      </c>
      <c r="J444" s="10">
        <v>80750</v>
      </c>
      <c r="K444" s="10">
        <v>9690</v>
      </c>
      <c r="L444">
        <v>12</v>
      </c>
      <c r="M444" s="8">
        <v>43831</v>
      </c>
      <c r="N444" s="23">
        <v>4.0675828256830497E-4</v>
      </c>
      <c r="O444" s="10" t="str">
        <f>IF(Sales_Data[[#This Row],[Total Profit]]&gt;0,"Profitable","Loss")</f>
        <v>Profitable</v>
      </c>
      <c r="P444" s="10" t="str">
        <f>IF(Sales_Data[[#This Row],[Total Profit]]&gt;100000,"High Value",IF(Sales_Data[[#This Row],[Total Profit]]&gt;60000,"Medium","Low"))</f>
        <v>Low</v>
      </c>
      <c r="Q444" s="11" t="str">
        <f>PROPER(Sales_Data[[#This Row],[Month Name]])</f>
        <v>Março</v>
      </c>
      <c r="R444" s="11" t="str">
        <f>PROPER(Sales_Data[[#This Row],[Sales Manager]])</f>
        <v>Jane Doe</v>
      </c>
    </row>
    <row r="445" spans="1:18" hidden="1" x14ac:dyDescent="0.25">
      <c r="A445">
        <v>10444</v>
      </c>
      <c r="B445">
        <v>2020</v>
      </c>
      <c r="C445" t="s">
        <v>68</v>
      </c>
      <c r="D445" s="8">
        <v>43909</v>
      </c>
      <c r="E445" t="s">
        <v>22</v>
      </c>
      <c r="F445" t="s">
        <v>24</v>
      </c>
      <c r="G445" t="s">
        <v>23</v>
      </c>
      <c r="H445" s="9">
        <v>21</v>
      </c>
      <c r="I445" s="9">
        <v>294</v>
      </c>
      <c r="J445" s="10">
        <v>102900</v>
      </c>
      <c r="K445" s="10">
        <v>45276</v>
      </c>
      <c r="L445">
        <v>12</v>
      </c>
      <c r="M445" s="8">
        <v>43831</v>
      </c>
      <c r="N445" s="23">
        <v>5.1833346472171602E-4</v>
      </c>
      <c r="O445" s="10" t="str">
        <f>IF(Sales_Data[[#This Row],[Total Profit]]&gt;0,"Profitable","Loss")</f>
        <v>Profitable</v>
      </c>
      <c r="P445" s="10" t="str">
        <f>IF(Sales_Data[[#This Row],[Total Profit]]&gt;100000,"High Value",IF(Sales_Data[[#This Row],[Total Profit]]&gt;60000,"Medium","Low"))</f>
        <v>Low</v>
      </c>
      <c r="Q445" s="11" t="str">
        <f>PROPER(Sales_Data[[#This Row],[Month Name]])</f>
        <v>Março</v>
      </c>
      <c r="R445" s="11" t="str">
        <f>PROPER(Sales_Data[[#This Row],[Sales Manager]])</f>
        <v>Liam Lee</v>
      </c>
    </row>
    <row r="446" spans="1:18" hidden="1" x14ac:dyDescent="0.25">
      <c r="A446">
        <v>10445</v>
      </c>
      <c r="B446">
        <v>2020</v>
      </c>
      <c r="C446" t="s">
        <v>68</v>
      </c>
      <c r="D446" s="8">
        <v>43910</v>
      </c>
      <c r="E446" t="s">
        <v>14</v>
      </c>
      <c r="F446" t="s">
        <v>16</v>
      </c>
      <c r="G446" t="s">
        <v>23</v>
      </c>
      <c r="H446" s="9">
        <v>28</v>
      </c>
      <c r="I446" s="9">
        <v>413</v>
      </c>
      <c r="J446" s="10">
        <v>144550</v>
      </c>
      <c r="K446" s="10">
        <v>57820</v>
      </c>
      <c r="L446">
        <v>12</v>
      </c>
      <c r="M446" s="8">
        <v>43831</v>
      </c>
      <c r="N446" s="23">
        <v>7.2813510520431497E-4</v>
      </c>
      <c r="O446" s="10" t="str">
        <f>IF(Sales_Data[[#This Row],[Total Profit]]&gt;0,"Profitable","Loss")</f>
        <v>Profitable</v>
      </c>
      <c r="P446" s="10" t="str">
        <f>IF(Sales_Data[[#This Row],[Total Profit]]&gt;100000,"High Value",IF(Sales_Data[[#This Row],[Total Profit]]&gt;60000,"Medium","Low"))</f>
        <v>Low</v>
      </c>
      <c r="Q446" s="11" t="str">
        <f>PROPER(Sales_Data[[#This Row],[Month Name]])</f>
        <v>Março</v>
      </c>
      <c r="R446" s="11" t="str">
        <f>PROPER(Sales_Data[[#This Row],[Sales Manager]])</f>
        <v>James Brown</v>
      </c>
    </row>
    <row r="447" spans="1:18" hidden="1" x14ac:dyDescent="0.25">
      <c r="A447">
        <v>10446</v>
      </c>
      <c r="B447">
        <v>2020</v>
      </c>
      <c r="C447" t="s">
        <v>68</v>
      </c>
      <c r="D447" s="8">
        <v>43911</v>
      </c>
      <c r="E447" t="s">
        <v>22</v>
      </c>
      <c r="F447" t="s">
        <v>16</v>
      </c>
      <c r="G447" t="s">
        <v>17</v>
      </c>
      <c r="H447" s="9">
        <v>9</v>
      </c>
      <c r="I447" s="9">
        <v>103</v>
      </c>
      <c r="J447" s="10">
        <v>25750</v>
      </c>
      <c r="K447" s="10">
        <v>10300</v>
      </c>
      <c r="L447">
        <v>12</v>
      </c>
      <c r="M447" s="8">
        <v>43831</v>
      </c>
      <c r="N447" s="23">
        <v>1.2970929753726101E-4</v>
      </c>
      <c r="O447" s="10" t="str">
        <f>IF(Sales_Data[[#This Row],[Total Profit]]&gt;0,"Profitable","Loss")</f>
        <v>Profitable</v>
      </c>
      <c r="P447" s="10" t="str">
        <f>IF(Sales_Data[[#This Row],[Total Profit]]&gt;100000,"High Value",IF(Sales_Data[[#This Row],[Total Profit]]&gt;60000,"Medium","Low"))</f>
        <v>Low</v>
      </c>
      <c r="Q447" s="11" t="str">
        <f>PROPER(Sales_Data[[#This Row],[Month Name]])</f>
        <v>Março</v>
      </c>
      <c r="R447" s="11" t="str">
        <f>PROPER(Sales_Data[[#This Row],[Sales Manager]])</f>
        <v>James Brown</v>
      </c>
    </row>
    <row r="448" spans="1:18" hidden="1" x14ac:dyDescent="0.25">
      <c r="A448">
        <v>10447</v>
      </c>
      <c r="B448">
        <v>2020</v>
      </c>
      <c r="C448" t="s">
        <v>68</v>
      </c>
      <c r="D448" s="8">
        <v>43912</v>
      </c>
      <c r="E448" t="s">
        <v>14</v>
      </c>
      <c r="F448" t="s">
        <v>24</v>
      </c>
      <c r="G448" t="s">
        <v>17</v>
      </c>
      <c r="H448" s="9">
        <v>6</v>
      </c>
      <c r="I448" s="9">
        <v>177</v>
      </c>
      <c r="J448" s="10">
        <v>44250</v>
      </c>
      <c r="K448" s="10">
        <v>9292.5</v>
      </c>
      <c r="L448">
        <v>13</v>
      </c>
      <c r="M448" s="8">
        <v>43831</v>
      </c>
      <c r="N448" s="23">
        <v>2.2289850159315801E-4</v>
      </c>
      <c r="O448" s="10" t="str">
        <f>IF(Sales_Data[[#This Row],[Total Profit]]&gt;0,"Profitable","Loss")</f>
        <v>Profitable</v>
      </c>
      <c r="P448" s="10" t="str">
        <f>IF(Sales_Data[[#This Row],[Total Profit]]&gt;100000,"High Value",IF(Sales_Data[[#This Row],[Total Profit]]&gt;60000,"Medium","Low"))</f>
        <v>Low</v>
      </c>
      <c r="Q448" s="11" t="str">
        <f>PROPER(Sales_Data[[#This Row],[Month Name]])</f>
        <v>Março</v>
      </c>
      <c r="R448" s="11" t="str">
        <f>PROPER(Sales_Data[[#This Row],[Sales Manager]])</f>
        <v>Liam Lee</v>
      </c>
    </row>
    <row r="449" spans="1:18" hidden="1" x14ac:dyDescent="0.25">
      <c r="A449">
        <v>10448</v>
      </c>
      <c r="B449">
        <v>2020</v>
      </c>
      <c r="C449" t="s">
        <v>68</v>
      </c>
      <c r="D449" s="8">
        <v>43913</v>
      </c>
      <c r="E449" t="s">
        <v>22</v>
      </c>
      <c r="F449" t="s">
        <v>21</v>
      </c>
      <c r="G449" t="s">
        <v>17</v>
      </c>
      <c r="H449" s="9">
        <v>2</v>
      </c>
      <c r="I449" s="9">
        <v>104</v>
      </c>
      <c r="J449" s="10">
        <v>26000</v>
      </c>
      <c r="K449" s="10">
        <v>2600</v>
      </c>
      <c r="L449">
        <v>13</v>
      </c>
      <c r="M449" s="8">
        <v>43831</v>
      </c>
      <c r="N449" s="23">
        <v>1.3096861110558399E-4</v>
      </c>
      <c r="O449" s="10" t="str">
        <f>IF(Sales_Data[[#This Row],[Total Profit]]&gt;0,"Profitable","Loss")</f>
        <v>Profitable</v>
      </c>
      <c r="P449" s="10" t="str">
        <f>IF(Sales_Data[[#This Row],[Total Profit]]&gt;100000,"High Value",IF(Sales_Data[[#This Row],[Total Profit]]&gt;60000,"Medium","Low"))</f>
        <v>Low</v>
      </c>
      <c r="Q449" s="11" t="str">
        <f>PROPER(Sales_Data[[#This Row],[Month Name]])</f>
        <v>Março</v>
      </c>
      <c r="R449" s="11" t="str">
        <f>PROPER(Sales_Data[[#This Row],[Sales Manager]])</f>
        <v>John Smith</v>
      </c>
    </row>
    <row r="450" spans="1:18" hidden="1" x14ac:dyDescent="0.25">
      <c r="A450">
        <v>10449</v>
      </c>
      <c r="B450">
        <v>2020</v>
      </c>
      <c r="C450" t="s">
        <v>68</v>
      </c>
      <c r="D450" s="8">
        <v>43914</v>
      </c>
      <c r="E450" t="s">
        <v>25</v>
      </c>
      <c r="F450" t="s">
        <v>24</v>
      </c>
      <c r="G450" t="s">
        <v>23</v>
      </c>
      <c r="H450" s="9">
        <v>28</v>
      </c>
      <c r="I450" s="9">
        <v>294</v>
      </c>
      <c r="J450" s="10">
        <v>102900</v>
      </c>
      <c r="K450" s="10">
        <v>28812.000000000004</v>
      </c>
      <c r="L450">
        <v>13</v>
      </c>
      <c r="M450" s="8">
        <v>43831</v>
      </c>
      <c r="N450" s="23">
        <v>5.1833346472171602E-4</v>
      </c>
      <c r="O450" s="10" t="str">
        <f>IF(Sales_Data[[#This Row],[Total Profit]]&gt;0,"Profitable","Loss")</f>
        <v>Profitable</v>
      </c>
      <c r="P450" s="10" t="str">
        <f>IF(Sales_Data[[#This Row],[Total Profit]]&gt;100000,"High Value",IF(Sales_Data[[#This Row],[Total Profit]]&gt;60000,"Medium","Low"))</f>
        <v>Low</v>
      </c>
      <c r="Q450" s="11" t="str">
        <f>PROPER(Sales_Data[[#This Row],[Month Name]])</f>
        <v>Março</v>
      </c>
      <c r="R450" s="11" t="str">
        <f>PROPER(Sales_Data[[#This Row],[Sales Manager]])</f>
        <v>Liam Lee</v>
      </c>
    </row>
    <row r="451" spans="1:18" hidden="1" x14ac:dyDescent="0.25">
      <c r="A451">
        <v>10450</v>
      </c>
      <c r="B451">
        <v>2020</v>
      </c>
      <c r="C451" t="s">
        <v>68</v>
      </c>
      <c r="D451" s="8">
        <v>43915</v>
      </c>
      <c r="E451" t="s">
        <v>19</v>
      </c>
      <c r="F451" t="s">
        <v>21</v>
      </c>
      <c r="G451" t="s">
        <v>13</v>
      </c>
      <c r="H451" s="9">
        <v>4</v>
      </c>
      <c r="I451" s="9">
        <v>44</v>
      </c>
      <c r="J451" s="10">
        <v>33000</v>
      </c>
      <c r="K451" s="10">
        <v>8910</v>
      </c>
      <c r="L451">
        <v>13</v>
      </c>
      <c r="M451" s="8">
        <v>43831</v>
      </c>
      <c r="N451" s="23">
        <v>1.66229391018626E-4</v>
      </c>
      <c r="O451" s="10" t="str">
        <f>IF(Sales_Data[[#This Row],[Total Profit]]&gt;0,"Profitable","Loss")</f>
        <v>Profitable</v>
      </c>
      <c r="P451" s="10" t="str">
        <f>IF(Sales_Data[[#This Row],[Total Profit]]&gt;100000,"High Value",IF(Sales_Data[[#This Row],[Total Profit]]&gt;60000,"Medium","Low"))</f>
        <v>Low</v>
      </c>
      <c r="Q451" s="11" t="str">
        <f>PROPER(Sales_Data[[#This Row],[Month Name]])</f>
        <v>Março</v>
      </c>
      <c r="R451" s="11" t="str">
        <f>PROPER(Sales_Data[[#This Row],[Sales Manager]])</f>
        <v>John Smith</v>
      </c>
    </row>
    <row r="452" spans="1:18" hidden="1" x14ac:dyDescent="0.25">
      <c r="A452">
        <v>10451</v>
      </c>
      <c r="B452">
        <v>2020</v>
      </c>
      <c r="C452" t="s">
        <v>68</v>
      </c>
      <c r="D452" s="8">
        <v>43916</v>
      </c>
      <c r="E452" t="s">
        <v>25</v>
      </c>
      <c r="F452" t="s">
        <v>12</v>
      </c>
      <c r="G452" t="s">
        <v>15</v>
      </c>
      <c r="H452" s="9">
        <v>10</v>
      </c>
      <c r="I452" s="9">
        <v>337</v>
      </c>
      <c r="J452" s="10">
        <v>168500</v>
      </c>
      <c r="K452" s="10">
        <v>23590.000000000004</v>
      </c>
      <c r="L452">
        <v>13</v>
      </c>
      <c r="M452" s="8">
        <v>43831</v>
      </c>
      <c r="N452" s="23">
        <v>8.4877734504965096E-4</v>
      </c>
      <c r="O452" s="10" t="str">
        <f>IF(Sales_Data[[#This Row],[Total Profit]]&gt;0,"Profitable","Loss")</f>
        <v>Profitable</v>
      </c>
      <c r="P452" s="10" t="str">
        <f>IF(Sales_Data[[#This Row],[Total Profit]]&gt;100000,"High Value",IF(Sales_Data[[#This Row],[Total Profit]]&gt;60000,"Medium","Low"))</f>
        <v>Low</v>
      </c>
      <c r="Q452" s="11" t="str">
        <f>PROPER(Sales_Data[[#This Row],[Month Name]])</f>
        <v>Março</v>
      </c>
      <c r="R452" s="11" t="str">
        <f>PROPER(Sales_Data[[#This Row],[Sales Manager]])</f>
        <v>Emily White</v>
      </c>
    </row>
    <row r="453" spans="1:18" hidden="1" x14ac:dyDescent="0.25">
      <c r="A453">
        <v>10452</v>
      </c>
      <c r="B453">
        <v>2020</v>
      </c>
      <c r="C453" t="s">
        <v>68</v>
      </c>
      <c r="D453" s="8">
        <v>43917</v>
      </c>
      <c r="E453" t="s">
        <v>22</v>
      </c>
      <c r="F453" t="s">
        <v>12</v>
      </c>
      <c r="G453" t="s">
        <v>23</v>
      </c>
      <c r="H453" s="9">
        <v>10</v>
      </c>
      <c r="I453" s="9">
        <v>339</v>
      </c>
      <c r="J453" s="10">
        <v>118650</v>
      </c>
      <c r="K453" s="10">
        <v>26103</v>
      </c>
      <c r="L453">
        <v>13</v>
      </c>
      <c r="M453" s="8">
        <v>43831</v>
      </c>
      <c r="N453" s="23">
        <v>5.9767021952606E-4</v>
      </c>
      <c r="O453" s="10" t="str">
        <f>IF(Sales_Data[[#This Row],[Total Profit]]&gt;0,"Profitable","Loss")</f>
        <v>Profitable</v>
      </c>
      <c r="P453" s="10" t="str">
        <f>IF(Sales_Data[[#This Row],[Total Profit]]&gt;100000,"High Value",IF(Sales_Data[[#This Row],[Total Profit]]&gt;60000,"Medium","Low"))</f>
        <v>Low</v>
      </c>
      <c r="Q453" s="11" t="str">
        <f>PROPER(Sales_Data[[#This Row],[Month Name]])</f>
        <v>Março</v>
      </c>
      <c r="R453" s="11" t="str">
        <f>PROPER(Sales_Data[[#This Row],[Sales Manager]])</f>
        <v>Emily White</v>
      </c>
    </row>
    <row r="454" spans="1:18" hidden="1" x14ac:dyDescent="0.25">
      <c r="A454">
        <v>10453</v>
      </c>
      <c r="B454">
        <v>2020</v>
      </c>
      <c r="C454" t="s">
        <v>68</v>
      </c>
      <c r="D454" s="8">
        <v>43918</v>
      </c>
      <c r="E454" t="s">
        <v>14</v>
      </c>
      <c r="F454" t="s">
        <v>21</v>
      </c>
      <c r="G454" t="s">
        <v>20</v>
      </c>
      <c r="H454" s="9">
        <v>10</v>
      </c>
      <c r="I454" s="9">
        <v>331</v>
      </c>
      <c r="J454" s="10">
        <v>281350</v>
      </c>
      <c r="K454" s="10">
        <v>118167</v>
      </c>
      <c r="L454">
        <v>13</v>
      </c>
      <c r="M454" s="8">
        <v>43831</v>
      </c>
      <c r="N454" s="23">
        <v>1.4172314897906201E-3</v>
      </c>
      <c r="O454" s="10" t="str">
        <f>IF(Sales_Data[[#This Row],[Total Profit]]&gt;0,"Profitable","Loss")</f>
        <v>Profitable</v>
      </c>
      <c r="P454" s="10" t="str">
        <f>IF(Sales_Data[[#This Row],[Total Profit]]&gt;100000,"High Value",IF(Sales_Data[[#This Row],[Total Profit]]&gt;60000,"Medium","Low"))</f>
        <v>High Value</v>
      </c>
      <c r="Q454" s="11" t="str">
        <f>PROPER(Sales_Data[[#This Row],[Month Name]])</f>
        <v>Março</v>
      </c>
      <c r="R454" s="11" t="str">
        <f>PROPER(Sales_Data[[#This Row],[Sales Manager]])</f>
        <v>John Smith</v>
      </c>
    </row>
    <row r="455" spans="1:18" hidden="1" x14ac:dyDescent="0.25">
      <c r="A455">
        <v>10454</v>
      </c>
      <c r="B455">
        <v>2020</v>
      </c>
      <c r="C455" t="s">
        <v>68</v>
      </c>
      <c r="D455" s="8">
        <v>43919</v>
      </c>
      <c r="E455" t="s">
        <v>19</v>
      </c>
      <c r="F455" t="s">
        <v>21</v>
      </c>
      <c r="G455" t="s">
        <v>13</v>
      </c>
      <c r="H455" s="9">
        <v>19</v>
      </c>
      <c r="I455" s="9">
        <v>444</v>
      </c>
      <c r="J455" s="10">
        <v>333000</v>
      </c>
      <c r="K455" s="10">
        <v>123210</v>
      </c>
      <c r="L455">
        <v>14</v>
      </c>
      <c r="M455" s="8">
        <v>43831</v>
      </c>
      <c r="N455" s="23">
        <v>1.6774056730061401E-3</v>
      </c>
      <c r="O455" s="10" t="str">
        <f>IF(Sales_Data[[#This Row],[Total Profit]]&gt;0,"Profitable","Loss")</f>
        <v>Profitable</v>
      </c>
      <c r="P455" s="10" t="str">
        <f>IF(Sales_Data[[#This Row],[Total Profit]]&gt;100000,"High Value",IF(Sales_Data[[#This Row],[Total Profit]]&gt;60000,"Medium","Low"))</f>
        <v>High Value</v>
      </c>
      <c r="Q455" s="11" t="str">
        <f>PROPER(Sales_Data[[#This Row],[Month Name]])</f>
        <v>Março</v>
      </c>
      <c r="R455" s="11" t="str">
        <f>PROPER(Sales_Data[[#This Row],[Sales Manager]])</f>
        <v>John Smith</v>
      </c>
    </row>
    <row r="456" spans="1:18" hidden="1" x14ac:dyDescent="0.25">
      <c r="A456">
        <v>10455</v>
      </c>
      <c r="B456">
        <v>2020</v>
      </c>
      <c r="C456" t="s">
        <v>68</v>
      </c>
      <c r="D456" s="8">
        <v>43920</v>
      </c>
      <c r="E456" t="s">
        <v>19</v>
      </c>
      <c r="F456" t="s">
        <v>18</v>
      </c>
      <c r="G456" t="s">
        <v>17</v>
      </c>
      <c r="H456" s="9">
        <v>15</v>
      </c>
      <c r="I456" s="9">
        <v>173</v>
      </c>
      <c r="J456" s="10">
        <v>43250</v>
      </c>
      <c r="K456" s="10">
        <v>6055.0000000000009</v>
      </c>
      <c r="L456">
        <v>14</v>
      </c>
      <c r="M456" s="8">
        <v>43831</v>
      </c>
      <c r="N456" s="23">
        <v>2.17861247319866E-4</v>
      </c>
      <c r="O456" s="10" t="str">
        <f>IF(Sales_Data[[#This Row],[Total Profit]]&gt;0,"Profitable","Loss")</f>
        <v>Profitable</v>
      </c>
      <c r="P456" s="10" t="str">
        <f>IF(Sales_Data[[#This Row],[Total Profit]]&gt;100000,"High Value",IF(Sales_Data[[#This Row],[Total Profit]]&gt;60000,"Medium","Low"))</f>
        <v>Low</v>
      </c>
      <c r="Q456" s="11" t="str">
        <f>PROPER(Sales_Data[[#This Row],[Month Name]])</f>
        <v>Março</v>
      </c>
      <c r="R456" s="11" t="str">
        <f>PROPER(Sales_Data[[#This Row],[Sales Manager]])</f>
        <v>Jane Doe</v>
      </c>
    </row>
    <row r="457" spans="1:18" hidden="1" x14ac:dyDescent="0.25">
      <c r="A457">
        <v>10456</v>
      </c>
      <c r="B457">
        <v>2020</v>
      </c>
      <c r="C457" t="s">
        <v>68</v>
      </c>
      <c r="D457" s="8">
        <v>43921</v>
      </c>
      <c r="E457" t="s">
        <v>11</v>
      </c>
      <c r="F457" t="s">
        <v>18</v>
      </c>
      <c r="G457" t="s">
        <v>13</v>
      </c>
      <c r="H457" s="9">
        <v>1</v>
      </c>
      <c r="I457" s="9">
        <v>32</v>
      </c>
      <c r="J457" s="10">
        <v>24000</v>
      </c>
      <c r="K457" s="10">
        <v>2880</v>
      </c>
      <c r="L457">
        <v>14</v>
      </c>
      <c r="M457" s="8">
        <v>43831</v>
      </c>
      <c r="N457" s="23">
        <v>1.20894102559001E-4</v>
      </c>
      <c r="O457" s="10" t="str">
        <f>IF(Sales_Data[[#This Row],[Total Profit]]&gt;0,"Profitable","Loss")</f>
        <v>Profitable</v>
      </c>
      <c r="P457" s="10" t="str">
        <f>IF(Sales_Data[[#This Row],[Total Profit]]&gt;100000,"High Value",IF(Sales_Data[[#This Row],[Total Profit]]&gt;60000,"Medium","Low"))</f>
        <v>Low</v>
      </c>
      <c r="Q457" s="11" t="str">
        <f>PROPER(Sales_Data[[#This Row],[Month Name]])</f>
        <v>Março</v>
      </c>
      <c r="R457" s="11" t="str">
        <f>PROPER(Sales_Data[[#This Row],[Sales Manager]])</f>
        <v>Jane Doe</v>
      </c>
    </row>
    <row r="458" spans="1:18" hidden="1" x14ac:dyDescent="0.25">
      <c r="A458">
        <v>10457</v>
      </c>
      <c r="B458">
        <v>2020</v>
      </c>
      <c r="C458" t="s">
        <v>69</v>
      </c>
      <c r="D458" s="8">
        <v>43922</v>
      </c>
      <c r="E458" t="s">
        <v>22</v>
      </c>
      <c r="F458" t="s">
        <v>16</v>
      </c>
      <c r="G458" t="s">
        <v>17</v>
      </c>
      <c r="H458" s="9">
        <v>13</v>
      </c>
      <c r="I458" s="9">
        <v>500</v>
      </c>
      <c r="J458" s="10">
        <v>125000</v>
      </c>
      <c r="K458" s="10">
        <v>28750</v>
      </c>
      <c r="L458">
        <v>14</v>
      </c>
      <c r="M458" s="8">
        <v>43922</v>
      </c>
      <c r="N458" s="23">
        <v>6.2965678416146203E-4</v>
      </c>
      <c r="O458" s="10" t="str">
        <f>IF(Sales_Data[[#This Row],[Total Profit]]&gt;0,"Profitable","Loss")</f>
        <v>Profitable</v>
      </c>
      <c r="P458" s="10" t="str">
        <f>IF(Sales_Data[[#This Row],[Total Profit]]&gt;100000,"High Value",IF(Sales_Data[[#This Row],[Total Profit]]&gt;60000,"Medium","Low"))</f>
        <v>Low</v>
      </c>
      <c r="Q458" s="11" t="str">
        <f>PROPER(Sales_Data[[#This Row],[Month Name]])</f>
        <v>Abril</v>
      </c>
      <c r="R458" s="11" t="str">
        <f>PROPER(Sales_Data[[#This Row],[Sales Manager]])</f>
        <v>James Brown</v>
      </c>
    </row>
    <row r="459" spans="1:18" hidden="1" x14ac:dyDescent="0.25">
      <c r="A459">
        <v>10458</v>
      </c>
      <c r="B459">
        <v>2020</v>
      </c>
      <c r="C459" t="s">
        <v>69</v>
      </c>
      <c r="D459" s="8">
        <v>43923</v>
      </c>
      <c r="E459" t="s">
        <v>22</v>
      </c>
      <c r="F459" t="s">
        <v>16</v>
      </c>
      <c r="G459" t="s">
        <v>23</v>
      </c>
      <c r="H459" s="9">
        <v>8</v>
      </c>
      <c r="I459" s="9">
        <v>116</v>
      </c>
      <c r="J459" s="10">
        <v>40600</v>
      </c>
      <c r="K459" s="10">
        <v>6496</v>
      </c>
      <c r="L459">
        <v>14</v>
      </c>
      <c r="M459" s="8">
        <v>43922</v>
      </c>
      <c r="N459" s="23">
        <v>2.04512523495643E-4</v>
      </c>
      <c r="O459" s="10" t="str">
        <f>IF(Sales_Data[[#This Row],[Total Profit]]&gt;0,"Profitable","Loss")</f>
        <v>Profitable</v>
      </c>
      <c r="P459" s="10" t="str">
        <f>IF(Sales_Data[[#This Row],[Total Profit]]&gt;100000,"High Value",IF(Sales_Data[[#This Row],[Total Profit]]&gt;60000,"Medium","Low"))</f>
        <v>Low</v>
      </c>
      <c r="Q459" s="11" t="str">
        <f>PROPER(Sales_Data[[#This Row],[Month Name]])</f>
        <v>Abril</v>
      </c>
      <c r="R459" s="11" t="str">
        <f>PROPER(Sales_Data[[#This Row],[Sales Manager]])</f>
        <v>James Brown</v>
      </c>
    </row>
    <row r="460" spans="1:18" hidden="1" x14ac:dyDescent="0.25">
      <c r="A460">
        <v>10459</v>
      </c>
      <c r="B460">
        <v>2020</v>
      </c>
      <c r="C460" t="s">
        <v>69</v>
      </c>
      <c r="D460" s="8">
        <v>43924</v>
      </c>
      <c r="E460" t="s">
        <v>19</v>
      </c>
      <c r="F460" t="s">
        <v>12</v>
      </c>
      <c r="G460" t="s">
        <v>20</v>
      </c>
      <c r="H460" s="9">
        <v>35</v>
      </c>
      <c r="I460" s="9">
        <v>386</v>
      </c>
      <c r="J460" s="10">
        <v>328100</v>
      </c>
      <c r="K460" s="10">
        <v>137802</v>
      </c>
      <c r="L460">
        <v>14</v>
      </c>
      <c r="M460" s="8">
        <v>43922</v>
      </c>
      <c r="N460" s="23">
        <v>1.6527231270670099E-3</v>
      </c>
      <c r="O460" s="10" t="str">
        <f>IF(Sales_Data[[#This Row],[Total Profit]]&gt;0,"Profitable","Loss")</f>
        <v>Profitable</v>
      </c>
      <c r="P460" s="10" t="str">
        <f>IF(Sales_Data[[#This Row],[Total Profit]]&gt;100000,"High Value",IF(Sales_Data[[#This Row],[Total Profit]]&gt;60000,"Medium","Low"))</f>
        <v>High Value</v>
      </c>
      <c r="Q460" s="11" t="str">
        <f>PROPER(Sales_Data[[#This Row],[Month Name]])</f>
        <v>Abril</v>
      </c>
      <c r="R460" s="11" t="str">
        <f>PROPER(Sales_Data[[#This Row],[Sales Manager]])</f>
        <v>Emily White</v>
      </c>
    </row>
    <row r="461" spans="1:18" hidden="1" x14ac:dyDescent="0.25">
      <c r="A461">
        <v>10460</v>
      </c>
      <c r="B461">
        <v>2020</v>
      </c>
      <c r="C461" t="s">
        <v>69</v>
      </c>
      <c r="D461" s="8">
        <v>43925</v>
      </c>
      <c r="E461" t="s">
        <v>22</v>
      </c>
      <c r="F461" t="s">
        <v>21</v>
      </c>
      <c r="G461" t="s">
        <v>23</v>
      </c>
      <c r="H461" s="9">
        <v>9</v>
      </c>
      <c r="I461" s="9">
        <v>384</v>
      </c>
      <c r="J461" s="10">
        <v>134400</v>
      </c>
      <c r="K461" s="10">
        <v>22848</v>
      </c>
      <c r="L461">
        <v>14</v>
      </c>
      <c r="M461" s="8">
        <v>43922</v>
      </c>
      <c r="N461" s="23">
        <v>6.7700697433040397E-4</v>
      </c>
      <c r="O461" s="10" t="str">
        <f>IF(Sales_Data[[#This Row],[Total Profit]]&gt;0,"Profitable","Loss")</f>
        <v>Profitable</v>
      </c>
      <c r="P461" s="10" t="str">
        <f>IF(Sales_Data[[#This Row],[Total Profit]]&gt;100000,"High Value",IF(Sales_Data[[#This Row],[Total Profit]]&gt;60000,"Medium","Low"))</f>
        <v>Low</v>
      </c>
      <c r="Q461" s="11" t="str">
        <f>PROPER(Sales_Data[[#This Row],[Month Name]])</f>
        <v>Abril</v>
      </c>
      <c r="R461" s="11" t="str">
        <f>PROPER(Sales_Data[[#This Row],[Sales Manager]])</f>
        <v>John Smith</v>
      </c>
    </row>
    <row r="462" spans="1:18" hidden="1" x14ac:dyDescent="0.25">
      <c r="A462">
        <v>10461</v>
      </c>
      <c r="B462">
        <v>2020</v>
      </c>
      <c r="C462" t="s">
        <v>69</v>
      </c>
      <c r="D462" s="8">
        <v>43926</v>
      </c>
      <c r="E462" t="s">
        <v>22</v>
      </c>
      <c r="F462" t="s">
        <v>16</v>
      </c>
      <c r="G462" t="s">
        <v>20</v>
      </c>
      <c r="H462" s="9">
        <v>25</v>
      </c>
      <c r="I462" s="9">
        <v>418</v>
      </c>
      <c r="J462" s="10">
        <v>355300</v>
      </c>
      <c r="K462" s="10">
        <v>78166</v>
      </c>
      <c r="L462">
        <v>15</v>
      </c>
      <c r="M462" s="8">
        <v>43922</v>
      </c>
      <c r="N462" s="23">
        <v>1.78973644330054E-3</v>
      </c>
      <c r="O462" s="10" t="str">
        <f>IF(Sales_Data[[#This Row],[Total Profit]]&gt;0,"Profitable","Loss")</f>
        <v>Profitable</v>
      </c>
      <c r="P462" s="10" t="str">
        <f>IF(Sales_Data[[#This Row],[Total Profit]]&gt;100000,"High Value",IF(Sales_Data[[#This Row],[Total Profit]]&gt;60000,"Medium","Low"))</f>
        <v>Medium</v>
      </c>
      <c r="Q462" s="11" t="str">
        <f>PROPER(Sales_Data[[#This Row],[Month Name]])</f>
        <v>Abril</v>
      </c>
      <c r="R462" s="11" t="str">
        <f>PROPER(Sales_Data[[#This Row],[Sales Manager]])</f>
        <v>James Brown</v>
      </c>
    </row>
    <row r="463" spans="1:18" hidden="1" x14ac:dyDescent="0.25">
      <c r="A463">
        <v>10462</v>
      </c>
      <c r="B463">
        <v>2020</v>
      </c>
      <c r="C463" t="s">
        <v>69</v>
      </c>
      <c r="D463" s="8">
        <v>43927</v>
      </c>
      <c r="E463" t="s">
        <v>25</v>
      </c>
      <c r="F463" t="s">
        <v>21</v>
      </c>
      <c r="G463" t="s">
        <v>23</v>
      </c>
      <c r="H463" s="9">
        <v>5</v>
      </c>
      <c r="I463" s="9">
        <v>115</v>
      </c>
      <c r="J463" s="10">
        <v>40250</v>
      </c>
      <c r="K463" s="10">
        <v>8452.5</v>
      </c>
      <c r="L463">
        <v>15</v>
      </c>
      <c r="M463" s="8">
        <v>43922</v>
      </c>
      <c r="N463" s="23">
        <v>2.02749484499991E-4</v>
      </c>
      <c r="O463" s="10" t="str">
        <f>IF(Sales_Data[[#This Row],[Total Profit]]&gt;0,"Profitable","Loss")</f>
        <v>Profitable</v>
      </c>
      <c r="P463" s="10" t="str">
        <f>IF(Sales_Data[[#This Row],[Total Profit]]&gt;100000,"High Value",IF(Sales_Data[[#This Row],[Total Profit]]&gt;60000,"Medium","Low"))</f>
        <v>Low</v>
      </c>
      <c r="Q463" s="11" t="str">
        <f>PROPER(Sales_Data[[#This Row],[Month Name]])</f>
        <v>Abril</v>
      </c>
      <c r="R463" s="11" t="str">
        <f>PROPER(Sales_Data[[#This Row],[Sales Manager]])</f>
        <v>John Smith</v>
      </c>
    </row>
    <row r="464" spans="1:18" hidden="1" x14ac:dyDescent="0.25">
      <c r="A464">
        <v>10463</v>
      </c>
      <c r="B464">
        <v>2020</v>
      </c>
      <c r="C464" t="s">
        <v>69</v>
      </c>
      <c r="D464" s="8">
        <v>43928</v>
      </c>
      <c r="E464" t="s">
        <v>22</v>
      </c>
      <c r="F464" t="s">
        <v>21</v>
      </c>
      <c r="G464" t="s">
        <v>20</v>
      </c>
      <c r="H464" s="9">
        <v>14</v>
      </c>
      <c r="I464" s="9">
        <v>152</v>
      </c>
      <c r="J464" s="10">
        <v>129200</v>
      </c>
      <c r="K464" s="10">
        <v>25840</v>
      </c>
      <c r="L464">
        <v>15</v>
      </c>
      <c r="M464" s="8">
        <v>43922</v>
      </c>
      <c r="N464" s="23">
        <v>6.5081325210928698E-4</v>
      </c>
      <c r="O464" s="10" t="str">
        <f>IF(Sales_Data[[#This Row],[Total Profit]]&gt;0,"Profitable","Loss")</f>
        <v>Profitable</v>
      </c>
      <c r="P464" s="10" t="str">
        <f>IF(Sales_Data[[#This Row],[Total Profit]]&gt;100000,"High Value",IF(Sales_Data[[#This Row],[Total Profit]]&gt;60000,"Medium","Low"))</f>
        <v>Low</v>
      </c>
      <c r="Q464" s="11" t="str">
        <f>PROPER(Sales_Data[[#This Row],[Month Name]])</f>
        <v>Abril</v>
      </c>
      <c r="R464" s="11" t="str">
        <f>PROPER(Sales_Data[[#This Row],[Sales Manager]])</f>
        <v>John Smith</v>
      </c>
    </row>
    <row r="465" spans="1:18" hidden="1" x14ac:dyDescent="0.25">
      <c r="A465">
        <v>10464</v>
      </c>
      <c r="B465">
        <v>2020</v>
      </c>
      <c r="C465" t="s">
        <v>69</v>
      </c>
      <c r="D465" s="8">
        <v>43929</v>
      </c>
      <c r="E465" t="s">
        <v>19</v>
      </c>
      <c r="F465" t="s">
        <v>18</v>
      </c>
      <c r="G465" t="s">
        <v>13</v>
      </c>
      <c r="H465" s="9">
        <v>5</v>
      </c>
      <c r="I465" s="9">
        <v>362</v>
      </c>
      <c r="J465" s="10">
        <v>271500</v>
      </c>
      <c r="K465" s="10">
        <v>40725</v>
      </c>
      <c r="L465">
        <v>15</v>
      </c>
      <c r="M465" s="8">
        <v>43922</v>
      </c>
      <c r="N465" s="23">
        <v>1.3676145351987001E-3</v>
      </c>
      <c r="O465" s="10" t="str">
        <f>IF(Sales_Data[[#This Row],[Total Profit]]&gt;0,"Profitable","Loss")</f>
        <v>Profitable</v>
      </c>
      <c r="P465" s="10" t="str">
        <f>IF(Sales_Data[[#This Row],[Total Profit]]&gt;100000,"High Value",IF(Sales_Data[[#This Row],[Total Profit]]&gt;60000,"Medium","Low"))</f>
        <v>Low</v>
      </c>
      <c r="Q465" s="11" t="str">
        <f>PROPER(Sales_Data[[#This Row],[Month Name]])</f>
        <v>Abril</v>
      </c>
      <c r="R465" s="11" t="str">
        <f>PROPER(Sales_Data[[#This Row],[Sales Manager]])</f>
        <v>Jane Doe</v>
      </c>
    </row>
    <row r="466" spans="1:18" hidden="1" x14ac:dyDescent="0.25">
      <c r="A466">
        <v>10465</v>
      </c>
      <c r="B466">
        <v>2020</v>
      </c>
      <c r="C466" t="s">
        <v>69</v>
      </c>
      <c r="D466" s="8">
        <v>43930</v>
      </c>
      <c r="E466" t="s">
        <v>11</v>
      </c>
      <c r="F466" t="s">
        <v>16</v>
      </c>
      <c r="G466" t="s">
        <v>20</v>
      </c>
      <c r="H466" s="9">
        <v>12</v>
      </c>
      <c r="I466" s="9">
        <v>405</v>
      </c>
      <c r="J466" s="10">
        <v>344250</v>
      </c>
      <c r="K466" s="10">
        <v>130815</v>
      </c>
      <c r="L466">
        <v>15</v>
      </c>
      <c r="M466" s="8">
        <v>43922</v>
      </c>
      <c r="N466" s="23">
        <v>1.7340747835806699E-3</v>
      </c>
      <c r="O466" s="10" t="str">
        <f>IF(Sales_Data[[#This Row],[Total Profit]]&gt;0,"Profitable","Loss")</f>
        <v>Profitable</v>
      </c>
      <c r="P466" s="10" t="str">
        <f>IF(Sales_Data[[#This Row],[Total Profit]]&gt;100000,"High Value",IF(Sales_Data[[#This Row],[Total Profit]]&gt;60000,"Medium","Low"))</f>
        <v>High Value</v>
      </c>
      <c r="Q466" s="11" t="str">
        <f>PROPER(Sales_Data[[#This Row],[Month Name]])</f>
        <v>Abril</v>
      </c>
      <c r="R466" s="11" t="str">
        <f>PROPER(Sales_Data[[#This Row],[Sales Manager]])</f>
        <v>James Brown</v>
      </c>
    </row>
    <row r="467" spans="1:18" hidden="1" x14ac:dyDescent="0.25">
      <c r="A467">
        <v>10466</v>
      </c>
      <c r="B467">
        <v>2020</v>
      </c>
      <c r="C467" t="s">
        <v>69</v>
      </c>
      <c r="D467" s="8">
        <v>43931</v>
      </c>
      <c r="E467" t="s">
        <v>19</v>
      </c>
      <c r="F467" t="s">
        <v>24</v>
      </c>
      <c r="G467" t="s">
        <v>23</v>
      </c>
      <c r="H467" s="9">
        <v>6</v>
      </c>
      <c r="I467" s="9">
        <v>90</v>
      </c>
      <c r="J467" s="10">
        <v>31500</v>
      </c>
      <c r="K467" s="10">
        <v>8190</v>
      </c>
      <c r="L467">
        <v>15</v>
      </c>
      <c r="M467" s="8">
        <v>43922</v>
      </c>
      <c r="N467" s="23">
        <v>1.58673509608688E-4</v>
      </c>
      <c r="O467" s="10" t="str">
        <f>IF(Sales_Data[[#This Row],[Total Profit]]&gt;0,"Profitable","Loss")</f>
        <v>Profitable</v>
      </c>
      <c r="P467" s="10" t="str">
        <f>IF(Sales_Data[[#This Row],[Total Profit]]&gt;100000,"High Value",IF(Sales_Data[[#This Row],[Total Profit]]&gt;60000,"Medium","Low"))</f>
        <v>Low</v>
      </c>
      <c r="Q467" s="11" t="str">
        <f>PROPER(Sales_Data[[#This Row],[Month Name]])</f>
        <v>Abril</v>
      </c>
      <c r="R467" s="11" t="str">
        <f>PROPER(Sales_Data[[#This Row],[Sales Manager]])</f>
        <v>Liam Lee</v>
      </c>
    </row>
    <row r="468" spans="1:18" hidden="1" x14ac:dyDescent="0.25">
      <c r="A468">
        <v>10467</v>
      </c>
      <c r="B468">
        <v>2020</v>
      </c>
      <c r="C468" t="s">
        <v>69</v>
      </c>
      <c r="D468" s="8">
        <v>43932</v>
      </c>
      <c r="E468" t="s">
        <v>25</v>
      </c>
      <c r="F468" t="s">
        <v>21</v>
      </c>
      <c r="G468" t="s">
        <v>15</v>
      </c>
      <c r="H468" s="9">
        <v>26</v>
      </c>
      <c r="I468" s="9">
        <v>339</v>
      </c>
      <c r="J468" s="10">
        <v>169500</v>
      </c>
      <c r="K468" s="10">
        <v>74580</v>
      </c>
      <c r="L468">
        <v>15</v>
      </c>
      <c r="M468" s="8">
        <v>43922</v>
      </c>
      <c r="N468" s="23">
        <v>8.5381459932294299E-4</v>
      </c>
      <c r="O468" s="10" t="str">
        <f>IF(Sales_Data[[#This Row],[Total Profit]]&gt;0,"Profitable","Loss")</f>
        <v>Profitable</v>
      </c>
      <c r="P468" s="10" t="str">
        <f>IF(Sales_Data[[#This Row],[Total Profit]]&gt;100000,"High Value",IF(Sales_Data[[#This Row],[Total Profit]]&gt;60000,"Medium","Low"))</f>
        <v>Medium</v>
      </c>
      <c r="Q468" s="11" t="str">
        <f>PROPER(Sales_Data[[#This Row],[Month Name]])</f>
        <v>Abril</v>
      </c>
      <c r="R468" s="11" t="str">
        <f>PROPER(Sales_Data[[#This Row],[Sales Manager]])</f>
        <v>John Smith</v>
      </c>
    </row>
    <row r="469" spans="1:18" hidden="1" x14ac:dyDescent="0.25">
      <c r="A469">
        <v>10468</v>
      </c>
      <c r="B469">
        <v>2020</v>
      </c>
      <c r="C469" t="s">
        <v>69</v>
      </c>
      <c r="D469" s="8">
        <v>43933</v>
      </c>
      <c r="E469" t="s">
        <v>14</v>
      </c>
      <c r="F469" t="s">
        <v>24</v>
      </c>
      <c r="G469" t="s">
        <v>13</v>
      </c>
      <c r="H469" s="9">
        <v>8</v>
      </c>
      <c r="I469" s="9">
        <v>152</v>
      </c>
      <c r="J469" s="10">
        <v>114000</v>
      </c>
      <c r="K469" s="10">
        <v>15960.000000000002</v>
      </c>
      <c r="L469">
        <v>16</v>
      </c>
      <c r="M469" s="8">
        <v>43922</v>
      </c>
      <c r="N469" s="23">
        <v>5.7424698715525298E-4</v>
      </c>
      <c r="O469" s="10" t="str">
        <f>IF(Sales_Data[[#This Row],[Total Profit]]&gt;0,"Profitable","Loss")</f>
        <v>Profitable</v>
      </c>
      <c r="P469" s="10" t="str">
        <f>IF(Sales_Data[[#This Row],[Total Profit]]&gt;100000,"High Value",IF(Sales_Data[[#This Row],[Total Profit]]&gt;60000,"Medium","Low"))</f>
        <v>Low</v>
      </c>
      <c r="Q469" s="11" t="str">
        <f>PROPER(Sales_Data[[#This Row],[Month Name]])</f>
        <v>Abril</v>
      </c>
      <c r="R469" s="11" t="str">
        <f>PROPER(Sales_Data[[#This Row],[Sales Manager]])</f>
        <v>Liam Lee</v>
      </c>
    </row>
    <row r="470" spans="1:18" hidden="1" x14ac:dyDescent="0.25">
      <c r="A470">
        <v>10469</v>
      </c>
      <c r="B470">
        <v>2020</v>
      </c>
      <c r="C470" t="s">
        <v>69</v>
      </c>
      <c r="D470" s="8">
        <v>43934</v>
      </c>
      <c r="E470" t="s">
        <v>14</v>
      </c>
      <c r="F470" t="s">
        <v>18</v>
      </c>
      <c r="G470" t="s">
        <v>13</v>
      </c>
      <c r="H470" s="9">
        <v>42</v>
      </c>
      <c r="I470" s="9">
        <v>484</v>
      </c>
      <c r="J470" s="10">
        <v>363000</v>
      </c>
      <c r="K470" s="10">
        <v>152460</v>
      </c>
      <c r="L470">
        <v>16</v>
      </c>
      <c r="M470" s="8">
        <v>43922</v>
      </c>
      <c r="N470" s="23">
        <v>1.8285233012048901E-3</v>
      </c>
      <c r="O470" s="10" t="str">
        <f>IF(Sales_Data[[#This Row],[Total Profit]]&gt;0,"Profitable","Loss")</f>
        <v>Profitable</v>
      </c>
      <c r="P470" s="10" t="str">
        <f>IF(Sales_Data[[#This Row],[Total Profit]]&gt;100000,"High Value",IF(Sales_Data[[#This Row],[Total Profit]]&gt;60000,"Medium","Low"))</f>
        <v>High Value</v>
      </c>
      <c r="Q470" s="11" t="str">
        <f>PROPER(Sales_Data[[#This Row],[Month Name]])</f>
        <v>Abril</v>
      </c>
      <c r="R470" s="11" t="str">
        <f>PROPER(Sales_Data[[#This Row],[Sales Manager]])</f>
        <v>Jane Doe</v>
      </c>
    </row>
    <row r="471" spans="1:18" hidden="1" x14ac:dyDescent="0.25">
      <c r="A471">
        <v>10470</v>
      </c>
      <c r="B471">
        <v>2020</v>
      </c>
      <c r="C471" t="s">
        <v>69</v>
      </c>
      <c r="D471" s="8">
        <v>43935</v>
      </c>
      <c r="E471" t="s">
        <v>11</v>
      </c>
      <c r="F471" t="s">
        <v>24</v>
      </c>
      <c r="G471" t="s">
        <v>17</v>
      </c>
      <c r="H471" s="9">
        <v>1</v>
      </c>
      <c r="I471" s="9">
        <v>61</v>
      </c>
      <c r="J471" s="10">
        <v>15250</v>
      </c>
      <c r="K471" s="10">
        <v>3660</v>
      </c>
      <c r="L471">
        <v>16</v>
      </c>
      <c r="M471" s="8">
        <v>43922</v>
      </c>
      <c r="N471" s="23">
        <v>7.6818127667698403E-5</v>
      </c>
      <c r="O471" s="10" t="str">
        <f>IF(Sales_Data[[#This Row],[Total Profit]]&gt;0,"Profitable","Loss")</f>
        <v>Profitable</v>
      </c>
      <c r="P471" s="10" t="str">
        <f>IF(Sales_Data[[#This Row],[Total Profit]]&gt;100000,"High Value",IF(Sales_Data[[#This Row],[Total Profit]]&gt;60000,"Medium","Low"))</f>
        <v>Low</v>
      </c>
      <c r="Q471" s="11" t="str">
        <f>PROPER(Sales_Data[[#This Row],[Month Name]])</f>
        <v>Abril</v>
      </c>
      <c r="R471" s="11" t="str">
        <f>PROPER(Sales_Data[[#This Row],[Sales Manager]])</f>
        <v>Liam Lee</v>
      </c>
    </row>
    <row r="472" spans="1:18" hidden="1" x14ac:dyDescent="0.25">
      <c r="A472">
        <v>10471</v>
      </c>
      <c r="B472">
        <v>2020</v>
      </c>
      <c r="C472" t="s">
        <v>69</v>
      </c>
      <c r="D472" s="8">
        <v>43936</v>
      </c>
      <c r="E472" t="s">
        <v>22</v>
      </c>
      <c r="F472" t="s">
        <v>16</v>
      </c>
      <c r="G472" t="s">
        <v>17</v>
      </c>
      <c r="H472" s="9">
        <v>14</v>
      </c>
      <c r="I472" s="9">
        <v>292</v>
      </c>
      <c r="J472" s="10">
        <v>73000</v>
      </c>
      <c r="K472" s="10">
        <v>8030</v>
      </c>
      <c r="L472">
        <v>16</v>
      </c>
      <c r="M472" s="8">
        <v>43922</v>
      </c>
      <c r="N472" s="23">
        <v>3.6771956195029399E-4</v>
      </c>
      <c r="O472" s="10" t="str">
        <f>IF(Sales_Data[[#This Row],[Total Profit]]&gt;0,"Profitable","Loss")</f>
        <v>Profitable</v>
      </c>
      <c r="P472" s="10" t="str">
        <f>IF(Sales_Data[[#This Row],[Total Profit]]&gt;100000,"High Value",IF(Sales_Data[[#This Row],[Total Profit]]&gt;60000,"Medium","Low"))</f>
        <v>Low</v>
      </c>
      <c r="Q472" s="11" t="str">
        <f>PROPER(Sales_Data[[#This Row],[Month Name]])</f>
        <v>Abril</v>
      </c>
      <c r="R472" s="11" t="str">
        <f>PROPER(Sales_Data[[#This Row],[Sales Manager]])</f>
        <v>James Brown</v>
      </c>
    </row>
    <row r="473" spans="1:18" hidden="1" x14ac:dyDescent="0.25">
      <c r="A473">
        <v>10472</v>
      </c>
      <c r="B473">
        <v>2020</v>
      </c>
      <c r="C473" t="s">
        <v>69</v>
      </c>
      <c r="D473" s="8">
        <v>43937</v>
      </c>
      <c r="E473" t="s">
        <v>22</v>
      </c>
      <c r="F473" t="s">
        <v>12</v>
      </c>
      <c r="G473" t="s">
        <v>15</v>
      </c>
      <c r="H473" s="9">
        <v>22</v>
      </c>
      <c r="I473" s="9">
        <v>375</v>
      </c>
      <c r="J473" s="10">
        <v>187500</v>
      </c>
      <c r="K473" s="10">
        <v>48750</v>
      </c>
      <c r="L473">
        <v>16</v>
      </c>
      <c r="M473" s="8">
        <v>43922</v>
      </c>
      <c r="N473" s="23">
        <v>9.4448517624219305E-4</v>
      </c>
      <c r="O473" s="10" t="str">
        <f>IF(Sales_Data[[#This Row],[Total Profit]]&gt;0,"Profitable","Loss")</f>
        <v>Profitable</v>
      </c>
      <c r="P473" s="10" t="str">
        <f>IF(Sales_Data[[#This Row],[Total Profit]]&gt;100000,"High Value",IF(Sales_Data[[#This Row],[Total Profit]]&gt;60000,"Medium","Low"))</f>
        <v>Low</v>
      </c>
      <c r="Q473" s="11" t="str">
        <f>PROPER(Sales_Data[[#This Row],[Month Name]])</f>
        <v>Abril</v>
      </c>
      <c r="R473" s="11" t="str">
        <f>PROPER(Sales_Data[[#This Row],[Sales Manager]])</f>
        <v>Emily White</v>
      </c>
    </row>
    <row r="474" spans="1:18" hidden="1" x14ac:dyDescent="0.25">
      <c r="A474">
        <v>10473</v>
      </c>
      <c r="B474">
        <v>2020</v>
      </c>
      <c r="C474" t="s">
        <v>69</v>
      </c>
      <c r="D474" s="8">
        <v>43938</v>
      </c>
      <c r="E474" t="s">
        <v>25</v>
      </c>
      <c r="F474" t="s">
        <v>12</v>
      </c>
      <c r="G474" t="s">
        <v>17</v>
      </c>
      <c r="H474" s="9">
        <v>2</v>
      </c>
      <c r="I474" s="9">
        <v>74</v>
      </c>
      <c r="J474" s="10">
        <v>18500</v>
      </c>
      <c r="K474" s="10">
        <v>6475</v>
      </c>
      <c r="L474">
        <v>16</v>
      </c>
      <c r="M474" s="8">
        <v>43922</v>
      </c>
      <c r="N474" s="23">
        <v>9.3189204055896398E-5</v>
      </c>
      <c r="O474" s="10" t="str">
        <f>IF(Sales_Data[[#This Row],[Total Profit]]&gt;0,"Profitable","Loss")</f>
        <v>Profitable</v>
      </c>
      <c r="P474" s="10" t="str">
        <f>IF(Sales_Data[[#This Row],[Total Profit]]&gt;100000,"High Value",IF(Sales_Data[[#This Row],[Total Profit]]&gt;60000,"Medium","Low"))</f>
        <v>Low</v>
      </c>
      <c r="Q474" s="11" t="str">
        <f>PROPER(Sales_Data[[#This Row],[Month Name]])</f>
        <v>Abril</v>
      </c>
      <c r="R474" s="11" t="str">
        <f>PROPER(Sales_Data[[#This Row],[Sales Manager]])</f>
        <v>Emily White</v>
      </c>
    </row>
    <row r="475" spans="1:18" hidden="1" x14ac:dyDescent="0.25">
      <c r="A475">
        <v>10474</v>
      </c>
      <c r="B475">
        <v>2020</v>
      </c>
      <c r="C475" t="s">
        <v>69</v>
      </c>
      <c r="D475" s="8">
        <v>43939</v>
      </c>
      <c r="E475" t="s">
        <v>19</v>
      </c>
      <c r="F475" t="s">
        <v>21</v>
      </c>
      <c r="G475" t="s">
        <v>17</v>
      </c>
      <c r="H475" s="9">
        <v>6</v>
      </c>
      <c r="I475" s="9">
        <v>70</v>
      </c>
      <c r="J475" s="10">
        <v>17500</v>
      </c>
      <c r="K475" s="10">
        <v>3325</v>
      </c>
      <c r="L475">
        <v>16</v>
      </c>
      <c r="M475" s="8">
        <v>43922</v>
      </c>
      <c r="N475" s="23">
        <v>8.81519497826047E-5</v>
      </c>
      <c r="O475" s="10" t="str">
        <f>IF(Sales_Data[[#This Row],[Total Profit]]&gt;0,"Profitable","Loss")</f>
        <v>Profitable</v>
      </c>
      <c r="P475" s="10" t="str">
        <f>IF(Sales_Data[[#This Row],[Total Profit]]&gt;100000,"High Value",IF(Sales_Data[[#This Row],[Total Profit]]&gt;60000,"Medium","Low"))</f>
        <v>Low</v>
      </c>
      <c r="Q475" s="11" t="str">
        <f>PROPER(Sales_Data[[#This Row],[Month Name]])</f>
        <v>Abril</v>
      </c>
      <c r="R475" s="11" t="str">
        <f>PROPER(Sales_Data[[#This Row],[Sales Manager]])</f>
        <v>John Smith</v>
      </c>
    </row>
    <row r="476" spans="1:18" hidden="1" x14ac:dyDescent="0.25">
      <c r="A476">
        <v>10475</v>
      </c>
      <c r="B476">
        <v>2020</v>
      </c>
      <c r="C476" t="s">
        <v>69</v>
      </c>
      <c r="D476" s="8">
        <v>43940</v>
      </c>
      <c r="E476" t="s">
        <v>22</v>
      </c>
      <c r="F476" t="s">
        <v>12</v>
      </c>
      <c r="G476" t="s">
        <v>20</v>
      </c>
      <c r="H476" s="9">
        <v>11</v>
      </c>
      <c r="I476" s="9">
        <v>367</v>
      </c>
      <c r="J476" s="10">
        <v>311950</v>
      </c>
      <c r="K476" s="10">
        <v>49912</v>
      </c>
      <c r="L476">
        <v>17</v>
      </c>
      <c r="M476" s="8">
        <v>43922</v>
      </c>
      <c r="N476" s="23">
        <v>1.57137147055334E-3</v>
      </c>
      <c r="O476" s="10" t="str">
        <f>IF(Sales_Data[[#This Row],[Total Profit]]&gt;0,"Profitable","Loss")</f>
        <v>Profitable</v>
      </c>
      <c r="P476" s="10" t="str">
        <f>IF(Sales_Data[[#This Row],[Total Profit]]&gt;100000,"High Value",IF(Sales_Data[[#This Row],[Total Profit]]&gt;60000,"Medium","Low"))</f>
        <v>Low</v>
      </c>
      <c r="Q476" s="11" t="str">
        <f>PROPER(Sales_Data[[#This Row],[Month Name]])</f>
        <v>Abril</v>
      </c>
      <c r="R476" s="11" t="str">
        <f>PROPER(Sales_Data[[#This Row],[Sales Manager]])</f>
        <v>Emily White</v>
      </c>
    </row>
    <row r="477" spans="1:18" hidden="1" x14ac:dyDescent="0.25">
      <c r="A477">
        <v>10476</v>
      </c>
      <c r="B477">
        <v>2020</v>
      </c>
      <c r="C477" t="s">
        <v>69</v>
      </c>
      <c r="D477" s="8">
        <v>43941</v>
      </c>
      <c r="E477" t="s">
        <v>14</v>
      </c>
      <c r="F477" t="s">
        <v>21</v>
      </c>
      <c r="G477" t="s">
        <v>13</v>
      </c>
      <c r="H477" s="9">
        <v>21</v>
      </c>
      <c r="I477" s="9">
        <v>395</v>
      </c>
      <c r="J477" s="10">
        <v>296250</v>
      </c>
      <c r="K477" s="10">
        <v>85912.5</v>
      </c>
      <c r="L477">
        <v>17</v>
      </c>
      <c r="M477" s="8">
        <v>43922</v>
      </c>
      <c r="N477" s="23">
        <v>1.4922865784626699E-3</v>
      </c>
      <c r="O477" s="10" t="str">
        <f>IF(Sales_Data[[#This Row],[Total Profit]]&gt;0,"Profitable","Loss")</f>
        <v>Profitable</v>
      </c>
      <c r="P477" s="10" t="str">
        <f>IF(Sales_Data[[#This Row],[Total Profit]]&gt;100000,"High Value",IF(Sales_Data[[#This Row],[Total Profit]]&gt;60000,"Medium","Low"))</f>
        <v>Medium</v>
      </c>
      <c r="Q477" s="11" t="str">
        <f>PROPER(Sales_Data[[#This Row],[Month Name]])</f>
        <v>Abril</v>
      </c>
      <c r="R477" s="11" t="str">
        <f>PROPER(Sales_Data[[#This Row],[Sales Manager]])</f>
        <v>John Smith</v>
      </c>
    </row>
    <row r="478" spans="1:18" hidden="1" x14ac:dyDescent="0.25">
      <c r="A478">
        <v>10477</v>
      </c>
      <c r="B478">
        <v>2020</v>
      </c>
      <c r="C478" t="s">
        <v>69</v>
      </c>
      <c r="D478" s="8">
        <v>43942</v>
      </c>
      <c r="E478" t="s">
        <v>25</v>
      </c>
      <c r="F478" t="s">
        <v>24</v>
      </c>
      <c r="G478" t="s">
        <v>15</v>
      </c>
      <c r="H478" s="9">
        <v>4</v>
      </c>
      <c r="I478" s="9">
        <v>211</v>
      </c>
      <c r="J478" s="10">
        <v>105500</v>
      </c>
      <c r="K478" s="10">
        <v>13715</v>
      </c>
      <c r="L478">
        <v>17</v>
      </c>
      <c r="M478" s="8">
        <v>43922</v>
      </c>
      <c r="N478" s="23">
        <v>5.3143032583227398E-4</v>
      </c>
      <c r="O478" s="10" t="str">
        <f>IF(Sales_Data[[#This Row],[Total Profit]]&gt;0,"Profitable","Loss")</f>
        <v>Profitable</v>
      </c>
      <c r="P478" s="10" t="str">
        <f>IF(Sales_Data[[#This Row],[Total Profit]]&gt;100000,"High Value",IF(Sales_Data[[#This Row],[Total Profit]]&gt;60000,"Medium","Low"))</f>
        <v>Low</v>
      </c>
      <c r="Q478" s="11" t="str">
        <f>PROPER(Sales_Data[[#This Row],[Month Name]])</f>
        <v>Abril</v>
      </c>
      <c r="R478" s="11" t="str">
        <f>PROPER(Sales_Data[[#This Row],[Sales Manager]])</f>
        <v>Liam Lee</v>
      </c>
    </row>
    <row r="479" spans="1:18" hidden="1" x14ac:dyDescent="0.25">
      <c r="A479">
        <v>10478</v>
      </c>
      <c r="B479">
        <v>2020</v>
      </c>
      <c r="C479" t="s">
        <v>69</v>
      </c>
      <c r="D479" s="8">
        <v>43943</v>
      </c>
      <c r="E479" t="s">
        <v>14</v>
      </c>
      <c r="F479" t="s">
        <v>16</v>
      </c>
      <c r="G479" t="s">
        <v>20</v>
      </c>
      <c r="H479" s="9">
        <v>2</v>
      </c>
      <c r="I479" s="9">
        <v>37</v>
      </c>
      <c r="J479" s="10">
        <v>31450</v>
      </c>
      <c r="K479" s="10">
        <v>9749.5</v>
      </c>
      <c r="L479">
        <v>17</v>
      </c>
      <c r="M479" s="8">
        <v>43922</v>
      </c>
      <c r="N479" s="23">
        <v>1.5842164689502399E-4</v>
      </c>
      <c r="O479" s="10" t="str">
        <f>IF(Sales_Data[[#This Row],[Total Profit]]&gt;0,"Profitable","Loss")</f>
        <v>Profitable</v>
      </c>
      <c r="P479" s="10" t="str">
        <f>IF(Sales_Data[[#This Row],[Total Profit]]&gt;100000,"High Value",IF(Sales_Data[[#This Row],[Total Profit]]&gt;60000,"Medium","Low"))</f>
        <v>Low</v>
      </c>
      <c r="Q479" s="11" t="str">
        <f>PROPER(Sales_Data[[#This Row],[Month Name]])</f>
        <v>Abril</v>
      </c>
      <c r="R479" s="11" t="str">
        <f>PROPER(Sales_Data[[#This Row],[Sales Manager]])</f>
        <v>James Brown</v>
      </c>
    </row>
    <row r="480" spans="1:18" hidden="1" x14ac:dyDescent="0.25">
      <c r="A480">
        <v>10479</v>
      </c>
      <c r="B480">
        <v>2020</v>
      </c>
      <c r="C480" t="s">
        <v>69</v>
      </c>
      <c r="D480" s="8">
        <v>43944</v>
      </c>
      <c r="E480" t="s">
        <v>22</v>
      </c>
      <c r="F480" t="s">
        <v>18</v>
      </c>
      <c r="G480" t="s">
        <v>23</v>
      </c>
      <c r="H480" s="9">
        <v>5</v>
      </c>
      <c r="I480" s="9">
        <v>150</v>
      </c>
      <c r="J480" s="10">
        <v>52500</v>
      </c>
      <c r="K480" s="10">
        <v>6825</v>
      </c>
      <c r="L480">
        <v>17</v>
      </c>
      <c r="M480" s="8">
        <v>43922</v>
      </c>
      <c r="N480" s="23">
        <v>2.6445584934781401E-4</v>
      </c>
      <c r="O480" s="10" t="str">
        <f>IF(Sales_Data[[#This Row],[Total Profit]]&gt;0,"Profitable","Loss")</f>
        <v>Profitable</v>
      </c>
      <c r="P480" s="10" t="str">
        <f>IF(Sales_Data[[#This Row],[Total Profit]]&gt;100000,"High Value",IF(Sales_Data[[#This Row],[Total Profit]]&gt;60000,"Medium","Low"))</f>
        <v>Low</v>
      </c>
      <c r="Q480" s="11" t="str">
        <f>PROPER(Sales_Data[[#This Row],[Month Name]])</f>
        <v>Abril</v>
      </c>
      <c r="R480" s="11" t="str">
        <f>PROPER(Sales_Data[[#This Row],[Sales Manager]])</f>
        <v>Jane Doe</v>
      </c>
    </row>
    <row r="481" spans="1:18" hidden="1" x14ac:dyDescent="0.25">
      <c r="A481">
        <v>10480</v>
      </c>
      <c r="B481">
        <v>2020</v>
      </c>
      <c r="C481" t="s">
        <v>69</v>
      </c>
      <c r="D481" s="8">
        <v>43945</v>
      </c>
      <c r="E481" t="s">
        <v>19</v>
      </c>
      <c r="F481" t="s">
        <v>24</v>
      </c>
      <c r="G481" t="s">
        <v>20</v>
      </c>
      <c r="H481" s="9">
        <v>3</v>
      </c>
      <c r="I481" s="9">
        <v>133</v>
      </c>
      <c r="J481" s="10">
        <v>113050</v>
      </c>
      <c r="K481" s="10">
        <v>39567.5</v>
      </c>
      <c r="L481">
        <v>17</v>
      </c>
      <c r="M481" s="8">
        <v>43922</v>
      </c>
      <c r="N481" s="23">
        <v>5.6946159559562604E-4</v>
      </c>
      <c r="O481" s="10" t="str">
        <f>IF(Sales_Data[[#This Row],[Total Profit]]&gt;0,"Profitable","Loss")</f>
        <v>Profitable</v>
      </c>
      <c r="P481" s="10" t="str">
        <f>IF(Sales_Data[[#This Row],[Total Profit]]&gt;100000,"High Value",IF(Sales_Data[[#This Row],[Total Profit]]&gt;60000,"Medium","Low"))</f>
        <v>Low</v>
      </c>
      <c r="Q481" s="11" t="str">
        <f>PROPER(Sales_Data[[#This Row],[Month Name]])</f>
        <v>Abril</v>
      </c>
      <c r="R481" s="11" t="str">
        <f>PROPER(Sales_Data[[#This Row],[Sales Manager]])</f>
        <v>Liam Lee</v>
      </c>
    </row>
    <row r="482" spans="1:18" hidden="1" x14ac:dyDescent="0.25">
      <c r="A482">
        <v>10481</v>
      </c>
      <c r="B482">
        <v>2020</v>
      </c>
      <c r="C482" t="s">
        <v>69</v>
      </c>
      <c r="D482" s="8">
        <v>43946</v>
      </c>
      <c r="E482" t="s">
        <v>22</v>
      </c>
      <c r="F482" t="s">
        <v>18</v>
      </c>
      <c r="G482" t="s">
        <v>20</v>
      </c>
      <c r="H482" s="9">
        <v>21</v>
      </c>
      <c r="I482" s="9">
        <v>359</v>
      </c>
      <c r="J482" s="10">
        <v>305150</v>
      </c>
      <c r="K482" s="10">
        <v>82390.5</v>
      </c>
      <c r="L482">
        <v>17</v>
      </c>
      <c r="M482" s="8">
        <v>43922</v>
      </c>
      <c r="N482" s="23">
        <v>1.5371181414949599E-3</v>
      </c>
      <c r="O482" s="10" t="str">
        <f>IF(Sales_Data[[#This Row],[Total Profit]]&gt;0,"Profitable","Loss")</f>
        <v>Profitable</v>
      </c>
      <c r="P482" s="10" t="str">
        <f>IF(Sales_Data[[#This Row],[Total Profit]]&gt;100000,"High Value",IF(Sales_Data[[#This Row],[Total Profit]]&gt;60000,"Medium","Low"))</f>
        <v>Medium</v>
      </c>
      <c r="Q482" s="11" t="str">
        <f>PROPER(Sales_Data[[#This Row],[Month Name]])</f>
        <v>Abril</v>
      </c>
      <c r="R482" s="11" t="str">
        <f>PROPER(Sales_Data[[#This Row],[Sales Manager]])</f>
        <v>Jane Doe</v>
      </c>
    </row>
    <row r="483" spans="1:18" hidden="1" x14ac:dyDescent="0.25">
      <c r="A483">
        <v>10482</v>
      </c>
      <c r="B483">
        <v>2020</v>
      </c>
      <c r="C483" t="s">
        <v>69</v>
      </c>
      <c r="D483" s="8">
        <v>43947</v>
      </c>
      <c r="E483" t="s">
        <v>11</v>
      </c>
      <c r="F483" t="s">
        <v>18</v>
      </c>
      <c r="G483" t="s">
        <v>23</v>
      </c>
      <c r="H483" s="9">
        <v>14</v>
      </c>
      <c r="I483" s="9">
        <v>229</v>
      </c>
      <c r="J483" s="10">
        <v>80150</v>
      </c>
      <c r="K483" s="10">
        <v>36067.5</v>
      </c>
      <c r="L483">
        <v>18</v>
      </c>
      <c r="M483" s="8">
        <v>43922</v>
      </c>
      <c r="N483" s="23">
        <v>4.0373593000433001E-4</v>
      </c>
      <c r="O483" s="10" t="str">
        <f>IF(Sales_Data[[#This Row],[Total Profit]]&gt;0,"Profitable","Loss")</f>
        <v>Profitable</v>
      </c>
      <c r="P483" s="10" t="str">
        <f>IF(Sales_Data[[#This Row],[Total Profit]]&gt;100000,"High Value",IF(Sales_Data[[#This Row],[Total Profit]]&gt;60000,"Medium","Low"))</f>
        <v>Low</v>
      </c>
      <c r="Q483" s="11" t="str">
        <f>PROPER(Sales_Data[[#This Row],[Month Name]])</f>
        <v>Abril</v>
      </c>
      <c r="R483" s="11" t="str">
        <f>PROPER(Sales_Data[[#This Row],[Sales Manager]])</f>
        <v>Jane Doe</v>
      </c>
    </row>
    <row r="484" spans="1:18" hidden="1" x14ac:dyDescent="0.25">
      <c r="A484">
        <v>10483</v>
      </c>
      <c r="B484">
        <v>2020</v>
      </c>
      <c r="C484" t="s">
        <v>69</v>
      </c>
      <c r="D484" s="8">
        <v>43948</v>
      </c>
      <c r="E484" t="s">
        <v>14</v>
      </c>
      <c r="F484" t="s">
        <v>18</v>
      </c>
      <c r="G484" t="s">
        <v>17</v>
      </c>
      <c r="H484" s="9">
        <v>1</v>
      </c>
      <c r="I484" s="9">
        <v>22</v>
      </c>
      <c r="J484" s="10">
        <v>5500</v>
      </c>
      <c r="K484" s="10">
        <v>1980</v>
      </c>
      <c r="L484">
        <v>18</v>
      </c>
      <c r="M484" s="8">
        <v>43922</v>
      </c>
      <c r="N484" s="23">
        <v>2.77048985031043E-5</v>
      </c>
      <c r="O484" s="10" t="str">
        <f>IF(Sales_Data[[#This Row],[Total Profit]]&gt;0,"Profitable","Loss")</f>
        <v>Profitable</v>
      </c>
      <c r="P484" s="10" t="str">
        <f>IF(Sales_Data[[#This Row],[Total Profit]]&gt;100000,"High Value",IF(Sales_Data[[#This Row],[Total Profit]]&gt;60000,"Medium","Low"))</f>
        <v>Low</v>
      </c>
      <c r="Q484" s="11" t="str">
        <f>PROPER(Sales_Data[[#This Row],[Month Name]])</f>
        <v>Abril</v>
      </c>
      <c r="R484" s="11" t="str">
        <f>PROPER(Sales_Data[[#This Row],[Sales Manager]])</f>
        <v>Jane Doe</v>
      </c>
    </row>
    <row r="485" spans="1:18" hidden="1" x14ac:dyDescent="0.25">
      <c r="A485">
        <v>10484</v>
      </c>
      <c r="B485">
        <v>2020</v>
      </c>
      <c r="C485" t="s">
        <v>69</v>
      </c>
      <c r="D485" s="8">
        <v>43949</v>
      </c>
      <c r="E485" t="s">
        <v>14</v>
      </c>
      <c r="F485" t="s">
        <v>12</v>
      </c>
      <c r="G485" t="s">
        <v>15</v>
      </c>
      <c r="H485" s="9">
        <v>2</v>
      </c>
      <c r="I485" s="9">
        <v>41</v>
      </c>
      <c r="J485" s="10">
        <v>20500</v>
      </c>
      <c r="K485" s="10">
        <v>6355</v>
      </c>
      <c r="L485">
        <v>18</v>
      </c>
      <c r="M485" s="8">
        <v>43922</v>
      </c>
      <c r="N485" s="23">
        <v>1.0326371260248E-4</v>
      </c>
      <c r="O485" s="10" t="str">
        <f>IF(Sales_Data[[#This Row],[Total Profit]]&gt;0,"Profitable","Loss")</f>
        <v>Profitable</v>
      </c>
      <c r="P485" s="10" t="str">
        <f>IF(Sales_Data[[#This Row],[Total Profit]]&gt;100000,"High Value",IF(Sales_Data[[#This Row],[Total Profit]]&gt;60000,"Medium","Low"))</f>
        <v>Low</v>
      </c>
      <c r="Q485" s="11" t="str">
        <f>PROPER(Sales_Data[[#This Row],[Month Name]])</f>
        <v>Abril</v>
      </c>
      <c r="R485" s="11" t="str">
        <f>PROPER(Sales_Data[[#This Row],[Sales Manager]])</f>
        <v>Emily White</v>
      </c>
    </row>
    <row r="486" spans="1:18" hidden="1" x14ac:dyDescent="0.25">
      <c r="A486">
        <v>10485</v>
      </c>
      <c r="B486">
        <v>2020</v>
      </c>
      <c r="C486" t="s">
        <v>69</v>
      </c>
      <c r="D486" s="8">
        <v>43950</v>
      </c>
      <c r="E486" t="s">
        <v>19</v>
      </c>
      <c r="F486" t="s">
        <v>16</v>
      </c>
      <c r="G486" t="s">
        <v>17</v>
      </c>
      <c r="H486" s="9">
        <v>4</v>
      </c>
      <c r="I486" s="9">
        <v>277</v>
      </c>
      <c r="J486" s="10">
        <v>69250</v>
      </c>
      <c r="K486" s="10">
        <v>24930</v>
      </c>
      <c r="L486">
        <v>18</v>
      </c>
      <c r="M486" s="8">
        <v>43922</v>
      </c>
      <c r="N486" s="23">
        <v>3.4882985842545002E-4</v>
      </c>
      <c r="O486" s="10" t="str">
        <f>IF(Sales_Data[[#This Row],[Total Profit]]&gt;0,"Profitable","Loss")</f>
        <v>Profitable</v>
      </c>
      <c r="P486" s="10" t="str">
        <f>IF(Sales_Data[[#This Row],[Total Profit]]&gt;100000,"High Value",IF(Sales_Data[[#This Row],[Total Profit]]&gt;60000,"Medium","Low"))</f>
        <v>Low</v>
      </c>
      <c r="Q486" s="11" t="str">
        <f>PROPER(Sales_Data[[#This Row],[Month Name]])</f>
        <v>Abril</v>
      </c>
      <c r="R486" s="11" t="str">
        <f>PROPER(Sales_Data[[#This Row],[Sales Manager]])</f>
        <v>James Brown</v>
      </c>
    </row>
    <row r="487" spans="1:18" hidden="1" x14ac:dyDescent="0.25">
      <c r="A487">
        <v>10486</v>
      </c>
      <c r="B487">
        <v>2020</v>
      </c>
      <c r="C487" t="s">
        <v>69</v>
      </c>
      <c r="D487" s="8">
        <v>43951</v>
      </c>
      <c r="E487" t="s">
        <v>11</v>
      </c>
      <c r="F487" t="s">
        <v>18</v>
      </c>
      <c r="G487" t="s">
        <v>23</v>
      </c>
      <c r="H487" s="9">
        <v>26</v>
      </c>
      <c r="I487" s="9">
        <v>406</v>
      </c>
      <c r="J487" s="10">
        <v>142100</v>
      </c>
      <c r="K487" s="10">
        <v>21315</v>
      </c>
      <c r="L487">
        <v>18</v>
      </c>
      <c r="M487" s="8">
        <v>43922</v>
      </c>
      <c r="N487" s="23">
        <v>7.1579383223475002E-4</v>
      </c>
      <c r="O487" s="10" t="str">
        <f>IF(Sales_Data[[#This Row],[Total Profit]]&gt;0,"Profitable","Loss")</f>
        <v>Profitable</v>
      </c>
      <c r="P487" s="10" t="str">
        <f>IF(Sales_Data[[#This Row],[Total Profit]]&gt;100000,"High Value",IF(Sales_Data[[#This Row],[Total Profit]]&gt;60000,"Medium","Low"))</f>
        <v>Low</v>
      </c>
      <c r="Q487" s="11" t="str">
        <f>PROPER(Sales_Data[[#This Row],[Month Name]])</f>
        <v>Abril</v>
      </c>
      <c r="R487" s="11" t="str">
        <f>PROPER(Sales_Data[[#This Row],[Sales Manager]])</f>
        <v>Jane Doe</v>
      </c>
    </row>
    <row r="488" spans="1:18" hidden="1" x14ac:dyDescent="0.25">
      <c r="A488">
        <v>10487</v>
      </c>
      <c r="B488">
        <v>2020</v>
      </c>
      <c r="C488" t="s">
        <v>70</v>
      </c>
      <c r="D488" s="8">
        <v>43952</v>
      </c>
      <c r="E488" t="s">
        <v>14</v>
      </c>
      <c r="F488" t="s">
        <v>12</v>
      </c>
      <c r="G488" t="s">
        <v>13</v>
      </c>
      <c r="H488" s="9">
        <v>39</v>
      </c>
      <c r="I488" s="9">
        <v>396</v>
      </c>
      <c r="J488" s="10">
        <v>297000</v>
      </c>
      <c r="K488" s="10">
        <v>38610</v>
      </c>
      <c r="L488">
        <v>18</v>
      </c>
      <c r="M488" s="8">
        <v>43922</v>
      </c>
      <c r="N488" s="23">
        <v>1.49606451916763E-3</v>
      </c>
      <c r="O488" s="10" t="str">
        <f>IF(Sales_Data[[#This Row],[Total Profit]]&gt;0,"Profitable","Loss")</f>
        <v>Profitable</v>
      </c>
      <c r="P488" s="10" t="str">
        <f>IF(Sales_Data[[#This Row],[Total Profit]]&gt;100000,"High Value",IF(Sales_Data[[#This Row],[Total Profit]]&gt;60000,"Medium","Low"))</f>
        <v>Low</v>
      </c>
      <c r="Q488" s="11" t="str">
        <f>PROPER(Sales_Data[[#This Row],[Month Name]])</f>
        <v>Maio</v>
      </c>
      <c r="R488" s="11" t="str">
        <f>PROPER(Sales_Data[[#This Row],[Sales Manager]])</f>
        <v>Emily White</v>
      </c>
    </row>
    <row r="489" spans="1:18" hidden="1" x14ac:dyDescent="0.25">
      <c r="A489">
        <v>10488</v>
      </c>
      <c r="B489">
        <v>2020</v>
      </c>
      <c r="C489" t="s">
        <v>70</v>
      </c>
      <c r="D489" s="8">
        <v>43953</v>
      </c>
      <c r="E489" t="s">
        <v>19</v>
      </c>
      <c r="F489" t="s">
        <v>24</v>
      </c>
      <c r="G489" t="s">
        <v>20</v>
      </c>
      <c r="H489" s="9">
        <v>27</v>
      </c>
      <c r="I489" s="9">
        <v>401</v>
      </c>
      <c r="J489" s="10">
        <v>340850</v>
      </c>
      <c r="K489" s="10">
        <v>71578.5</v>
      </c>
      <c r="L489">
        <v>18</v>
      </c>
      <c r="M489" s="8">
        <v>43922</v>
      </c>
      <c r="N489" s="23">
        <v>1.7169481190514801E-3</v>
      </c>
      <c r="O489" s="10" t="str">
        <f>IF(Sales_Data[[#This Row],[Total Profit]]&gt;0,"Profitable","Loss")</f>
        <v>Profitable</v>
      </c>
      <c r="P489" s="10" t="str">
        <f>IF(Sales_Data[[#This Row],[Total Profit]]&gt;100000,"High Value",IF(Sales_Data[[#This Row],[Total Profit]]&gt;60000,"Medium","Low"))</f>
        <v>Medium</v>
      </c>
      <c r="Q489" s="11" t="str">
        <f>PROPER(Sales_Data[[#This Row],[Month Name]])</f>
        <v>Maio</v>
      </c>
      <c r="R489" s="11" t="str">
        <f>PROPER(Sales_Data[[#This Row],[Sales Manager]])</f>
        <v>Liam Lee</v>
      </c>
    </row>
    <row r="490" spans="1:18" hidden="1" x14ac:dyDescent="0.25">
      <c r="A490">
        <v>10489</v>
      </c>
      <c r="B490">
        <v>2020</v>
      </c>
      <c r="C490" t="s">
        <v>70</v>
      </c>
      <c r="D490" s="8">
        <v>43954</v>
      </c>
      <c r="E490" t="s">
        <v>19</v>
      </c>
      <c r="F490" t="s">
        <v>24</v>
      </c>
      <c r="G490" t="s">
        <v>17</v>
      </c>
      <c r="H490" s="9">
        <v>1</v>
      </c>
      <c r="I490" s="9">
        <v>27</v>
      </c>
      <c r="J490" s="10">
        <v>6750</v>
      </c>
      <c r="K490" s="10">
        <v>2700</v>
      </c>
      <c r="L490">
        <v>19</v>
      </c>
      <c r="M490" s="8">
        <v>43922</v>
      </c>
      <c r="N490" s="23">
        <v>3.4001466344719001E-5</v>
      </c>
      <c r="O490" s="10" t="str">
        <f>IF(Sales_Data[[#This Row],[Total Profit]]&gt;0,"Profitable","Loss")</f>
        <v>Profitable</v>
      </c>
      <c r="P490" s="10" t="str">
        <f>IF(Sales_Data[[#This Row],[Total Profit]]&gt;100000,"High Value",IF(Sales_Data[[#This Row],[Total Profit]]&gt;60000,"Medium","Low"))</f>
        <v>Low</v>
      </c>
      <c r="Q490" s="11" t="str">
        <f>PROPER(Sales_Data[[#This Row],[Month Name]])</f>
        <v>Maio</v>
      </c>
      <c r="R490" s="11" t="str">
        <f>PROPER(Sales_Data[[#This Row],[Sales Manager]])</f>
        <v>Liam Lee</v>
      </c>
    </row>
    <row r="491" spans="1:18" hidden="1" x14ac:dyDescent="0.25">
      <c r="A491">
        <v>10490</v>
      </c>
      <c r="B491">
        <v>2020</v>
      </c>
      <c r="C491" t="s">
        <v>70</v>
      </c>
      <c r="D491" s="8">
        <v>43955</v>
      </c>
      <c r="E491" t="s">
        <v>11</v>
      </c>
      <c r="F491" t="s">
        <v>18</v>
      </c>
      <c r="G491" t="s">
        <v>17</v>
      </c>
      <c r="H491" s="9">
        <v>12</v>
      </c>
      <c r="I491" s="9">
        <v>450</v>
      </c>
      <c r="J491" s="10">
        <v>112500</v>
      </c>
      <c r="K491" s="10">
        <v>20250</v>
      </c>
      <c r="L491">
        <v>19</v>
      </c>
      <c r="M491" s="8">
        <v>43922</v>
      </c>
      <c r="N491" s="23">
        <v>5.6669110574531596E-4</v>
      </c>
      <c r="O491" s="10" t="str">
        <f>IF(Sales_Data[[#This Row],[Total Profit]]&gt;0,"Profitable","Loss")</f>
        <v>Profitable</v>
      </c>
      <c r="P491" s="10" t="str">
        <f>IF(Sales_Data[[#This Row],[Total Profit]]&gt;100000,"High Value",IF(Sales_Data[[#This Row],[Total Profit]]&gt;60000,"Medium","Low"))</f>
        <v>Low</v>
      </c>
      <c r="Q491" s="11" t="str">
        <f>PROPER(Sales_Data[[#This Row],[Month Name]])</f>
        <v>Maio</v>
      </c>
      <c r="R491" s="11" t="str">
        <f>PROPER(Sales_Data[[#This Row],[Sales Manager]])</f>
        <v>Jane Doe</v>
      </c>
    </row>
    <row r="492" spans="1:18" hidden="1" x14ac:dyDescent="0.25">
      <c r="A492">
        <v>10491</v>
      </c>
      <c r="B492">
        <v>2020</v>
      </c>
      <c r="C492" t="s">
        <v>70</v>
      </c>
      <c r="D492" s="8">
        <v>43956</v>
      </c>
      <c r="E492" t="s">
        <v>25</v>
      </c>
      <c r="F492" t="s">
        <v>16</v>
      </c>
      <c r="G492" t="s">
        <v>20</v>
      </c>
      <c r="H492" s="9">
        <v>26</v>
      </c>
      <c r="I492" s="9">
        <v>298</v>
      </c>
      <c r="J492" s="10">
        <v>253300</v>
      </c>
      <c r="K492" s="10">
        <v>53193</v>
      </c>
      <c r="L492">
        <v>19</v>
      </c>
      <c r="M492" s="8">
        <v>43922</v>
      </c>
      <c r="N492" s="23">
        <v>1.27593650742479E-3</v>
      </c>
      <c r="O492" s="10" t="str">
        <f>IF(Sales_Data[[#This Row],[Total Profit]]&gt;0,"Profitable","Loss")</f>
        <v>Profitable</v>
      </c>
      <c r="P492" s="10" t="str">
        <f>IF(Sales_Data[[#This Row],[Total Profit]]&gt;100000,"High Value",IF(Sales_Data[[#This Row],[Total Profit]]&gt;60000,"Medium","Low"))</f>
        <v>Low</v>
      </c>
      <c r="Q492" s="11" t="str">
        <f>PROPER(Sales_Data[[#This Row],[Month Name]])</f>
        <v>Maio</v>
      </c>
      <c r="R492" s="11" t="str">
        <f>PROPER(Sales_Data[[#This Row],[Sales Manager]])</f>
        <v>James Brown</v>
      </c>
    </row>
    <row r="493" spans="1:18" hidden="1" x14ac:dyDescent="0.25">
      <c r="A493">
        <v>10492</v>
      </c>
      <c r="B493">
        <v>2020</v>
      </c>
      <c r="C493" t="s">
        <v>70</v>
      </c>
      <c r="D493" s="8">
        <v>43957</v>
      </c>
      <c r="E493" t="s">
        <v>11</v>
      </c>
      <c r="F493" t="s">
        <v>24</v>
      </c>
      <c r="G493" t="s">
        <v>13</v>
      </c>
      <c r="H493" s="9">
        <v>8</v>
      </c>
      <c r="I493" s="9">
        <v>91</v>
      </c>
      <c r="J493" s="10">
        <v>68250</v>
      </c>
      <c r="K493" s="10">
        <v>6825</v>
      </c>
      <c r="L493">
        <v>19</v>
      </c>
      <c r="M493" s="8">
        <v>43922</v>
      </c>
      <c r="N493" s="23">
        <v>3.4379260415215798E-4</v>
      </c>
      <c r="O493" s="10" t="str">
        <f>IF(Sales_Data[[#This Row],[Total Profit]]&gt;0,"Profitable","Loss")</f>
        <v>Profitable</v>
      </c>
      <c r="P493" s="10" t="str">
        <f>IF(Sales_Data[[#This Row],[Total Profit]]&gt;100000,"High Value",IF(Sales_Data[[#This Row],[Total Profit]]&gt;60000,"Medium","Low"))</f>
        <v>Low</v>
      </c>
      <c r="Q493" s="11" t="str">
        <f>PROPER(Sales_Data[[#This Row],[Month Name]])</f>
        <v>Maio</v>
      </c>
      <c r="R493" s="11" t="str">
        <f>PROPER(Sales_Data[[#This Row],[Sales Manager]])</f>
        <v>Liam Lee</v>
      </c>
    </row>
    <row r="494" spans="1:18" hidden="1" x14ac:dyDescent="0.25">
      <c r="A494">
        <v>10493</v>
      </c>
      <c r="B494">
        <v>2020</v>
      </c>
      <c r="C494" t="s">
        <v>70</v>
      </c>
      <c r="D494" s="8">
        <v>43958</v>
      </c>
      <c r="E494" t="s">
        <v>22</v>
      </c>
      <c r="F494" t="s">
        <v>18</v>
      </c>
      <c r="G494" t="s">
        <v>13</v>
      </c>
      <c r="H494" s="9">
        <v>35</v>
      </c>
      <c r="I494" s="9">
        <v>399</v>
      </c>
      <c r="J494" s="10">
        <v>299250</v>
      </c>
      <c r="K494" s="10">
        <v>62842.5</v>
      </c>
      <c r="L494">
        <v>19</v>
      </c>
      <c r="M494" s="8">
        <v>43922</v>
      </c>
      <c r="N494" s="23">
        <v>1.5073983412825401E-3</v>
      </c>
      <c r="O494" s="10" t="str">
        <f>IF(Sales_Data[[#This Row],[Total Profit]]&gt;0,"Profitable","Loss")</f>
        <v>Profitable</v>
      </c>
      <c r="P494" s="10" t="str">
        <f>IF(Sales_Data[[#This Row],[Total Profit]]&gt;100000,"High Value",IF(Sales_Data[[#This Row],[Total Profit]]&gt;60000,"Medium","Low"))</f>
        <v>Medium</v>
      </c>
      <c r="Q494" s="11" t="str">
        <f>PROPER(Sales_Data[[#This Row],[Month Name]])</f>
        <v>Maio</v>
      </c>
      <c r="R494" s="11" t="str">
        <f>PROPER(Sales_Data[[#This Row],[Sales Manager]])</f>
        <v>Jane Doe</v>
      </c>
    </row>
    <row r="495" spans="1:18" hidden="1" x14ac:dyDescent="0.25">
      <c r="A495">
        <v>10494</v>
      </c>
      <c r="B495">
        <v>2020</v>
      </c>
      <c r="C495" t="s">
        <v>70</v>
      </c>
      <c r="D495" s="8">
        <v>43959</v>
      </c>
      <c r="E495" t="s">
        <v>14</v>
      </c>
      <c r="F495" t="s">
        <v>12</v>
      </c>
      <c r="G495" t="s">
        <v>17</v>
      </c>
      <c r="H495" s="9">
        <v>14</v>
      </c>
      <c r="I495" s="9">
        <v>345</v>
      </c>
      <c r="J495" s="10">
        <v>86250</v>
      </c>
      <c r="K495" s="10">
        <v>25012.5</v>
      </c>
      <c r="L495">
        <v>19</v>
      </c>
      <c r="M495" s="8">
        <v>43922</v>
      </c>
      <c r="N495" s="23">
        <v>4.3446318107140901E-4</v>
      </c>
      <c r="O495" s="10" t="str">
        <f>IF(Sales_Data[[#This Row],[Total Profit]]&gt;0,"Profitable","Loss")</f>
        <v>Profitable</v>
      </c>
      <c r="P495" s="10" t="str">
        <f>IF(Sales_Data[[#This Row],[Total Profit]]&gt;100000,"High Value",IF(Sales_Data[[#This Row],[Total Profit]]&gt;60000,"Medium","Low"))</f>
        <v>Low</v>
      </c>
      <c r="Q495" s="11" t="str">
        <f>PROPER(Sales_Data[[#This Row],[Month Name]])</f>
        <v>Maio</v>
      </c>
      <c r="R495" s="11" t="str">
        <f>PROPER(Sales_Data[[#This Row],[Sales Manager]])</f>
        <v>Emily White</v>
      </c>
    </row>
    <row r="496" spans="1:18" hidden="1" x14ac:dyDescent="0.25">
      <c r="A496">
        <v>10495</v>
      </c>
      <c r="B496">
        <v>2020</v>
      </c>
      <c r="C496" t="s">
        <v>70</v>
      </c>
      <c r="D496" s="8">
        <v>43960</v>
      </c>
      <c r="E496" t="s">
        <v>11</v>
      </c>
      <c r="F496" t="s">
        <v>12</v>
      </c>
      <c r="G496" t="s">
        <v>23</v>
      </c>
      <c r="H496" s="9">
        <v>7</v>
      </c>
      <c r="I496" s="9">
        <v>265</v>
      </c>
      <c r="J496" s="10">
        <v>92750</v>
      </c>
      <c r="K496" s="10">
        <v>20405</v>
      </c>
      <c r="L496">
        <v>19</v>
      </c>
      <c r="M496" s="8">
        <v>43922</v>
      </c>
      <c r="N496" s="23">
        <v>4.6720533384780497E-4</v>
      </c>
      <c r="O496" s="10" t="str">
        <f>IF(Sales_Data[[#This Row],[Total Profit]]&gt;0,"Profitable","Loss")</f>
        <v>Profitable</v>
      </c>
      <c r="P496" s="10" t="str">
        <f>IF(Sales_Data[[#This Row],[Total Profit]]&gt;100000,"High Value",IF(Sales_Data[[#This Row],[Total Profit]]&gt;60000,"Medium","Low"))</f>
        <v>Low</v>
      </c>
      <c r="Q496" s="11" t="str">
        <f>PROPER(Sales_Data[[#This Row],[Month Name]])</f>
        <v>Maio</v>
      </c>
      <c r="R496" s="11" t="str">
        <f>PROPER(Sales_Data[[#This Row],[Sales Manager]])</f>
        <v>Emily White</v>
      </c>
    </row>
    <row r="497" spans="1:18" hidden="1" x14ac:dyDescent="0.25">
      <c r="A497">
        <v>10496</v>
      </c>
      <c r="B497">
        <v>2020</v>
      </c>
      <c r="C497" t="s">
        <v>70</v>
      </c>
      <c r="D497" s="8">
        <v>43961</v>
      </c>
      <c r="E497" t="s">
        <v>22</v>
      </c>
      <c r="F497" t="s">
        <v>18</v>
      </c>
      <c r="G497" t="s">
        <v>13</v>
      </c>
      <c r="H497" s="9">
        <v>13</v>
      </c>
      <c r="I497" s="9">
        <v>422</v>
      </c>
      <c r="J497" s="10">
        <v>316500</v>
      </c>
      <c r="K497" s="10">
        <v>75960</v>
      </c>
      <c r="L497">
        <v>20</v>
      </c>
      <c r="M497" s="8">
        <v>43922</v>
      </c>
      <c r="N497" s="23">
        <v>1.59429097749682E-3</v>
      </c>
      <c r="O497" s="10" t="str">
        <f>IF(Sales_Data[[#This Row],[Total Profit]]&gt;0,"Profitable","Loss")</f>
        <v>Profitable</v>
      </c>
      <c r="P497" s="10" t="str">
        <f>IF(Sales_Data[[#This Row],[Total Profit]]&gt;100000,"High Value",IF(Sales_Data[[#This Row],[Total Profit]]&gt;60000,"Medium","Low"))</f>
        <v>Medium</v>
      </c>
      <c r="Q497" s="11" t="str">
        <f>PROPER(Sales_Data[[#This Row],[Month Name]])</f>
        <v>Maio</v>
      </c>
      <c r="R497" s="11" t="str">
        <f>PROPER(Sales_Data[[#This Row],[Sales Manager]])</f>
        <v>Jane Doe</v>
      </c>
    </row>
    <row r="498" spans="1:18" hidden="1" x14ac:dyDescent="0.25">
      <c r="A498">
        <v>10497</v>
      </c>
      <c r="B498">
        <v>2020</v>
      </c>
      <c r="C498" t="s">
        <v>70</v>
      </c>
      <c r="D498" s="8">
        <v>43962</v>
      </c>
      <c r="E498" t="s">
        <v>25</v>
      </c>
      <c r="F498" t="s">
        <v>12</v>
      </c>
      <c r="G498" t="s">
        <v>15</v>
      </c>
      <c r="H498" s="9">
        <v>36</v>
      </c>
      <c r="I498" s="9">
        <v>486</v>
      </c>
      <c r="J498" s="10">
        <v>243000</v>
      </c>
      <c r="K498" s="10">
        <v>65610</v>
      </c>
      <c r="L498">
        <v>20</v>
      </c>
      <c r="M498" s="8">
        <v>43922</v>
      </c>
      <c r="N498" s="23">
        <v>1.2240527884098799E-3</v>
      </c>
      <c r="O498" s="10" t="str">
        <f>IF(Sales_Data[[#This Row],[Total Profit]]&gt;0,"Profitable","Loss")</f>
        <v>Profitable</v>
      </c>
      <c r="P498" s="10" t="str">
        <f>IF(Sales_Data[[#This Row],[Total Profit]]&gt;100000,"High Value",IF(Sales_Data[[#This Row],[Total Profit]]&gt;60000,"Medium","Low"))</f>
        <v>Medium</v>
      </c>
      <c r="Q498" s="11" t="str">
        <f>PROPER(Sales_Data[[#This Row],[Month Name]])</f>
        <v>Maio</v>
      </c>
      <c r="R498" s="11" t="str">
        <f>PROPER(Sales_Data[[#This Row],[Sales Manager]])</f>
        <v>Emily White</v>
      </c>
    </row>
    <row r="499" spans="1:18" hidden="1" x14ac:dyDescent="0.25">
      <c r="A499">
        <v>10498</v>
      </c>
      <c r="B499">
        <v>2020</v>
      </c>
      <c r="C499" t="s">
        <v>70</v>
      </c>
      <c r="D499" s="8">
        <v>43963</v>
      </c>
      <c r="E499" t="s">
        <v>22</v>
      </c>
      <c r="F499" t="s">
        <v>24</v>
      </c>
      <c r="G499" t="s">
        <v>20</v>
      </c>
      <c r="H499" s="9">
        <v>1</v>
      </c>
      <c r="I499" s="9">
        <v>11</v>
      </c>
      <c r="J499" s="10">
        <v>9350</v>
      </c>
      <c r="K499" s="10">
        <v>2431</v>
      </c>
      <c r="L499">
        <v>20</v>
      </c>
      <c r="M499" s="8">
        <v>43922</v>
      </c>
      <c r="N499" s="23">
        <v>4.70983274552774E-5</v>
      </c>
      <c r="O499" s="10" t="str">
        <f>IF(Sales_Data[[#This Row],[Total Profit]]&gt;0,"Profitable","Loss")</f>
        <v>Profitable</v>
      </c>
      <c r="P499" s="10" t="str">
        <f>IF(Sales_Data[[#This Row],[Total Profit]]&gt;100000,"High Value",IF(Sales_Data[[#This Row],[Total Profit]]&gt;60000,"Medium","Low"))</f>
        <v>Low</v>
      </c>
      <c r="Q499" s="11" t="str">
        <f>PROPER(Sales_Data[[#This Row],[Month Name]])</f>
        <v>Maio</v>
      </c>
      <c r="R499" s="11" t="str">
        <f>PROPER(Sales_Data[[#This Row],[Sales Manager]])</f>
        <v>Liam Lee</v>
      </c>
    </row>
    <row r="500" spans="1:18" hidden="1" x14ac:dyDescent="0.25">
      <c r="A500">
        <v>10499</v>
      </c>
      <c r="B500">
        <v>2020</v>
      </c>
      <c r="C500" t="s">
        <v>70</v>
      </c>
      <c r="D500" s="8">
        <v>43964</v>
      </c>
      <c r="E500" t="s">
        <v>25</v>
      </c>
      <c r="F500" t="s">
        <v>18</v>
      </c>
      <c r="G500" t="s">
        <v>23</v>
      </c>
      <c r="H500" s="9">
        <v>21</v>
      </c>
      <c r="I500" s="9">
        <v>357</v>
      </c>
      <c r="J500" s="10">
        <v>124950</v>
      </c>
      <c r="K500" s="10">
        <v>43732.5</v>
      </c>
      <c r="L500">
        <v>20</v>
      </c>
      <c r="M500" s="8">
        <v>43922</v>
      </c>
      <c r="N500" s="23">
        <v>6.2940492144779802E-4</v>
      </c>
      <c r="O500" s="10" t="str">
        <f>IF(Sales_Data[[#This Row],[Total Profit]]&gt;0,"Profitable","Loss")</f>
        <v>Profitable</v>
      </c>
      <c r="P500" s="10" t="str">
        <f>IF(Sales_Data[[#This Row],[Total Profit]]&gt;100000,"High Value",IF(Sales_Data[[#This Row],[Total Profit]]&gt;60000,"Medium","Low"))</f>
        <v>Low</v>
      </c>
      <c r="Q500" s="11" t="str">
        <f>PROPER(Sales_Data[[#This Row],[Month Name]])</f>
        <v>Maio</v>
      </c>
      <c r="R500" s="11" t="str">
        <f>PROPER(Sales_Data[[#This Row],[Sales Manager]])</f>
        <v>Jane Doe</v>
      </c>
    </row>
    <row r="501" spans="1:18" hidden="1" x14ac:dyDescent="0.25">
      <c r="A501">
        <v>10500</v>
      </c>
      <c r="B501">
        <v>2020</v>
      </c>
      <c r="C501" t="s">
        <v>70</v>
      </c>
      <c r="D501" s="8">
        <v>43965</v>
      </c>
      <c r="E501" t="s">
        <v>22</v>
      </c>
      <c r="F501" t="s">
        <v>16</v>
      </c>
      <c r="G501" t="s">
        <v>20</v>
      </c>
      <c r="H501" s="9">
        <v>14</v>
      </c>
      <c r="I501" s="9">
        <v>188</v>
      </c>
      <c r="J501" s="10">
        <v>159800</v>
      </c>
      <c r="K501" s="10">
        <v>43146</v>
      </c>
      <c r="L501">
        <v>20</v>
      </c>
      <c r="M501" s="8">
        <v>43922</v>
      </c>
      <c r="N501" s="23">
        <v>8.0495323287201298E-4</v>
      </c>
      <c r="O501" s="10" t="str">
        <f>IF(Sales_Data[[#This Row],[Total Profit]]&gt;0,"Profitable","Loss")</f>
        <v>Profitable</v>
      </c>
      <c r="P501" s="10" t="str">
        <f>IF(Sales_Data[[#This Row],[Total Profit]]&gt;100000,"High Value",IF(Sales_Data[[#This Row],[Total Profit]]&gt;60000,"Medium","Low"))</f>
        <v>Low</v>
      </c>
      <c r="Q501" s="11" t="str">
        <f>PROPER(Sales_Data[[#This Row],[Month Name]])</f>
        <v>Maio</v>
      </c>
      <c r="R501" s="11" t="str">
        <f>PROPER(Sales_Data[[#This Row],[Sales Manager]])</f>
        <v>James Brown</v>
      </c>
    </row>
    <row r="502" spans="1:18" hidden="1" x14ac:dyDescent="0.25">
      <c r="A502">
        <v>10501</v>
      </c>
      <c r="B502">
        <v>2020</v>
      </c>
      <c r="C502" t="s">
        <v>70</v>
      </c>
      <c r="D502" s="8">
        <v>43966</v>
      </c>
      <c r="E502" t="s">
        <v>11</v>
      </c>
      <c r="F502" t="s">
        <v>12</v>
      </c>
      <c r="G502" t="s">
        <v>15</v>
      </c>
      <c r="H502" s="9">
        <v>14</v>
      </c>
      <c r="I502" s="9">
        <v>144</v>
      </c>
      <c r="J502" s="10">
        <v>72000</v>
      </c>
      <c r="K502" s="10">
        <v>10080.000000000002</v>
      </c>
      <c r="L502">
        <v>20</v>
      </c>
      <c r="M502" s="8">
        <v>43922</v>
      </c>
      <c r="N502" s="23">
        <v>3.6268230767700201E-4</v>
      </c>
      <c r="O502" s="10" t="str">
        <f>IF(Sales_Data[[#This Row],[Total Profit]]&gt;0,"Profitable","Loss")</f>
        <v>Profitable</v>
      </c>
      <c r="P502" s="10" t="str">
        <f>IF(Sales_Data[[#This Row],[Total Profit]]&gt;100000,"High Value",IF(Sales_Data[[#This Row],[Total Profit]]&gt;60000,"Medium","Low"))</f>
        <v>Low</v>
      </c>
      <c r="Q502" s="11" t="str">
        <f>PROPER(Sales_Data[[#This Row],[Month Name]])</f>
        <v>Maio</v>
      </c>
      <c r="R502" s="11" t="str">
        <f>PROPER(Sales_Data[[#This Row],[Sales Manager]])</f>
        <v>Emily White</v>
      </c>
    </row>
    <row r="503" spans="1:18" hidden="1" x14ac:dyDescent="0.25">
      <c r="A503">
        <v>10502</v>
      </c>
      <c r="B503">
        <v>2020</v>
      </c>
      <c r="C503" t="s">
        <v>70</v>
      </c>
      <c r="D503" s="8">
        <v>43967</v>
      </c>
      <c r="E503" t="s">
        <v>19</v>
      </c>
      <c r="F503" t="s">
        <v>21</v>
      </c>
      <c r="G503" t="s">
        <v>17</v>
      </c>
      <c r="H503" s="9">
        <v>18</v>
      </c>
      <c r="I503" s="9">
        <v>218</v>
      </c>
      <c r="J503" s="10">
        <v>54500</v>
      </c>
      <c r="K503" s="10">
        <v>9810</v>
      </c>
      <c r="L503">
        <v>20</v>
      </c>
      <c r="M503" s="8">
        <v>43922</v>
      </c>
      <c r="N503" s="23">
        <v>2.74530357894397E-4</v>
      </c>
      <c r="O503" s="10" t="str">
        <f>IF(Sales_Data[[#This Row],[Total Profit]]&gt;0,"Profitable","Loss")</f>
        <v>Profitable</v>
      </c>
      <c r="P503" s="10" t="str">
        <f>IF(Sales_Data[[#This Row],[Total Profit]]&gt;100000,"High Value",IF(Sales_Data[[#This Row],[Total Profit]]&gt;60000,"Medium","Low"))</f>
        <v>Low</v>
      </c>
      <c r="Q503" s="11" t="str">
        <f>PROPER(Sales_Data[[#This Row],[Month Name]])</f>
        <v>Maio</v>
      </c>
      <c r="R503" s="11" t="str">
        <f>PROPER(Sales_Data[[#This Row],[Sales Manager]])</f>
        <v>John Smith</v>
      </c>
    </row>
    <row r="504" spans="1:18" hidden="1" x14ac:dyDescent="0.25">
      <c r="A504">
        <v>10503</v>
      </c>
      <c r="B504">
        <v>2020</v>
      </c>
      <c r="C504" t="s">
        <v>70</v>
      </c>
      <c r="D504" s="8">
        <v>43968</v>
      </c>
      <c r="E504" t="s">
        <v>14</v>
      </c>
      <c r="F504" t="s">
        <v>21</v>
      </c>
      <c r="G504" t="s">
        <v>15</v>
      </c>
      <c r="H504" s="9">
        <v>3</v>
      </c>
      <c r="I504" s="9">
        <v>119</v>
      </c>
      <c r="J504" s="10">
        <v>59500</v>
      </c>
      <c r="K504" s="10">
        <v>11900</v>
      </c>
      <c r="L504">
        <v>21</v>
      </c>
      <c r="M504" s="8">
        <v>43922</v>
      </c>
      <c r="N504" s="23">
        <v>2.9971662926085599E-4</v>
      </c>
      <c r="O504" s="10" t="str">
        <f>IF(Sales_Data[[#This Row],[Total Profit]]&gt;0,"Profitable","Loss")</f>
        <v>Profitable</v>
      </c>
      <c r="P504" s="10" t="str">
        <f>IF(Sales_Data[[#This Row],[Total Profit]]&gt;100000,"High Value",IF(Sales_Data[[#This Row],[Total Profit]]&gt;60000,"Medium","Low"))</f>
        <v>Low</v>
      </c>
      <c r="Q504" s="11" t="str">
        <f>PROPER(Sales_Data[[#This Row],[Month Name]])</f>
        <v>Maio</v>
      </c>
      <c r="R504" s="11" t="str">
        <f>PROPER(Sales_Data[[#This Row],[Sales Manager]])</f>
        <v>John Smith</v>
      </c>
    </row>
    <row r="505" spans="1:18" hidden="1" x14ac:dyDescent="0.25">
      <c r="A505">
        <v>10504</v>
      </c>
      <c r="B505">
        <v>2020</v>
      </c>
      <c r="C505" t="s">
        <v>70</v>
      </c>
      <c r="D505" s="8">
        <v>43969</v>
      </c>
      <c r="E505" t="s">
        <v>14</v>
      </c>
      <c r="F505" t="s">
        <v>12</v>
      </c>
      <c r="G505" t="s">
        <v>17</v>
      </c>
      <c r="H505" s="9">
        <v>13</v>
      </c>
      <c r="I505" s="9">
        <v>339</v>
      </c>
      <c r="J505" s="10">
        <v>84750</v>
      </c>
      <c r="K505" s="10">
        <v>21187.5</v>
      </c>
      <c r="L505">
        <v>21</v>
      </c>
      <c r="M505" s="8">
        <v>43922</v>
      </c>
      <c r="N505" s="23">
        <v>4.2690729966147101E-4</v>
      </c>
      <c r="O505" s="10" t="str">
        <f>IF(Sales_Data[[#This Row],[Total Profit]]&gt;0,"Profitable","Loss")</f>
        <v>Profitable</v>
      </c>
      <c r="P505" s="10" t="str">
        <f>IF(Sales_Data[[#This Row],[Total Profit]]&gt;100000,"High Value",IF(Sales_Data[[#This Row],[Total Profit]]&gt;60000,"Medium","Low"))</f>
        <v>Low</v>
      </c>
      <c r="Q505" s="11" t="str">
        <f>PROPER(Sales_Data[[#This Row],[Month Name]])</f>
        <v>Maio</v>
      </c>
      <c r="R505" s="11" t="str">
        <f>PROPER(Sales_Data[[#This Row],[Sales Manager]])</f>
        <v>Emily White</v>
      </c>
    </row>
    <row r="506" spans="1:18" hidden="1" x14ac:dyDescent="0.25">
      <c r="A506">
        <v>10505</v>
      </c>
      <c r="B506">
        <v>2020</v>
      </c>
      <c r="C506" t="s">
        <v>70</v>
      </c>
      <c r="D506" s="8">
        <v>43970</v>
      </c>
      <c r="E506" t="s">
        <v>19</v>
      </c>
      <c r="F506" t="s">
        <v>16</v>
      </c>
      <c r="G506" t="s">
        <v>15</v>
      </c>
      <c r="H506" s="9">
        <v>10</v>
      </c>
      <c r="I506" s="9">
        <v>276</v>
      </c>
      <c r="J506" s="10">
        <v>138000</v>
      </c>
      <c r="K506" s="10">
        <v>20700</v>
      </c>
      <c r="L506">
        <v>21</v>
      </c>
      <c r="M506" s="8">
        <v>43922</v>
      </c>
      <c r="N506" s="23">
        <v>6.9514108971425396E-4</v>
      </c>
      <c r="O506" s="10" t="str">
        <f>IF(Sales_Data[[#This Row],[Total Profit]]&gt;0,"Profitable","Loss")</f>
        <v>Profitable</v>
      </c>
      <c r="P506" s="10" t="str">
        <f>IF(Sales_Data[[#This Row],[Total Profit]]&gt;100000,"High Value",IF(Sales_Data[[#This Row],[Total Profit]]&gt;60000,"Medium","Low"))</f>
        <v>Low</v>
      </c>
      <c r="Q506" s="11" t="str">
        <f>PROPER(Sales_Data[[#This Row],[Month Name]])</f>
        <v>Maio</v>
      </c>
      <c r="R506" s="11" t="str">
        <f>PROPER(Sales_Data[[#This Row],[Sales Manager]])</f>
        <v>James Brown</v>
      </c>
    </row>
    <row r="507" spans="1:18" hidden="1" x14ac:dyDescent="0.25">
      <c r="A507">
        <v>10506</v>
      </c>
      <c r="B507">
        <v>2020</v>
      </c>
      <c r="C507" t="s">
        <v>70</v>
      </c>
      <c r="D507" s="8">
        <v>43971</v>
      </c>
      <c r="E507" t="s">
        <v>22</v>
      </c>
      <c r="F507" t="s">
        <v>21</v>
      </c>
      <c r="G507" t="s">
        <v>20</v>
      </c>
      <c r="H507" s="9">
        <v>10</v>
      </c>
      <c r="I507" s="9">
        <v>256</v>
      </c>
      <c r="J507" s="10">
        <v>217600</v>
      </c>
      <c r="K507" s="10">
        <v>65280</v>
      </c>
      <c r="L507">
        <v>21</v>
      </c>
      <c r="M507" s="8">
        <v>43922</v>
      </c>
      <c r="N507" s="23">
        <v>1.09610652986827E-3</v>
      </c>
      <c r="O507" s="10" t="str">
        <f>IF(Sales_Data[[#This Row],[Total Profit]]&gt;0,"Profitable","Loss")</f>
        <v>Profitable</v>
      </c>
      <c r="P507" s="10" t="str">
        <f>IF(Sales_Data[[#This Row],[Total Profit]]&gt;100000,"High Value",IF(Sales_Data[[#This Row],[Total Profit]]&gt;60000,"Medium","Low"))</f>
        <v>Medium</v>
      </c>
      <c r="Q507" s="11" t="str">
        <f>PROPER(Sales_Data[[#This Row],[Month Name]])</f>
        <v>Maio</v>
      </c>
      <c r="R507" s="11" t="str">
        <f>PROPER(Sales_Data[[#This Row],[Sales Manager]])</f>
        <v>John Smith</v>
      </c>
    </row>
    <row r="508" spans="1:18" hidden="1" x14ac:dyDescent="0.25">
      <c r="A508">
        <v>10507</v>
      </c>
      <c r="B508">
        <v>2020</v>
      </c>
      <c r="C508" t="s">
        <v>70</v>
      </c>
      <c r="D508" s="8">
        <v>43972</v>
      </c>
      <c r="E508" t="s">
        <v>11</v>
      </c>
      <c r="F508" t="s">
        <v>16</v>
      </c>
      <c r="G508" t="s">
        <v>15</v>
      </c>
      <c r="H508" s="9">
        <v>3</v>
      </c>
      <c r="I508" s="9">
        <v>90</v>
      </c>
      <c r="J508" s="10">
        <v>45000</v>
      </c>
      <c r="K508" s="10">
        <v>18900</v>
      </c>
      <c r="L508">
        <v>21</v>
      </c>
      <c r="M508" s="8">
        <v>43922</v>
      </c>
      <c r="N508" s="23">
        <v>2.26676442298126E-4</v>
      </c>
      <c r="O508" s="10" t="str">
        <f>IF(Sales_Data[[#This Row],[Total Profit]]&gt;0,"Profitable","Loss")</f>
        <v>Profitable</v>
      </c>
      <c r="P508" s="10" t="str">
        <f>IF(Sales_Data[[#This Row],[Total Profit]]&gt;100000,"High Value",IF(Sales_Data[[#This Row],[Total Profit]]&gt;60000,"Medium","Low"))</f>
        <v>Low</v>
      </c>
      <c r="Q508" s="11" t="str">
        <f>PROPER(Sales_Data[[#This Row],[Month Name]])</f>
        <v>Maio</v>
      </c>
      <c r="R508" s="11" t="str">
        <f>PROPER(Sales_Data[[#This Row],[Sales Manager]])</f>
        <v>James Brown</v>
      </c>
    </row>
    <row r="509" spans="1:18" hidden="1" x14ac:dyDescent="0.25">
      <c r="A509">
        <v>10508</v>
      </c>
      <c r="B509">
        <v>2020</v>
      </c>
      <c r="C509" t="s">
        <v>70</v>
      </c>
      <c r="D509" s="8">
        <v>43973</v>
      </c>
      <c r="E509" t="s">
        <v>19</v>
      </c>
      <c r="F509" t="s">
        <v>12</v>
      </c>
      <c r="G509" t="s">
        <v>23</v>
      </c>
      <c r="H509" s="9">
        <v>8</v>
      </c>
      <c r="I509" s="9">
        <v>223</v>
      </c>
      <c r="J509" s="10">
        <v>78050</v>
      </c>
      <c r="K509" s="10">
        <v>11707.5</v>
      </c>
      <c r="L509">
        <v>21</v>
      </c>
      <c r="M509" s="8">
        <v>43922</v>
      </c>
      <c r="N509" s="23">
        <v>3.9315769603041699E-4</v>
      </c>
      <c r="O509" s="10" t="str">
        <f>IF(Sales_Data[[#This Row],[Total Profit]]&gt;0,"Profitable","Loss")</f>
        <v>Profitable</v>
      </c>
      <c r="P509" s="10" t="str">
        <f>IF(Sales_Data[[#This Row],[Total Profit]]&gt;100000,"High Value",IF(Sales_Data[[#This Row],[Total Profit]]&gt;60000,"Medium","Low"))</f>
        <v>Low</v>
      </c>
      <c r="Q509" s="11" t="str">
        <f>PROPER(Sales_Data[[#This Row],[Month Name]])</f>
        <v>Maio</v>
      </c>
      <c r="R509" s="11" t="str">
        <f>PROPER(Sales_Data[[#This Row],[Sales Manager]])</f>
        <v>Emily White</v>
      </c>
    </row>
    <row r="510" spans="1:18" hidden="1" x14ac:dyDescent="0.25">
      <c r="A510">
        <v>10509</v>
      </c>
      <c r="B510">
        <v>2020</v>
      </c>
      <c r="C510" t="s">
        <v>70</v>
      </c>
      <c r="D510" s="8">
        <v>43974</v>
      </c>
      <c r="E510" t="s">
        <v>25</v>
      </c>
      <c r="F510" t="s">
        <v>16</v>
      </c>
      <c r="G510" t="s">
        <v>13</v>
      </c>
      <c r="H510" s="9">
        <v>5</v>
      </c>
      <c r="I510" s="9">
        <v>197</v>
      </c>
      <c r="J510" s="10">
        <v>147750</v>
      </c>
      <c r="K510" s="10">
        <v>48757.5</v>
      </c>
      <c r="L510">
        <v>21</v>
      </c>
      <c r="M510" s="8">
        <v>43922</v>
      </c>
      <c r="N510" s="23">
        <v>7.4425431887884799E-4</v>
      </c>
      <c r="O510" s="10" t="str">
        <f>IF(Sales_Data[[#This Row],[Total Profit]]&gt;0,"Profitable","Loss")</f>
        <v>Profitable</v>
      </c>
      <c r="P510" s="10" t="str">
        <f>IF(Sales_Data[[#This Row],[Total Profit]]&gt;100000,"High Value",IF(Sales_Data[[#This Row],[Total Profit]]&gt;60000,"Medium","Low"))</f>
        <v>Low</v>
      </c>
      <c r="Q510" s="11" t="str">
        <f>PROPER(Sales_Data[[#This Row],[Month Name]])</f>
        <v>Maio</v>
      </c>
      <c r="R510" s="11" t="str">
        <f>PROPER(Sales_Data[[#This Row],[Sales Manager]])</f>
        <v>James Brown</v>
      </c>
    </row>
    <row r="511" spans="1:18" hidden="1" x14ac:dyDescent="0.25">
      <c r="A511">
        <v>10510</v>
      </c>
      <c r="B511">
        <v>2020</v>
      </c>
      <c r="C511" t="s">
        <v>70</v>
      </c>
      <c r="D511" s="8">
        <v>43975</v>
      </c>
      <c r="E511" t="s">
        <v>14</v>
      </c>
      <c r="F511" t="s">
        <v>16</v>
      </c>
      <c r="G511" t="s">
        <v>20</v>
      </c>
      <c r="H511" s="9">
        <v>12</v>
      </c>
      <c r="I511" s="9">
        <v>298</v>
      </c>
      <c r="J511" s="10">
        <v>253300</v>
      </c>
      <c r="K511" s="10">
        <v>103853</v>
      </c>
      <c r="L511">
        <v>22</v>
      </c>
      <c r="M511" s="8">
        <v>43922</v>
      </c>
      <c r="N511" s="23">
        <v>1.27593650742479E-3</v>
      </c>
      <c r="O511" s="10" t="str">
        <f>IF(Sales_Data[[#This Row],[Total Profit]]&gt;0,"Profitable","Loss")</f>
        <v>Profitable</v>
      </c>
      <c r="P511" s="10" t="str">
        <f>IF(Sales_Data[[#This Row],[Total Profit]]&gt;100000,"High Value",IF(Sales_Data[[#This Row],[Total Profit]]&gt;60000,"Medium","Low"))</f>
        <v>High Value</v>
      </c>
      <c r="Q511" s="11" t="str">
        <f>PROPER(Sales_Data[[#This Row],[Month Name]])</f>
        <v>Maio</v>
      </c>
      <c r="R511" s="11" t="str">
        <f>PROPER(Sales_Data[[#This Row],[Sales Manager]])</f>
        <v>James Brown</v>
      </c>
    </row>
    <row r="512" spans="1:18" hidden="1" x14ac:dyDescent="0.25">
      <c r="A512">
        <v>10511</v>
      </c>
      <c r="B512">
        <v>2020</v>
      </c>
      <c r="C512" t="s">
        <v>70</v>
      </c>
      <c r="D512" s="8">
        <v>43976</v>
      </c>
      <c r="E512" t="s">
        <v>25</v>
      </c>
      <c r="F512" t="s">
        <v>24</v>
      </c>
      <c r="G512" t="s">
        <v>13</v>
      </c>
      <c r="H512" s="9">
        <v>30</v>
      </c>
      <c r="I512" s="9">
        <v>409</v>
      </c>
      <c r="J512" s="10">
        <v>306750</v>
      </c>
      <c r="K512" s="10">
        <v>61350</v>
      </c>
      <c r="L512">
        <v>22</v>
      </c>
      <c r="M512" s="8">
        <v>43922</v>
      </c>
      <c r="N512" s="23">
        <v>1.54517774833223E-3</v>
      </c>
      <c r="O512" s="10" t="str">
        <f>IF(Sales_Data[[#This Row],[Total Profit]]&gt;0,"Profitable","Loss")</f>
        <v>Profitable</v>
      </c>
      <c r="P512" s="10" t="str">
        <f>IF(Sales_Data[[#This Row],[Total Profit]]&gt;100000,"High Value",IF(Sales_Data[[#This Row],[Total Profit]]&gt;60000,"Medium","Low"))</f>
        <v>Medium</v>
      </c>
      <c r="Q512" s="11" t="str">
        <f>PROPER(Sales_Data[[#This Row],[Month Name]])</f>
        <v>Maio</v>
      </c>
      <c r="R512" s="11" t="str">
        <f>PROPER(Sales_Data[[#This Row],[Sales Manager]])</f>
        <v>Liam Lee</v>
      </c>
    </row>
    <row r="513" spans="1:18" hidden="1" x14ac:dyDescent="0.25">
      <c r="A513">
        <v>10512</v>
      </c>
      <c r="B513">
        <v>2020</v>
      </c>
      <c r="C513" t="s">
        <v>70</v>
      </c>
      <c r="D513" s="8">
        <v>43977</v>
      </c>
      <c r="E513" t="s">
        <v>22</v>
      </c>
      <c r="F513" t="s">
        <v>21</v>
      </c>
      <c r="G513" t="s">
        <v>15</v>
      </c>
      <c r="H513" s="9">
        <v>25</v>
      </c>
      <c r="I513" s="9">
        <v>379</v>
      </c>
      <c r="J513" s="10">
        <v>189500</v>
      </c>
      <c r="K513" s="10">
        <v>85275</v>
      </c>
      <c r="L513">
        <v>22</v>
      </c>
      <c r="M513" s="8">
        <v>43922</v>
      </c>
      <c r="N513" s="23">
        <v>9.5455968478877701E-4</v>
      </c>
      <c r="O513" s="10" t="str">
        <f>IF(Sales_Data[[#This Row],[Total Profit]]&gt;0,"Profitable","Loss")</f>
        <v>Profitable</v>
      </c>
      <c r="P513" s="10" t="str">
        <f>IF(Sales_Data[[#This Row],[Total Profit]]&gt;100000,"High Value",IF(Sales_Data[[#This Row],[Total Profit]]&gt;60000,"Medium","Low"))</f>
        <v>Medium</v>
      </c>
      <c r="Q513" s="11" t="str">
        <f>PROPER(Sales_Data[[#This Row],[Month Name]])</f>
        <v>Maio</v>
      </c>
      <c r="R513" s="11" t="str">
        <f>PROPER(Sales_Data[[#This Row],[Sales Manager]])</f>
        <v>John Smith</v>
      </c>
    </row>
    <row r="514" spans="1:18" hidden="1" x14ac:dyDescent="0.25">
      <c r="A514">
        <v>10513</v>
      </c>
      <c r="B514">
        <v>2020</v>
      </c>
      <c r="C514" t="s">
        <v>70</v>
      </c>
      <c r="D514" s="8">
        <v>43978</v>
      </c>
      <c r="E514" t="s">
        <v>22</v>
      </c>
      <c r="F514" t="s">
        <v>21</v>
      </c>
      <c r="G514" t="s">
        <v>23</v>
      </c>
      <c r="H514" s="9">
        <v>3</v>
      </c>
      <c r="I514" s="9">
        <v>119</v>
      </c>
      <c r="J514" s="10">
        <v>41650</v>
      </c>
      <c r="K514" s="10">
        <v>6664</v>
      </c>
      <c r="L514">
        <v>22</v>
      </c>
      <c r="M514" s="8">
        <v>43922</v>
      </c>
      <c r="N514" s="23">
        <v>2.09801640482599E-4</v>
      </c>
      <c r="O514" s="10" t="str">
        <f>IF(Sales_Data[[#This Row],[Total Profit]]&gt;0,"Profitable","Loss")</f>
        <v>Profitable</v>
      </c>
      <c r="P514" s="10" t="str">
        <f>IF(Sales_Data[[#This Row],[Total Profit]]&gt;100000,"High Value",IF(Sales_Data[[#This Row],[Total Profit]]&gt;60000,"Medium","Low"))</f>
        <v>Low</v>
      </c>
      <c r="Q514" s="11" t="str">
        <f>PROPER(Sales_Data[[#This Row],[Month Name]])</f>
        <v>Maio</v>
      </c>
      <c r="R514" s="11" t="str">
        <f>PROPER(Sales_Data[[#This Row],[Sales Manager]])</f>
        <v>John Smith</v>
      </c>
    </row>
    <row r="515" spans="1:18" hidden="1" x14ac:dyDescent="0.25">
      <c r="A515">
        <v>10514</v>
      </c>
      <c r="B515">
        <v>2020</v>
      </c>
      <c r="C515" t="s">
        <v>70</v>
      </c>
      <c r="D515" s="8">
        <v>43979</v>
      </c>
      <c r="E515" t="s">
        <v>14</v>
      </c>
      <c r="F515" t="s">
        <v>18</v>
      </c>
      <c r="G515" t="s">
        <v>13</v>
      </c>
      <c r="H515" s="9">
        <v>7</v>
      </c>
      <c r="I515" s="9">
        <v>153</v>
      </c>
      <c r="J515" s="10">
        <v>114750</v>
      </c>
      <c r="K515" s="10">
        <v>47047.5</v>
      </c>
      <c r="L515">
        <v>22</v>
      </c>
      <c r="M515" s="8">
        <v>43922</v>
      </c>
      <c r="N515" s="23">
        <v>5.7802492786022204E-4</v>
      </c>
      <c r="O515" s="10" t="str">
        <f>IF(Sales_Data[[#This Row],[Total Profit]]&gt;0,"Profitable","Loss")</f>
        <v>Profitable</v>
      </c>
      <c r="P515" s="10" t="str">
        <f>IF(Sales_Data[[#This Row],[Total Profit]]&gt;100000,"High Value",IF(Sales_Data[[#This Row],[Total Profit]]&gt;60000,"Medium","Low"))</f>
        <v>Low</v>
      </c>
      <c r="Q515" s="11" t="str">
        <f>PROPER(Sales_Data[[#This Row],[Month Name]])</f>
        <v>Maio</v>
      </c>
      <c r="R515" s="11" t="str">
        <f>PROPER(Sales_Data[[#This Row],[Sales Manager]])</f>
        <v>Jane Doe</v>
      </c>
    </row>
    <row r="516" spans="1:18" hidden="1" x14ac:dyDescent="0.25">
      <c r="A516">
        <v>10515</v>
      </c>
      <c r="B516">
        <v>2020</v>
      </c>
      <c r="C516" t="s">
        <v>70</v>
      </c>
      <c r="D516" s="8">
        <v>43980</v>
      </c>
      <c r="E516" t="s">
        <v>14</v>
      </c>
      <c r="F516" t="s">
        <v>21</v>
      </c>
      <c r="G516" t="s">
        <v>23</v>
      </c>
      <c r="H516" s="9">
        <v>24</v>
      </c>
      <c r="I516" s="9">
        <v>265</v>
      </c>
      <c r="J516" s="10">
        <v>92750</v>
      </c>
      <c r="K516" s="10">
        <v>27825</v>
      </c>
      <c r="L516">
        <v>22</v>
      </c>
      <c r="M516" s="8">
        <v>43922</v>
      </c>
      <c r="N516" s="23">
        <v>4.6720533384780497E-4</v>
      </c>
      <c r="O516" s="10" t="str">
        <f>IF(Sales_Data[[#This Row],[Total Profit]]&gt;0,"Profitable","Loss")</f>
        <v>Profitable</v>
      </c>
      <c r="P516" s="10" t="str">
        <f>IF(Sales_Data[[#This Row],[Total Profit]]&gt;100000,"High Value",IF(Sales_Data[[#This Row],[Total Profit]]&gt;60000,"Medium","Low"))</f>
        <v>Low</v>
      </c>
      <c r="Q516" s="11" t="str">
        <f>PROPER(Sales_Data[[#This Row],[Month Name]])</f>
        <v>Maio</v>
      </c>
      <c r="R516" s="11" t="str">
        <f>PROPER(Sales_Data[[#This Row],[Sales Manager]])</f>
        <v>John Smith</v>
      </c>
    </row>
    <row r="517" spans="1:18" hidden="1" x14ac:dyDescent="0.25">
      <c r="A517">
        <v>10516</v>
      </c>
      <c r="B517">
        <v>2020</v>
      </c>
      <c r="C517" t="s">
        <v>70</v>
      </c>
      <c r="D517" s="8">
        <v>43981</v>
      </c>
      <c r="E517" t="s">
        <v>22</v>
      </c>
      <c r="F517" t="s">
        <v>12</v>
      </c>
      <c r="G517" t="s">
        <v>20</v>
      </c>
      <c r="H517" s="9">
        <v>11</v>
      </c>
      <c r="I517" s="9">
        <v>113</v>
      </c>
      <c r="J517" s="10">
        <v>96050</v>
      </c>
      <c r="K517" s="10">
        <v>24973</v>
      </c>
      <c r="L517">
        <v>22</v>
      </c>
      <c r="M517" s="8">
        <v>43922</v>
      </c>
      <c r="N517" s="23">
        <v>4.8382827294966802E-4</v>
      </c>
      <c r="O517" s="10" t="str">
        <f>IF(Sales_Data[[#This Row],[Total Profit]]&gt;0,"Profitable","Loss")</f>
        <v>Profitable</v>
      </c>
      <c r="P517" s="10" t="str">
        <f>IF(Sales_Data[[#This Row],[Total Profit]]&gt;100000,"High Value",IF(Sales_Data[[#This Row],[Total Profit]]&gt;60000,"Medium","Low"))</f>
        <v>Low</v>
      </c>
      <c r="Q517" s="11" t="str">
        <f>PROPER(Sales_Data[[#This Row],[Month Name]])</f>
        <v>Maio</v>
      </c>
      <c r="R517" s="11" t="str">
        <f>PROPER(Sales_Data[[#This Row],[Sales Manager]])</f>
        <v>Emily White</v>
      </c>
    </row>
    <row r="518" spans="1:18" hidden="1" x14ac:dyDescent="0.25">
      <c r="A518">
        <v>10517</v>
      </c>
      <c r="B518">
        <v>2020</v>
      </c>
      <c r="C518" t="s">
        <v>70</v>
      </c>
      <c r="D518" s="8">
        <v>43982</v>
      </c>
      <c r="E518" t="s">
        <v>11</v>
      </c>
      <c r="F518" t="s">
        <v>16</v>
      </c>
      <c r="G518" t="s">
        <v>15</v>
      </c>
      <c r="H518" s="9">
        <v>11</v>
      </c>
      <c r="I518" s="9">
        <v>196</v>
      </c>
      <c r="J518" s="10">
        <v>98000</v>
      </c>
      <c r="K518" s="10">
        <v>31360</v>
      </c>
      <c r="L518">
        <v>23</v>
      </c>
      <c r="M518" s="8">
        <v>43922</v>
      </c>
      <c r="N518" s="23">
        <v>4.9365091878258603E-4</v>
      </c>
      <c r="O518" s="10" t="str">
        <f>IF(Sales_Data[[#This Row],[Total Profit]]&gt;0,"Profitable","Loss")</f>
        <v>Profitable</v>
      </c>
      <c r="P518" s="10" t="str">
        <f>IF(Sales_Data[[#This Row],[Total Profit]]&gt;100000,"High Value",IF(Sales_Data[[#This Row],[Total Profit]]&gt;60000,"Medium","Low"))</f>
        <v>Low</v>
      </c>
      <c r="Q518" s="11" t="str">
        <f>PROPER(Sales_Data[[#This Row],[Month Name]])</f>
        <v>Maio</v>
      </c>
      <c r="R518" s="11" t="str">
        <f>PROPER(Sales_Data[[#This Row],[Sales Manager]])</f>
        <v>James Brown</v>
      </c>
    </row>
    <row r="519" spans="1:18" hidden="1" x14ac:dyDescent="0.25">
      <c r="A519">
        <v>10518</v>
      </c>
      <c r="B519">
        <v>2020</v>
      </c>
      <c r="C519" t="s">
        <v>71</v>
      </c>
      <c r="D519" s="8">
        <v>43983</v>
      </c>
      <c r="E519" t="s">
        <v>14</v>
      </c>
      <c r="F519" t="s">
        <v>21</v>
      </c>
      <c r="G519" t="s">
        <v>15</v>
      </c>
      <c r="H519" s="9">
        <v>4</v>
      </c>
      <c r="I519" s="9">
        <v>107</v>
      </c>
      <c r="J519" s="10">
        <v>53500</v>
      </c>
      <c r="K519" s="10">
        <v>12305</v>
      </c>
      <c r="L519">
        <v>23</v>
      </c>
      <c r="M519" s="8">
        <v>43922</v>
      </c>
      <c r="N519" s="23">
        <v>2.6949310362110599E-4</v>
      </c>
      <c r="O519" s="10" t="str">
        <f>IF(Sales_Data[[#This Row],[Total Profit]]&gt;0,"Profitable","Loss")</f>
        <v>Profitable</v>
      </c>
      <c r="P519" s="10" t="str">
        <f>IF(Sales_Data[[#This Row],[Total Profit]]&gt;100000,"High Value",IF(Sales_Data[[#This Row],[Total Profit]]&gt;60000,"Medium","Low"))</f>
        <v>Low</v>
      </c>
      <c r="Q519" s="11" t="str">
        <f>PROPER(Sales_Data[[#This Row],[Month Name]])</f>
        <v>Junho</v>
      </c>
      <c r="R519" s="11" t="str">
        <f>PROPER(Sales_Data[[#This Row],[Sales Manager]])</f>
        <v>John Smith</v>
      </c>
    </row>
    <row r="520" spans="1:18" hidden="1" x14ac:dyDescent="0.25">
      <c r="A520">
        <v>10519</v>
      </c>
      <c r="B520">
        <v>2020</v>
      </c>
      <c r="C520" t="s">
        <v>71</v>
      </c>
      <c r="D520" s="8">
        <v>43984</v>
      </c>
      <c r="E520" t="s">
        <v>11</v>
      </c>
      <c r="F520" t="s">
        <v>24</v>
      </c>
      <c r="G520" t="s">
        <v>15</v>
      </c>
      <c r="H520" s="9">
        <v>11</v>
      </c>
      <c r="I520" s="9">
        <v>130</v>
      </c>
      <c r="J520" s="10">
        <v>65000</v>
      </c>
      <c r="K520" s="10">
        <v>25350</v>
      </c>
      <c r="L520">
        <v>23</v>
      </c>
      <c r="M520" s="8">
        <v>43922</v>
      </c>
      <c r="N520" s="23">
        <v>3.2742152776396002E-4</v>
      </c>
      <c r="O520" s="10" t="str">
        <f>IF(Sales_Data[[#This Row],[Total Profit]]&gt;0,"Profitable","Loss")</f>
        <v>Profitable</v>
      </c>
      <c r="P520" s="10" t="str">
        <f>IF(Sales_Data[[#This Row],[Total Profit]]&gt;100000,"High Value",IF(Sales_Data[[#This Row],[Total Profit]]&gt;60000,"Medium","Low"))</f>
        <v>Low</v>
      </c>
      <c r="Q520" s="11" t="str">
        <f>PROPER(Sales_Data[[#This Row],[Month Name]])</f>
        <v>Junho</v>
      </c>
      <c r="R520" s="11" t="str">
        <f>PROPER(Sales_Data[[#This Row],[Sales Manager]])</f>
        <v>Liam Lee</v>
      </c>
    </row>
    <row r="521" spans="1:18" hidden="1" x14ac:dyDescent="0.25">
      <c r="A521">
        <v>10520</v>
      </c>
      <c r="B521">
        <v>2020</v>
      </c>
      <c r="C521" t="s">
        <v>71</v>
      </c>
      <c r="D521" s="8">
        <v>43985</v>
      </c>
      <c r="E521" t="s">
        <v>19</v>
      </c>
      <c r="F521" t="s">
        <v>21</v>
      </c>
      <c r="G521" t="s">
        <v>20</v>
      </c>
      <c r="H521" s="9">
        <v>28</v>
      </c>
      <c r="I521" s="9">
        <v>285</v>
      </c>
      <c r="J521" s="10">
        <v>242250</v>
      </c>
      <c r="K521" s="10">
        <v>33915</v>
      </c>
      <c r="L521">
        <v>23</v>
      </c>
      <c r="M521" s="8">
        <v>43922</v>
      </c>
      <c r="N521" s="23">
        <v>1.2202748477049101E-3</v>
      </c>
      <c r="O521" s="10" t="str">
        <f>IF(Sales_Data[[#This Row],[Total Profit]]&gt;0,"Profitable","Loss")</f>
        <v>Profitable</v>
      </c>
      <c r="P521" s="10" t="str">
        <f>IF(Sales_Data[[#This Row],[Total Profit]]&gt;100000,"High Value",IF(Sales_Data[[#This Row],[Total Profit]]&gt;60000,"Medium","Low"))</f>
        <v>Low</v>
      </c>
      <c r="Q521" s="11" t="str">
        <f>PROPER(Sales_Data[[#This Row],[Month Name]])</f>
        <v>Junho</v>
      </c>
      <c r="R521" s="11" t="str">
        <f>PROPER(Sales_Data[[#This Row],[Sales Manager]])</f>
        <v>John Smith</v>
      </c>
    </row>
    <row r="522" spans="1:18" hidden="1" x14ac:dyDescent="0.25">
      <c r="A522">
        <v>10521</v>
      </c>
      <c r="B522">
        <v>2020</v>
      </c>
      <c r="C522" t="s">
        <v>71</v>
      </c>
      <c r="D522" s="8">
        <v>43986</v>
      </c>
      <c r="E522" t="s">
        <v>19</v>
      </c>
      <c r="F522" t="s">
        <v>18</v>
      </c>
      <c r="G522" t="s">
        <v>23</v>
      </c>
      <c r="H522" s="9">
        <v>6</v>
      </c>
      <c r="I522" s="9">
        <v>166</v>
      </c>
      <c r="J522" s="10">
        <v>58100</v>
      </c>
      <c r="K522" s="10">
        <v>7553</v>
      </c>
      <c r="L522">
        <v>23</v>
      </c>
      <c r="M522" s="8">
        <v>43922</v>
      </c>
      <c r="N522" s="23">
        <v>2.9266447327824801E-4</v>
      </c>
      <c r="O522" s="10" t="str">
        <f>IF(Sales_Data[[#This Row],[Total Profit]]&gt;0,"Profitable","Loss")</f>
        <v>Profitable</v>
      </c>
      <c r="P522" s="10" t="str">
        <f>IF(Sales_Data[[#This Row],[Total Profit]]&gt;100000,"High Value",IF(Sales_Data[[#This Row],[Total Profit]]&gt;60000,"Medium","Low"))</f>
        <v>Low</v>
      </c>
      <c r="Q522" s="11" t="str">
        <f>PROPER(Sales_Data[[#This Row],[Month Name]])</f>
        <v>Junho</v>
      </c>
      <c r="R522" s="11" t="str">
        <f>PROPER(Sales_Data[[#This Row],[Sales Manager]])</f>
        <v>Jane Doe</v>
      </c>
    </row>
    <row r="523" spans="1:18" hidden="1" x14ac:dyDescent="0.25">
      <c r="A523">
        <v>10522</v>
      </c>
      <c r="B523">
        <v>2020</v>
      </c>
      <c r="C523" t="s">
        <v>71</v>
      </c>
      <c r="D523" s="8">
        <v>43987</v>
      </c>
      <c r="E523" t="s">
        <v>19</v>
      </c>
      <c r="F523" t="s">
        <v>16</v>
      </c>
      <c r="G523" t="s">
        <v>15</v>
      </c>
      <c r="H523" s="9">
        <v>17</v>
      </c>
      <c r="I523" s="9">
        <v>443</v>
      </c>
      <c r="J523" s="10">
        <v>221500</v>
      </c>
      <c r="K523" s="10">
        <v>86385</v>
      </c>
      <c r="L523">
        <v>23</v>
      </c>
      <c r="M523" s="8">
        <v>43922</v>
      </c>
      <c r="N523" s="23">
        <v>1.11575182153411E-3</v>
      </c>
      <c r="O523" s="10" t="str">
        <f>IF(Sales_Data[[#This Row],[Total Profit]]&gt;0,"Profitable","Loss")</f>
        <v>Profitable</v>
      </c>
      <c r="P523" s="10" t="str">
        <f>IF(Sales_Data[[#This Row],[Total Profit]]&gt;100000,"High Value",IF(Sales_Data[[#This Row],[Total Profit]]&gt;60000,"Medium","Low"))</f>
        <v>Medium</v>
      </c>
      <c r="Q523" s="11" t="str">
        <f>PROPER(Sales_Data[[#This Row],[Month Name]])</f>
        <v>Junho</v>
      </c>
      <c r="R523" s="11" t="str">
        <f>PROPER(Sales_Data[[#This Row],[Sales Manager]])</f>
        <v>James Brown</v>
      </c>
    </row>
    <row r="524" spans="1:18" hidden="1" x14ac:dyDescent="0.25">
      <c r="A524">
        <v>10523</v>
      </c>
      <c r="B524">
        <v>2020</v>
      </c>
      <c r="C524" t="s">
        <v>71</v>
      </c>
      <c r="D524" s="8">
        <v>43988</v>
      </c>
      <c r="E524" t="s">
        <v>25</v>
      </c>
      <c r="F524" t="s">
        <v>16</v>
      </c>
      <c r="G524" t="s">
        <v>13</v>
      </c>
      <c r="H524" s="9">
        <v>15</v>
      </c>
      <c r="I524" s="9">
        <v>375</v>
      </c>
      <c r="J524" s="10">
        <v>281250</v>
      </c>
      <c r="K524" s="10">
        <v>106875</v>
      </c>
      <c r="L524">
        <v>23</v>
      </c>
      <c r="M524" s="8">
        <v>43922</v>
      </c>
      <c r="N524" s="23">
        <v>1.4167277643632899E-3</v>
      </c>
      <c r="O524" s="10" t="str">
        <f>IF(Sales_Data[[#This Row],[Total Profit]]&gt;0,"Profitable","Loss")</f>
        <v>Profitable</v>
      </c>
      <c r="P524" s="10" t="str">
        <f>IF(Sales_Data[[#This Row],[Total Profit]]&gt;100000,"High Value",IF(Sales_Data[[#This Row],[Total Profit]]&gt;60000,"Medium","Low"))</f>
        <v>High Value</v>
      </c>
      <c r="Q524" s="11" t="str">
        <f>PROPER(Sales_Data[[#This Row],[Month Name]])</f>
        <v>Junho</v>
      </c>
      <c r="R524" s="11" t="str">
        <f>PROPER(Sales_Data[[#This Row],[Sales Manager]])</f>
        <v>James Brown</v>
      </c>
    </row>
    <row r="525" spans="1:18" hidden="1" x14ac:dyDescent="0.25">
      <c r="A525">
        <v>10524</v>
      </c>
      <c r="B525">
        <v>2020</v>
      </c>
      <c r="C525" t="s">
        <v>71</v>
      </c>
      <c r="D525" s="8">
        <v>43989</v>
      </c>
      <c r="E525" t="s">
        <v>22</v>
      </c>
      <c r="F525" t="s">
        <v>24</v>
      </c>
      <c r="G525" t="s">
        <v>13</v>
      </c>
      <c r="H525" s="9">
        <v>27</v>
      </c>
      <c r="I525" s="9">
        <v>300</v>
      </c>
      <c r="J525" s="10">
        <v>225000</v>
      </c>
      <c r="K525" s="10">
        <v>31500.000000000004</v>
      </c>
      <c r="L525">
        <v>24</v>
      </c>
      <c r="M525" s="8">
        <v>43922</v>
      </c>
      <c r="N525" s="23">
        <v>1.13338221149063E-3</v>
      </c>
      <c r="O525" s="10" t="str">
        <f>IF(Sales_Data[[#This Row],[Total Profit]]&gt;0,"Profitable","Loss")</f>
        <v>Profitable</v>
      </c>
      <c r="P525" s="10" t="str">
        <f>IF(Sales_Data[[#This Row],[Total Profit]]&gt;100000,"High Value",IF(Sales_Data[[#This Row],[Total Profit]]&gt;60000,"Medium","Low"))</f>
        <v>Low</v>
      </c>
      <c r="Q525" s="11" t="str">
        <f>PROPER(Sales_Data[[#This Row],[Month Name]])</f>
        <v>Junho</v>
      </c>
      <c r="R525" s="11" t="str">
        <f>PROPER(Sales_Data[[#This Row],[Sales Manager]])</f>
        <v>Liam Lee</v>
      </c>
    </row>
    <row r="526" spans="1:18" hidden="1" x14ac:dyDescent="0.25">
      <c r="A526">
        <v>10525</v>
      </c>
      <c r="B526">
        <v>2020</v>
      </c>
      <c r="C526" t="s">
        <v>71</v>
      </c>
      <c r="D526" s="8">
        <v>43990</v>
      </c>
      <c r="E526" t="s">
        <v>14</v>
      </c>
      <c r="F526" t="s">
        <v>16</v>
      </c>
      <c r="G526" t="s">
        <v>23</v>
      </c>
      <c r="H526" s="9">
        <v>12</v>
      </c>
      <c r="I526" s="9">
        <v>207</v>
      </c>
      <c r="J526" s="10">
        <v>72450</v>
      </c>
      <c r="K526" s="10">
        <v>21010.5</v>
      </c>
      <c r="L526">
        <v>24</v>
      </c>
      <c r="M526" s="8">
        <v>43922</v>
      </c>
      <c r="N526" s="23">
        <v>3.6494907209998402E-4</v>
      </c>
      <c r="O526" s="10" t="str">
        <f>IF(Sales_Data[[#This Row],[Total Profit]]&gt;0,"Profitable","Loss")</f>
        <v>Profitable</v>
      </c>
      <c r="P526" s="10" t="str">
        <f>IF(Sales_Data[[#This Row],[Total Profit]]&gt;100000,"High Value",IF(Sales_Data[[#This Row],[Total Profit]]&gt;60000,"Medium","Low"))</f>
        <v>Low</v>
      </c>
      <c r="Q526" s="11" t="str">
        <f>PROPER(Sales_Data[[#This Row],[Month Name]])</f>
        <v>Junho</v>
      </c>
      <c r="R526" s="11" t="str">
        <f>PROPER(Sales_Data[[#This Row],[Sales Manager]])</f>
        <v>James Brown</v>
      </c>
    </row>
    <row r="527" spans="1:18" hidden="1" x14ac:dyDescent="0.25">
      <c r="A527">
        <v>10526</v>
      </c>
      <c r="B527">
        <v>2020</v>
      </c>
      <c r="C527" t="s">
        <v>71</v>
      </c>
      <c r="D527" s="8">
        <v>43991</v>
      </c>
      <c r="E527" t="s">
        <v>25</v>
      </c>
      <c r="F527" t="s">
        <v>21</v>
      </c>
      <c r="G527" t="s">
        <v>23</v>
      </c>
      <c r="H527" s="9">
        <v>13</v>
      </c>
      <c r="I527" s="9">
        <v>167</v>
      </c>
      <c r="J527" s="10">
        <v>58450</v>
      </c>
      <c r="K527" s="10">
        <v>11105.5</v>
      </c>
      <c r="L527">
        <v>24</v>
      </c>
      <c r="M527" s="8">
        <v>43922</v>
      </c>
      <c r="N527" s="23">
        <v>2.9442751227389999E-4</v>
      </c>
      <c r="O527" s="10" t="str">
        <f>IF(Sales_Data[[#This Row],[Total Profit]]&gt;0,"Profitable","Loss")</f>
        <v>Profitable</v>
      </c>
      <c r="P527" s="10" t="str">
        <f>IF(Sales_Data[[#This Row],[Total Profit]]&gt;100000,"High Value",IF(Sales_Data[[#This Row],[Total Profit]]&gt;60000,"Medium","Low"))</f>
        <v>Low</v>
      </c>
      <c r="Q527" s="11" t="str">
        <f>PROPER(Sales_Data[[#This Row],[Month Name]])</f>
        <v>Junho</v>
      </c>
      <c r="R527" s="11" t="str">
        <f>PROPER(Sales_Data[[#This Row],[Sales Manager]])</f>
        <v>John Smith</v>
      </c>
    </row>
    <row r="528" spans="1:18" hidden="1" x14ac:dyDescent="0.25">
      <c r="A528">
        <v>10527</v>
      </c>
      <c r="B528">
        <v>2020</v>
      </c>
      <c r="C528" t="s">
        <v>71</v>
      </c>
      <c r="D528" s="8">
        <v>43992</v>
      </c>
      <c r="E528" t="s">
        <v>11</v>
      </c>
      <c r="F528" t="s">
        <v>18</v>
      </c>
      <c r="G528" t="s">
        <v>15</v>
      </c>
      <c r="H528" s="9">
        <v>2</v>
      </c>
      <c r="I528" s="9">
        <v>38</v>
      </c>
      <c r="J528" s="10">
        <v>19000</v>
      </c>
      <c r="K528" s="10">
        <v>8550</v>
      </c>
      <c r="L528">
        <v>24</v>
      </c>
      <c r="M528" s="8">
        <v>43922</v>
      </c>
      <c r="N528" s="23">
        <v>9.57078311925422E-5</v>
      </c>
      <c r="O528" s="10" t="str">
        <f>IF(Sales_Data[[#This Row],[Total Profit]]&gt;0,"Profitable","Loss")</f>
        <v>Profitable</v>
      </c>
      <c r="P528" s="10" t="str">
        <f>IF(Sales_Data[[#This Row],[Total Profit]]&gt;100000,"High Value",IF(Sales_Data[[#This Row],[Total Profit]]&gt;60000,"Medium","Low"))</f>
        <v>Low</v>
      </c>
      <c r="Q528" s="11" t="str">
        <f>PROPER(Sales_Data[[#This Row],[Month Name]])</f>
        <v>Junho</v>
      </c>
      <c r="R528" s="11" t="str">
        <f>PROPER(Sales_Data[[#This Row],[Sales Manager]])</f>
        <v>Jane Doe</v>
      </c>
    </row>
    <row r="529" spans="1:18" hidden="1" x14ac:dyDescent="0.25">
      <c r="A529">
        <v>10528</v>
      </c>
      <c r="B529">
        <v>2020</v>
      </c>
      <c r="C529" t="s">
        <v>71</v>
      </c>
      <c r="D529" s="8">
        <v>43993</v>
      </c>
      <c r="E529" t="s">
        <v>11</v>
      </c>
      <c r="F529" t="s">
        <v>18</v>
      </c>
      <c r="G529" t="s">
        <v>13</v>
      </c>
      <c r="H529" s="9">
        <v>21</v>
      </c>
      <c r="I529" s="9">
        <v>394</v>
      </c>
      <c r="J529" s="10">
        <v>295500</v>
      </c>
      <c r="K529" s="10">
        <v>50235</v>
      </c>
      <c r="L529">
        <v>24</v>
      </c>
      <c r="M529" s="8">
        <v>43922</v>
      </c>
      <c r="N529" s="23">
        <v>1.4885086377577001E-3</v>
      </c>
      <c r="O529" s="10" t="str">
        <f>IF(Sales_Data[[#This Row],[Total Profit]]&gt;0,"Profitable","Loss")</f>
        <v>Profitable</v>
      </c>
      <c r="P529" s="10" t="str">
        <f>IF(Sales_Data[[#This Row],[Total Profit]]&gt;100000,"High Value",IF(Sales_Data[[#This Row],[Total Profit]]&gt;60000,"Medium","Low"))</f>
        <v>Low</v>
      </c>
      <c r="Q529" s="11" t="str">
        <f>PROPER(Sales_Data[[#This Row],[Month Name]])</f>
        <v>Junho</v>
      </c>
      <c r="R529" s="11" t="str">
        <f>PROPER(Sales_Data[[#This Row],[Sales Manager]])</f>
        <v>Jane Doe</v>
      </c>
    </row>
    <row r="530" spans="1:18" hidden="1" x14ac:dyDescent="0.25">
      <c r="A530">
        <v>10529</v>
      </c>
      <c r="B530">
        <v>2020</v>
      </c>
      <c r="C530" t="s">
        <v>71</v>
      </c>
      <c r="D530" s="8">
        <v>43994</v>
      </c>
      <c r="E530" t="s">
        <v>11</v>
      </c>
      <c r="F530" t="s">
        <v>21</v>
      </c>
      <c r="G530" t="s">
        <v>20</v>
      </c>
      <c r="H530" s="9">
        <v>16</v>
      </c>
      <c r="I530" s="9">
        <v>265</v>
      </c>
      <c r="J530" s="10">
        <v>225250</v>
      </c>
      <c r="K530" s="10">
        <v>69827.5</v>
      </c>
      <c r="L530">
        <v>24</v>
      </c>
      <c r="M530" s="8">
        <v>43922</v>
      </c>
      <c r="N530" s="23">
        <v>1.1346415250589499E-3</v>
      </c>
      <c r="O530" s="10" t="str">
        <f>IF(Sales_Data[[#This Row],[Total Profit]]&gt;0,"Profitable","Loss")</f>
        <v>Profitable</v>
      </c>
      <c r="P530" s="10" t="str">
        <f>IF(Sales_Data[[#This Row],[Total Profit]]&gt;100000,"High Value",IF(Sales_Data[[#This Row],[Total Profit]]&gt;60000,"Medium","Low"))</f>
        <v>Medium</v>
      </c>
      <c r="Q530" s="11" t="str">
        <f>PROPER(Sales_Data[[#This Row],[Month Name]])</f>
        <v>Junho</v>
      </c>
      <c r="R530" s="11" t="str">
        <f>PROPER(Sales_Data[[#This Row],[Sales Manager]])</f>
        <v>John Smith</v>
      </c>
    </row>
    <row r="531" spans="1:18" hidden="1" x14ac:dyDescent="0.25">
      <c r="A531">
        <v>10530</v>
      </c>
      <c r="B531">
        <v>2020</v>
      </c>
      <c r="C531" t="s">
        <v>71</v>
      </c>
      <c r="D531" s="8">
        <v>43995</v>
      </c>
      <c r="E531" t="s">
        <v>14</v>
      </c>
      <c r="F531" t="s">
        <v>24</v>
      </c>
      <c r="G531" t="s">
        <v>17</v>
      </c>
      <c r="H531" s="9">
        <v>16</v>
      </c>
      <c r="I531" s="9">
        <v>182</v>
      </c>
      <c r="J531" s="10">
        <v>45500</v>
      </c>
      <c r="K531" s="10">
        <v>8190</v>
      </c>
      <c r="L531">
        <v>24</v>
      </c>
      <c r="M531" s="8">
        <v>43922</v>
      </c>
      <c r="N531" s="23">
        <v>2.29195069434772E-4</v>
      </c>
      <c r="O531" s="10" t="str">
        <f>IF(Sales_Data[[#This Row],[Total Profit]]&gt;0,"Profitable","Loss")</f>
        <v>Profitable</v>
      </c>
      <c r="P531" s="10" t="str">
        <f>IF(Sales_Data[[#This Row],[Total Profit]]&gt;100000,"High Value",IF(Sales_Data[[#This Row],[Total Profit]]&gt;60000,"Medium","Low"))</f>
        <v>Low</v>
      </c>
      <c r="Q531" s="11" t="str">
        <f>PROPER(Sales_Data[[#This Row],[Month Name]])</f>
        <v>Junho</v>
      </c>
      <c r="R531" s="11" t="str">
        <f>PROPER(Sales_Data[[#This Row],[Sales Manager]])</f>
        <v>Liam Lee</v>
      </c>
    </row>
    <row r="532" spans="1:18" hidden="1" x14ac:dyDescent="0.25">
      <c r="A532">
        <v>10531</v>
      </c>
      <c r="B532">
        <v>2020</v>
      </c>
      <c r="C532" t="s">
        <v>71</v>
      </c>
      <c r="D532" s="8">
        <v>43996</v>
      </c>
      <c r="E532" t="s">
        <v>14</v>
      </c>
      <c r="F532" t="s">
        <v>16</v>
      </c>
      <c r="G532" t="s">
        <v>17</v>
      </c>
      <c r="H532" s="9">
        <v>4</v>
      </c>
      <c r="I532" s="9">
        <v>264</v>
      </c>
      <c r="J532" s="10">
        <v>66000</v>
      </c>
      <c r="K532" s="10">
        <v>24420</v>
      </c>
      <c r="L532">
        <v>25</v>
      </c>
      <c r="M532" s="8">
        <v>43922</v>
      </c>
      <c r="N532" s="23">
        <v>3.3245878203725201E-4</v>
      </c>
      <c r="O532" s="10" t="str">
        <f>IF(Sales_Data[[#This Row],[Total Profit]]&gt;0,"Profitable","Loss")</f>
        <v>Profitable</v>
      </c>
      <c r="P532" s="10" t="str">
        <f>IF(Sales_Data[[#This Row],[Total Profit]]&gt;100000,"High Value",IF(Sales_Data[[#This Row],[Total Profit]]&gt;60000,"Medium","Low"))</f>
        <v>Low</v>
      </c>
      <c r="Q532" s="11" t="str">
        <f>PROPER(Sales_Data[[#This Row],[Month Name]])</f>
        <v>Junho</v>
      </c>
      <c r="R532" s="11" t="str">
        <f>PROPER(Sales_Data[[#This Row],[Sales Manager]])</f>
        <v>James Brown</v>
      </c>
    </row>
    <row r="533" spans="1:18" hidden="1" x14ac:dyDescent="0.25">
      <c r="A533">
        <v>10532</v>
      </c>
      <c r="B533">
        <v>2020</v>
      </c>
      <c r="C533" t="s">
        <v>71</v>
      </c>
      <c r="D533" s="8">
        <v>43997</v>
      </c>
      <c r="E533" t="s">
        <v>11</v>
      </c>
      <c r="F533" t="s">
        <v>16</v>
      </c>
      <c r="G533" t="s">
        <v>20</v>
      </c>
      <c r="H533" s="9">
        <v>6</v>
      </c>
      <c r="I533" s="9">
        <v>146</v>
      </c>
      <c r="J533" s="10">
        <v>124100</v>
      </c>
      <c r="K533" s="10">
        <v>29784</v>
      </c>
      <c r="L533">
        <v>25</v>
      </c>
      <c r="M533" s="8">
        <v>43922</v>
      </c>
      <c r="N533" s="23">
        <v>6.2512325531549997E-4</v>
      </c>
      <c r="O533" s="10" t="str">
        <f>IF(Sales_Data[[#This Row],[Total Profit]]&gt;0,"Profitable","Loss")</f>
        <v>Profitable</v>
      </c>
      <c r="P533" s="10" t="str">
        <f>IF(Sales_Data[[#This Row],[Total Profit]]&gt;100000,"High Value",IF(Sales_Data[[#This Row],[Total Profit]]&gt;60000,"Medium","Low"))</f>
        <v>Low</v>
      </c>
      <c r="Q533" s="11" t="str">
        <f>PROPER(Sales_Data[[#This Row],[Month Name]])</f>
        <v>Junho</v>
      </c>
      <c r="R533" s="11" t="str">
        <f>PROPER(Sales_Data[[#This Row],[Sales Manager]])</f>
        <v>James Brown</v>
      </c>
    </row>
    <row r="534" spans="1:18" hidden="1" x14ac:dyDescent="0.25">
      <c r="A534">
        <v>10533</v>
      </c>
      <c r="B534">
        <v>2020</v>
      </c>
      <c r="C534" t="s">
        <v>71</v>
      </c>
      <c r="D534" s="8">
        <v>43998</v>
      </c>
      <c r="E534" t="s">
        <v>22</v>
      </c>
      <c r="F534" t="s">
        <v>21</v>
      </c>
      <c r="G534" t="s">
        <v>23</v>
      </c>
      <c r="H534" s="9">
        <v>8</v>
      </c>
      <c r="I534" s="9">
        <v>226</v>
      </c>
      <c r="J534" s="10">
        <v>79100</v>
      </c>
      <c r="K534" s="10">
        <v>14238</v>
      </c>
      <c r="L534">
        <v>25</v>
      </c>
      <c r="M534" s="8">
        <v>43922</v>
      </c>
      <c r="N534" s="23">
        <v>3.9844681301737299E-4</v>
      </c>
      <c r="O534" s="10" t="str">
        <f>IF(Sales_Data[[#This Row],[Total Profit]]&gt;0,"Profitable","Loss")</f>
        <v>Profitable</v>
      </c>
      <c r="P534" s="10" t="str">
        <f>IF(Sales_Data[[#This Row],[Total Profit]]&gt;100000,"High Value",IF(Sales_Data[[#This Row],[Total Profit]]&gt;60000,"Medium","Low"))</f>
        <v>Low</v>
      </c>
      <c r="Q534" s="11" t="str">
        <f>PROPER(Sales_Data[[#This Row],[Month Name]])</f>
        <v>Junho</v>
      </c>
      <c r="R534" s="11" t="str">
        <f>PROPER(Sales_Data[[#This Row],[Sales Manager]])</f>
        <v>John Smith</v>
      </c>
    </row>
    <row r="535" spans="1:18" hidden="1" x14ac:dyDescent="0.25">
      <c r="A535">
        <v>10534</v>
      </c>
      <c r="B535">
        <v>2020</v>
      </c>
      <c r="C535" t="s">
        <v>71</v>
      </c>
      <c r="D535" s="8">
        <v>43999</v>
      </c>
      <c r="E535" t="s">
        <v>11</v>
      </c>
      <c r="F535" t="s">
        <v>16</v>
      </c>
      <c r="G535" t="s">
        <v>17</v>
      </c>
      <c r="H535" s="9">
        <v>47</v>
      </c>
      <c r="I535" s="9">
        <v>487</v>
      </c>
      <c r="J535" s="10">
        <v>121750</v>
      </c>
      <c r="K535" s="10">
        <v>14610</v>
      </c>
      <c r="L535">
        <v>25</v>
      </c>
      <c r="M535" s="8">
        <v>43922</v>
      </c>
      <c r="N535" s="23">
        <v>6.1328570777326402E-4</v>
      </c>
      <c r="O535" s="10" t="str">
        <f>IF(Sales_Data[[#This Row],[Total Profit]]&gt;0,"Profitable","Loss")</f>
        <v>Profitable</v>
      </c>
      <c r="P535" s="10" t="str">
        <f>IF(Sales_Data[[#This Row],[Total Profit]]&gt;100000,"High Value",IF(Sales_Data[[#This Row],[Total Profit]]&gt;60000,"Medium","Low"))</f>
        <v>Low</v>
      </c>
      <c r="Q535" s="11" t="str">
        <f>PROPER(Sales_Data[[#This Row],[Month Name]])</f>
        <v>Junho</v>
      </c>
      <c r="R535" s="11" t="str">
        <f>PROPER(Sales_Data[[#This Row],[Sales Manager]])</f>
        <v>James Brown</v>
      </c>
    </row>
    <row r="536" spans="1:18" hidden="1" x14ac:dyDescent="0.25">
      <c r="A536">
        <v>10535</v>
      </c>
      <c r="B536">
        <v>2020</v>
      </c>
      <c r="C536" t="s">
        <v>71</v>
      </c>
      <c r="D536" s="8">
        <v>44000</v>
      </c>
      <c r="E536" t="s">
        <v>11</v>
      </c>
      <c r="F536" t="s">
        <v>16</v>
      </c>
      <c r="G536" t="s">
        <v>17</v>
      </c>
      <c r="H536" s="9">
        <v>5</v>
      </c>
      <c r="I536" s="9">
        <v>360</v>
      </c>
      <c r="J536" s="10">
        <v>90000</v>
      </c>
      <c r="K536" s="10">
        <v>20700</v>
      </c>
      <c r="L536">
        <v>25</v>
      </c>
      <c r="M536" s="8">
        <v>43922</v>
      </c>
      <c r="N536" s="23">
        <v>4.5335288459625298E-4</v>
      </c>
      <c r="O536" s="10" t="str">
        <f>IF(Sales_Data[[#This Row],[Total Profit]]&gt;0,"Profitable","Loss")</f>
        <v>Profitable</v>
      </c>
      <c r="P536" s="10" t="str">
        <f>IF(Sales_Data[[#This Row],[Total Profit]]&gt;100000,"High Value",IF(Sales_Data[[#This Row],[Total Profit]]&gt;60000,"Medium","Low"))</f>
        <v>Low</v>
      </c>
      <c r="Q536" s="11" t="str">
        <f>PROPER(Sales_Data[[#This Row],[Month Name]])</f>
        <v>Junho</v>
      </c>
      <c r="R536" s="11" t="str">
        <f>PROPER(Sales_Data[[#This Row],[Sales Manager]])</f>
        <v>James Brown</v>
      </c>
    </row>
    <row r="537" spans="1:18" hidden="1" x14ac:dyDescent="0.25">
      <c r="A537">
        <v>10536</v>
      </c>
      <c r="B537">
        <v>2020</v>
      </c>
      <c r="C537" t="s">
        <v>71</v>
      </c>
      <c r="D537" s="8">
        <v>44001</v>
      </c>
      <c r="E537" t="s">
        <v>22</v>
      </c>
      <c r="F537" t="s">
        <v>16</v>
      </c>
      <c r="G537" t="s">
        <v>20</v>
      </c>
      <c r="H537" s="9">
        <v>27</v>
      </c>
      <c r="I537" s="9">
        <v>499</v>
      </c>
      <c r="J537" s="10">
        <v>424150</v>
      </c>
      <c r="K537" s="10">
        <v>97554.5</v>
      </c>
      <c r="L537">
        <v>25</v>
      </c>
      <c r="M537" s="8">
        <v>43922</v>
      </c>
      <c r="N537" s="23">
        <v>2.13655140001667E-3</v>
      </c>
      <c r="O537" s="10" t="str">
        <f>IF(Sales_Data[[#This Row],[Total Profit]]&gt;0,"Profitable","Loss")</f>
        <v>Profitable</v>
      </c>
      <c r="P537" s="10" t="str">
        <f>IF(Sales_Data[[#This Row],[Total Profit]]&gt;100000,"High Value",IF(Sales_Data[[#This Row],[Total Profit]]&gt;60000,"Medium","Low"))</f>
        <v>Medium</v>
      </c>
      <c r="Q537" s="11" t="str">
        <f>PROPER(Sales_Data[[#This Row],[Month Name]])</f>
        <v>Junho</v>
      </c>
      <c r="R537" s="11" t="str">
        <f>PROPER(Sales_Data[[#This Row],[Sales Manager]])</f>
        <v>James Brown</v>
      </c>
    </row>
    <row r="538" spans="1:18" hidden="1" x14ac:dyDescent="0.25">
      <c r="A538">
        <v>10537</v>
      </c>
      <c r="B538">
        <v>2020</v>
      </c>
      <c r="C538" t="s">
        <v>71</v>
      </c>
      <c r="D538" s="8">
        <v>44002</v>
      </c>
      <c r="E538" t="s">
        <v>19</v>
      </c>
      <c r="F538" t="s">
        <v>16</v>
      </c>
      <c r="G538" t="s">
        <v>15</v>
      </c>
      <c r="H538" s="9">
        <v>15</v>
      </c>
      <c r="I538" s="9">
        <v>299</v>
      </c>
      <c r="J538" s="10">
        <v>149500</v>
      </c>
      <c r="K538" s="10">
        <v>16445</v>
      </c>
      <c r="L538">
        <v>25</v>
      </c>
      <c r="M538" s="8">
        <v>43922</v>
      </c>
      <c r="N538" s="23">
        <v>7.5306951385710897E-4</v>
      </c>
      <c r="O538" s="10" t="str">
        <f>IF(Sales_Data[[#This Row],[Total Profit]]&gt;0,"Profitable","Loss")</f>
        <v>Profitable</v>
      </c>
      <c r="P538" s="10" t="str">
        <f>IF(Sales_Data[[#This Row],[Total Profit]]&gt;100000,"High Value",IF(Sales_Data[[#This Row],[Total Profit]]&gt;60000,"Medium","Low"))</f>
        <v>Low</v>
      </c>
      <c r="Q538" s="11" t="str">
        <f>PROPER(Sales_Data[[#This Row],[Month Name]])</f>
        <v>Junho</v>
      </c>
      <c r="R538" s="11" t="str">
        <f>PROPER(Sales_Data[[#This Row],[Sales Manager]])</f>
        <v>James Brown</v>
      </c>
    </row>
    <row r="539" spans="1:18" hidden="1" x14ac:dyDescent="0.25">
      <c r="A539">
        <v>10538</v>
      </c>
      <c r="B539">
        <v>2020</v>
      </c>
      <c r="C539" t="s">
        <v>71</v>
      </c>
      <c r="D539" s="8">
        <v>44003</v>
      </c>
      <c r="E539" t="s">
        <v>11</v>
      </c>
      <c r="F539" t="s">
        <v>24</v>
      </c>
      <c r="G539" t="s">
        <v>13</v>
      </c>
      <c r="H539" s="9">
        <v>12</v>
      </c>
      <c r="I539" s="9">
        <v>422</v>
      </c>
      <c r="J539" s="10">
        <v>316500</v>
      </c>
      <c r="K539" s="10">
        <v>139260</v>
      </c>
      <c r="L539">
        <v>26</v>
      </c>
      <c r="M539" s="8">
        <v>43922</v>
      </c>
      <c r="N539" s="23">
        <v>1.59429097749682E-3</v>
      </c>
      <c r="O539" s="10" t="str">
        <f>IF(Sales_Data[[#This Row],[Total Profit]]&gt;0,"Profitable","Loss")</f>
        <v>Profitable</v>
      </c>
      <c r="P539" s="10" t="str">
        <f>IF(Sales_Data[[#This Row],[Total Profit]]&gt;100000,"High Value",IF(Sales_Data[[#This Row],[Total Profit]]&gt;60000,"Medium","Low"))</f>
        <v>High Value</v>
      </c>
      <c r="Q539" s="11" t="str">
        <f>PROPER(Sales_Data[[#This Row],[Month Name]])</f>
        <v>Junho</v>
      </c>
      <c r="R539" s="11" t="str">
        <f>PROPER(Sales_Data[[#This Row],[Sales Manager]])</f>
        <v>Liam Lee</v>
      </c>
    </row>
    <row r="540" spans="1:18" hidden="1" x14ac:dyDescent="0.25">
      <c r="A540">
        <v>10539</v>
      </c>
      <c r="B540">
        <v>2020</v>
      </c>
      <c r="C540" t="s">
        <v>71</v>
      </c>
      <c r="D540" s="8">
        <v>44004</v>
      </c>
      <c r="E540" t="s">
        <v>19</v>
      </c>
      <c r="F540" t="s">
        <v>16</v>
      </c>
      <c r="G540" t="s">
        <v>15</v>
      </c>
      <c r="H540" s="9">
        <v>6</v>
      </c>
      <c r="I540" s="9">
        <v>353</v>
      </c>
      <c r="J540" s="10">
        <v>176500</v>
      </c>
      <c r="K540" s="10">
        <v>30005.000000000004</v>
      </c>
      <c r="L540">
        <v>26</v>
      </c>
      <c r="M540" s="8">
        <v>43922</v>
      </c>
      <c r="N540" s="23">
        <v>8.89075379235984E-4</v>
      </c>
      <c r="O540" s="10" t="str">
        <f>IF(Sales_Data[[#This Row],[Total Profit]]&gt;0,"Profitable","Loss")</f>
        <v>Profitable</v>
      </c>
      <c r="P540" s="10" t="str">
        <f>IF(Sales_Data[[#This Row],[Total Profit]]&gt;100000,"High Value",IF(Sales_Data[[#This Row],[Total Profit]]&gt;60000,"Medium","Low"))</f>
        <v>Low</v>
      </c>
      <c r="Q540" s="11" t="str">
        <f>PROPER(Sales_Data[[#This Row],[Month Name]])</f>
        <v>Junho</v>
      </c>
      <c r="R540" s="11" t="str">
        <f>PROPER(Sales_Data[[#This Row],[Sales Manager]])</f>
        <v>James Brown</v>
      </c>
    </row>
    <row r="541" spans="1:18" hidden="1" x14ac:dyDescent="0.25">
      <c r="A541">
        <v>10540</v>
      </c>
      <c r="B541">
        <v>2020</v>
      </c>
      <c r="C541" t="s">
        <v>71</v>
      </c>
      <c r="D541" s="8">
        <v>44005</v>
      </c>
      <c r="E541" t="s">
        <v>22</v>
      </c>
      <c r="F541" t="s">
        <v>16</v>
      </c>
      <c r="G541" t="s">
        <v>23</v>
      </c>
      <c r="H541" s="9">
        <v>21</v>
      </c>
      <c r="I541" s="9">
        <v>333</v>
      </c>
      <c r="J541" s="10">
        <v>116550</v>
      </c>
      <c r="K541" s="10">
        <v>29137.5</v>
      </c>
      <c r="L541">
        <v>26</v>
      </c>
      <c r="M541" s="8">
        <v>43922</v>
      </c>
      <c r="N541" s="23">
        <v>5.8709198555214703E-4</v>
      </c>
      <c r="O541" s="10" t="str">
        <f>IF(Sales_Data[[#This Row],[Total Profit]]&gt;0,"Profitable","Loss")</f>
        <v>Profitable</v>
      </c>
      <c r="P541" s="10" t="str">
        <f>IF(Sales_Data[[#This Row],[Total Profit]]&gt;100000,"High Value",IF(Sales_Data[[#This Row],[Total Profit]]&gt;60000,"Medium","Low"))</f>
        <v>Low</v>
      </c>
      <c r="Q541" s="11" t="str">
        <f>PROPER(Sales_Data[[#This Row],[Month Name]])</f>
        <v>Junho</v>
      </c>
      <c r="R541" s="11" t="str">
        <f>PROPER(Sales_Data[[#This Row],[Sales Manager]])</f>
        <v>James Brown</v>
      </c>
    </row>
    <row r="542" spans="1:18" hidden="1" x14ac:dyDescent="0.25">
      <c r="A542">
        <v>10541</v>
      </c>
      <c r="B542">
        <v>2020</v>
      </c>
      <c r="C542" t="s">
        <v>71</v>
      </c>
      <c r="D542" s="8">
        <v>44006</v>
      </c>
      <c r="E542" t="s">
        <v>25</v>
      </c>
      <c r="F542" t="s">
        <v>18</v>
      </c>
      <c r="G542" t="s">
        <v>17</v>
      </c>
      <c r="H542" s="9">
        <v>10</v>
      </c>
      <c r="I542" s="9">
        <v>418</v>
      </c>
      <c r="J542" s="10">
        <v>104500</v>
      </c>
      <c r="K542" s="10">
        <v>11495</v>
      </c>
      <c r="L542">
        <v>26</v>
      </c>
      <c r="M542" s="8">
        <v>43922</v>
      </c>
      <c r="N542" s="23">
        <v>5.2639307155898205E-4</v>
      </c>
      <c r="O542" s="10" t="str">
        <f>IF(Sales_Data[[#This Row],[Total Profit]]&gt;0,"Profitable","Loss")</f>
        <v>Profitable</v>
      </c>
      <c r="P542" s="10" t="str">
        <f>IF(Sales_Data[[#This Row],[Total Profit]]&gt;100000,"High Value",IF(Sales_Data[[#This Row],[Total Profit]]&gt;60000,"Medium","Low"))</f>
        <v>Low</v>
      </c>
      <c r="Q542" s="11" t="str">
        <f>PROPER(Sales_Data[[#This Row],[Month Name]])</f>
        <v>Junho</v>
      </c>
      <c r="R542" s="11" t="str">
        <f>PROPER(Sales_Data[[#This Row],[Sales Manager]])</f>
        <v>Jane Doe</v>
      </c>
    </row>
    <row r="543" spans="1:18" hidden="1" x14ac:dyDescent="0.25">
      <c r="A543">
        <v>10542</v>
      </c>
      <c r="B543">
        <v>2020</v>
      </c>
      <c r="C543" t="s">
        <v>71</v>
      </c>
      <c r="D543" s="8">
        <v>44007</v>
      </c>
      <c r="E543" t="s">
        <v>14</v>
      </c>
      <c r="F543" t="s">
        <v>18</v>
      </c>
      <c r="G543" t="s">
        <v>17</v>
      </c>
      <c r="H543" s="9">
        <v>5</v>
      </c>
      <c r="I543" s="9">
        <v>194</v>
      </c>
      <c r="J543" s="10">
        <v>48500</v>
      </c>
      <c r="K543" s="10">
        <v>19885</v>
      </c>
      <c r="L543">
        <v>26</v>
      </c>
      <c r="M543" s="8">
        <v>43922</v>
      </c>
      <c r="N543" s="23">
        <v>2.44306832254647E-4</v>
      </c>
      <c r="O543" s="10" t="str">
        <f>IF(Sales_Data[[#This Row],[Total Profit]]&gt;0,"Profitable","Loss")</f>
        <v>Profitable</v>
      </c>
      <c r="P543" s="10" t="str">
        <f>IF(Sales_Data[[#This Row],[Total Profit]]&gt;100000,"High Value",IF(Sales_Data[[#This Row],[Total Profit]]&gt;60000,"Medium","Low"))</f>
        <v>Low</v>
      </c>
      <c r="Q543" s="11" t="str">
        <f>PROPER(Sales_Data[[#This Row],[Month Name]])</f>
        <v>Junho</v>
      </c>
      <c r="R543" s="11" t="str">
        <f>PROPER(Sales_Data[[#This Row],[Sales Manager]])</f>
        <v>Jane Doe</v>
      </c>
    </row>
    <row r="544" spans="1:18" hidden="1" x14ac:dyDescent="0.25">
      <c r="A544">
        <v>10543</v>
      </c>
      <c r="B544">
        <v>2020</v>
      </c>
      <c r="C544" t="s">
        <v>71</v>
      </c>
      <c r="D544" s="8">
        <v>44008</v>
      </c>
      <c r="E544" t="s">
        <v>11</v>
      </c>
      <c r="F544" t="s">
        <v>12</v>
      </c>
      <c r="G544" t="s">
        <v>23</v>
      </c>
      <c r="H544" s="9">
        <v>27</v>
      </c>
      <c r="I544" s="9">
        <v>355</v>
      </c>
      <c r="J544" s="10">
        <v>124250</v>
      </c>
      <c r="K544" s="10">
        <v>24850</v>
      </c>
      <c r="L544">
        <v>26</v>
      </c>
      <c r="M544" s="8">
        <v>43922</v>
      </c>
      <c r="N544" s="23">
        <v>6.2587884345649298E-4</v>
      </c>
      <c r="O544" s="10" t="str">
        <f>IF(Sales_Data[[#This Row],[Total Profit]]&gt;0,"Profitable","Loss")</f>
        <v>Profitable</v>
      </c>
      <c r="P544" s="10" t="str">
        <f>IF(Sales_Data[[#This Row],[Total Profit]]&gt;100000,"High Value",IF(Sales_Data[[#This Row],[Total Profit]]&gt;60000,"Medium","Low"))</f>
        <v>Low</v>
      </c>
      <c r="Q544" s="11" t="str">
        <f>PROPER(Sales_Data[[#This Row],[Month Name]])</f>
        <v>Junho</v>
      </c>
      <c r="R544" s="11" t="str">
        <f>PROPER(Sales_Data[[#This Row],[Sales Manager]])</f>
        <v>Emily White</v>
      </c>
    </row>
    <row r="545" spans="1:18" hidden="1" x14ac:dyDescent="0.25">
      <c r="A545">
        <v>10544</v>
      </c>
      <c r="B545">
        <v>2020</v>
      </c>
      <c r="C545" t="s">
        <v>71</v>
      </c>
      <c r="D545" s="8">
        <v>44009</v>
      </c>
      <c r="E545" t="s">
        <v>19</v>
      </c>
      <c r="F545" t="s">
        <v>24</v>
      </c>
      <c r="G545" t="s">
        <v>17</v>
      </c>
      <c r="H545" s="9">
        <v>11</v>
      </c>
      <c r="I545" s="9">
        <v>192</v>
      </c>
      <c r="J545" s="10">
        <v>48000</v>
      </c>
      <c r="K545" s="10">
        <v>21120</v>
      </c>
      <c r="L545">
        <v>26</v>
      </c>
      <c r="M545" s="8">
        <v>43922</v>
      </c>
      <c r="N545" s="23">
        <v>2.41788205118001E-4</v>
      </c>
      <c r="O545" s="10" t="str">
        <f>IF(Sales_Data[[#This Row],[Total Profit]]&gt;0,"Profitable","Loss")</f>
        <v>Profitable</v>
      </c>
      <c r="P545" s="10" t="str">
        <f>IF(Sales_Data[[#This Row],[Total Profit]]&gt;100000,"High Value",IF(Sales_Data[[#This Row],[Total Profit]]&gt;60000,"Medium","Low"))</f>
        <v>Low</v>
      </c>
      <c r="Q545" s="11" t="str">
        <f>PROPER(Sales_Data[[#This Row],[Month Name]])</f>
        <v>Junho</v>
      </c>
      <c r="R545" s="11" t="str">
        <f>PROPER(Sales_Data[[#This Row],[Sales Manager]])</f>
        <v>Liam Lee</v>
      </c>
    </row>
    <row r="546" spans="1:18" hidden="1" x14ac:dyDescent="0.25">
      <c r="A546">
        <v>10545</v>
      </c>
      <c r="B546">
        <v>2020</v>
      </c>
      <c r="C546" t="s">
        <v>71</v>
      </c>
      <c r="D546" s="8">
        <v>44010</v>
      </c>
      <c r="E546" t="s">
        <v>22</v>
      </c>
      <c r="F546" t="s">
        <v>16</v>
      </c>
      <c r="G546" t="s">
        <v>23</v>
      </c>
      <c r="H546" s="9">
        <v>19</v>
      </c>
      <c r="I546" s="9">
        <v>302</v>
      </c>
      <c r="J546" s="10">
        <v>105700</v>
      </c>
      <c r="K546" s="10">
        <v>22197</v>
      </c>
      <c r="L546">
        <v>27</v>
      </c>
      <c r="M546" s="8">
        <v>43922</v>
      </c>
      <c r="N546" s="23">
        <v>5.3243777668693197E-4</v>
      </c>
      <c r="O546" s="10" t="str">
        <f>IF(Sales_Data[[#This Row],[Total Profit]]&gt;0,"Profitable","Loss")</f>
        <v>Profitable</v>
      </c>
      <c r="P546" s="10" t="str">
        <f>IF(Sales_Data[[#This Row],[Total Profit]]&gt;100000,"High Value",IF(Sales_Data[[#This Row],[Total Profit]]&gt;60000,"Medium","Low"))</f>
        <v>Low</v>
      </c>
      <c r="Q546" s="11" t="str">
        <f>PROPER(Sales_Data[[#This Row],[Month Name]])</f>
        <v>Junho</v>
      </c>
      <c r="R546" s="11" t="str">
        <f>PROPER(Sales_Data[[#This Row],[Sales Manager]])</f>
        <v>James Brown</v>
      </c>
    </row>
    <row r="547" spans="1:18" hidden="1" x14ac:dyDescent="0.25">
      <c r="A547">
        <v>10546</v>
      </c>
      <c r="B547">
        <v>2020</v>
      </c>
      <c r="C547" t="s">
        <v>71</v>
      </c>
      <c r="D547" s="8">
        <v>44011</v>
      </c>
      <c r="E547" t="s">
        <v>11</v>
      </c>
      <c r="F547" t="s">
        <v>16</v>
      </c>
      <c r="G547" t="s">
        <v>15</v>
      </c>
      <c r="H547" s="9">
        <v>39</v>
      </c>
      <c r="I547" s="9">
        <v>419</v>
      </c>
      <c r="J547" s="10">
        <v>209500</v>
      </c>
      <c r="K547" s="10">
        <v>73325</v>
      </c>
      <c r="L547">
        <v>27</v>
      </c>
      <c r="M547" s="8">
        <v>43922</v>
      </c>
      <c r="N547" s="23">
        <v>1.0553047702546101E-3</v>
      </c>
      <c r="O547" s="10" t="str">
        <f>IF(Sales_Data[[#This Row],[Total Profit]]&gt;0,"Profitable","Loss")</f>
        <v>Profitable</v>
      </c>
      <c r="P547" s="10" t="str">
        <f>IF(Sales_Data[[#This Row],[Total Profit]]&gt;100000,"High Value",IF(Sales_Data[[#This Row],[Total Profit]]&gt;60000,"Medium","Low"))</f>
        <v>Medium</v>
      </c>
      <c r="Q547" s="11" t="str">
        <f>PROPER(Sales_Data[[#This Row],[Month Name]])</f>
        <v>Junho</v>
      </c>
      <c r="R547" s="11" t="str">
        <f>PROPER(Sales_Data[[#This Row],[Sales Manager]])</f>
        <v>James Brown</v>
      </c>
    </row>
    <row r="548" spans="1:18" hidden="1" x14ac:dyDescent="0.25">
      <c r="A548">
        <v>10547</v>
      </c>
      <c r="B548">
        <v>2020</v>
      </c>
      <c r="C548" t="s">
        <v>71</v>
      </c>
      <c r="D548" s="8">
        <v>44012</v>
      </c>
      <c r="E548" t="s">
        <v>25</v>
      </c>
      <c r="F548" t="s">
        <v>18</v>
      </c>
      <c r="G548" t="s">
        <v>15</v>
      </c>
      <c r="H548" s="9">
        <v>8</v>
      </c>
      <c r="I548" s="9">
        <v>377</v>
      </c>
      <c r="J548" s="10">
        <v>188500</v>
      </c>
      <c r="K548" s="10">
        <v>60320</v>
      </c>
      <c r="L548">
        <v>27</v>
      </c>
      <c r="M548" s="8">
        <v>43922</v>
      </c>
      <c r="N548" s="23">
        <v>9.4952243051548498E-4</v>
      </c>
      <c r="O548" s="10" t="str">
        <f>IF(Sales_Data[[#This Row],[Total Profit]]&gt;0,"Profitable","Loss")</f>
        <v>Profitable</v>
      </c>
      <c r="P548" s="10" t="str">
        <f>IF(Sales_Data[[#This Row],[Total Profit]]&gt;100000,"High Value",IF(Sales_Data[[#This Row],[Total Profit]]&gt;60000,"Medium","Low"))</f>
        <v>Medium</v>
      </c>
      <c r="Q548" s="11" t="str">
        <f>PROPER(Sales_Data[[#This Row],[Month Name]])</f>
        <v>Junho</v>
      </c>
      <c r="R548" s="11" t="str">
        <f>PROPER(Sales_Data[[#This Row],[Sales Manager]])</f>
        <v>Jane Doe</v>
      </c>
    </row>
    <row r="549" spans="1:18" hidden="1" x14ac:dyDescent="0.25">
      <c r="A549">
        <v>10548</v>
      </c>
      <c r="B549">
        <v>2020</v>
      </c>
      <c r="C549" t="s">
        <v>72</v>
      </c>
      <c r="D549" s="8">
        <v>44013</v>
      </c>
      <c r="E549" t="s">
        <v>22</v>
      </c>
      <c r="F549" t="s">
        <v>16</v>
      </c>
      <c r="G549" t="s">
        <v>17</v>
      </c>
      <c r="H549" s="9">
        <v>5</v>
      </c>
      <c r="I549" s="9">
        <v>97</v>
      </c>
      <c r="J549" s="10">
        <v>24250</v>
      </c>
      <c r="K549" s="10">
        <v>3152.5</v>
      </c>
      <c r="L549">
        <v>27</v>
      </c>
      <c r="M549" s="8">
        <v>44013</v>
      </c>
      <c r="N549" s="23">
        <v>1.2215341612732401E-4</v>
      </c>
      <c r="O549" s="10" t="str">
        <f>IF(Sales_Data[[#This Row],[Total Profit]]&gt;0,"Profitable","Loss")</f>
        <v>Profitable</v>
      </c>
      <c r="P549" s="10" t="str">
        <f>IF(Sales_Data[[#This Row],[Total Profit]]&gt;100000,"High Value",IF(Sales_Data[[#This Row],[Total Profit]]&gt;60000,"Medium","Low"))</f>
        <v>Low</v>
      </c>
      <c r="Q549" s="11" t="str">
        <f>PROPER(Sales_Data[[#This Row],[Month Name]])</f>
        <v>Julho</v>
      </c>
      <c r="R549" s="11" t="str">
        <f>PROPER(Sales_Data[[#This Row],[Sales Manager]])</f>
        <v>James Brown</v>
      </c>
    </row>
    <row r="550" spans="1:18" hidden="1" x14ac:dyDescent="0.25">
      <c r="A550">
        <v>10549</v>
      </c>
      <c r="B550">
        <v>2020</v>
      </c>
      <c r="C550" t="s">
        <v>72</v>
      </c>
      <c r="D550" s="8">
        <v>44014</v>
      </c>
      <c r="E550" t="s">
        <v>22</v>
      </c>
      <c r="F550" t="s">
        <v>16</v>
      </c>
      <c r="G550" t="s">
        <v>13</v>
      </c>
      <c r="H550" s="9">
        <v>37</v>
      </c>
      <c r="I550" s="9">
        <v>496</v>
      </c>
      <c r="J550" s="10">
        <v>372000</v>
      </c>
      <c r="K550" s="10">
        <v>74400</v>
      </c>
      <c r="L550">
        <v>27</v>
      </c>
      <c r="M550" s="8">
        <v>44013</v>
      </c>
      <c r="N550" s="23">
        <v>1.8738585896645101E-3</v>
      </c>
      <c r="O550" s="10" t="str">
        <f>IF(Sales_Data[[#This Row],[Total Profit]]&gt;0,"Profitable","Loss")</f>
        <v>Profitable</v>
      </c>
      <c r="P550" s="10" t="str">
        <f>IF(Sales_Data[[#This Row],[Total Profit]]&gt;100000,"High Value",IF(Sales_Data[[#This Row],[Total Profit]]&gt;60000,"Medium","Low"))</f>
        <v>Medium</v>
      </c>
      <c r="Q550" s="11" t="str">
        <f>PROPER(Sales_Data[[#This Row],[Month Name]])</f>
        <v>Julho</v>
      </c>
      <c r="R550" s="11" t="str">
        <f>PROPER(Sales_Data[[#This Row],[Sales Manager]])</f>
        <v>James Brown</v>
      </c>
    </row>
    <row r="551" spans="1:18" hidden="1" x14ac:dyDescent="0.25">
      <c r="A551">
        <v>10550</v>
      </c>
      <c r="B551">
        <v>2020</v>
      </c>
      <c r="C551" t="s">
        <v>72</v>
      </c>
      <c r="D551" s="8">
        <v>44015</v>
      </c>
      <c r="E551" t="s">
        <v>19</v>
      </c>
      <c r="F551" t="s">
        <v>21</v>
      </c>
      <c r="G551" t="s">
        <v>13</v>
      </c>
      <c r="H551" s="9">
        <v>7</v>
      </c>
      <c r="I551" s="9">
        <v>406</v>
      </c>
      <c r="J551" s="10">
        <v>304500</v>
      </c>
      <c r="K551" s="10">
        <v>51765.000000000007</v>
      </c>
      <c r="L551">
        <v>27</v>
      </c>
      <c r="M551" s="8">
        <v>44013</v>
      </c>
      <c r="N551" s="23">
        <v>1.5338439262173201E-3</v>
      </c>
      <c r="O551" s="10" t="str">
        <f>IF(Sales_Data[[#This Row],[Total Profit]]&gt;0,"Profitable","Loss")</f>
        <v>Profitable</v>
      </c>
      <c r="P551" s="10" t="str">
        <f>IF(Sales_Data[[#This Row],[Total Profit]]&gt;100000,"High Value",IF(Sales_Data[[#This Row],[Total Profit]]&gt;60000,"Medium","Low"))</f>
        <v>Low</v>
      </c>
      <c r="Q551" s="11" t="str">
        <f>PROPER(Sales_Data[[#This Row],[Month Name]])</f>
        <v>Julho</v>
      </c>
      <c r="R551" s="11" t="str">
        <f>PROPER(Sales_Data[[#This Row],[Sales Manager]])</f>
        <v>John Smith</v>
      </c>
    </row>
    <row r="552" spans="1:18" hidden="1" x14ac:dyDescent="0.25">
      <c r="A552">
        <v>10551</v>
      </c>
      <c r="B552">
        <v>2020</v>
      </c>
      <c r="C552" t="s">
        <v>72</v>
      </c>
      <c r="D552" s="8">
        <v>44016</v>
      </c>
      <c r="E552" t="s">
        <v>14</v>
      </c>
      <c r="F552" t="s">
        <v>12</v>
      </c>
      <c r="G552" t="s">
        <v>20</v>
      </c>
      <c r="H552" s="9">
        <v>5</v>
      </c>
      <c r="I552" s="9">
        <v>130</v>
      </c>
      <c r="J552" s="10">
        <v>110500</v>
      </c>
      <c r="K552" s="10">
        <v>47515</v>
      </c>
      <c r="L552">
        <v>27</v>
      </c>
      <c r="M552" s="8">
        <v>44013</v>
      </c>
      <c r="N552" s="23">
        <v>5.5661659719873297E-4</v>
      </c>
      <c r="O552" s="10" t="str">
        <f>IF(Sales_Data[[#This Row],[Total Profit]]&gt;0,"Profitable","Loss")</f>
        <v>Profitable</v>
      </c>
      <c r="P552" s="10" t="str">
        <f>IF(Sales_Data[[#This Row],[Total Profit]]&gt;100000,"High Value",IF(Sales_Data[[#This Row],[Total Profit]]&gt;60000,"Medium","Low"))</f>
        <v>Low</v>
      </c>
      <c r="Q552" s="11" t="str">
        <f>PROPER(Sales_Data[[#This Row],[Month Name]])</f>
        <v>Julho</v>
      </c>
      <c r="R552" s="11" t="str">
        <f>PROPER(Sales_Data[[#This Row],[Sales Manager]])</f>
        <v>Emily White</v>
      </c>
    </row>
    <row r="553" spans="1:18" hidden="1" x14ac:dyDescent="0.25">
      <c r="A553">
        <v>10552</v>
      </c>
      <c r="B553">
        <v>2020</v>
      </c>
      <c r="C553" t="s">
        <v>72</v>
      </c>
      <c r="D553" s="8">
        <v>44017</v>
      </c>
      <c r="E553" t="s">
        <v>11</v>
      </c>
      <c r="F553" t="s">
        <v>24</v>
      </c>
      <c r="G553" t="s">
        <v>15</v>
      </c>
      <c r="H553" s="9">
        <v>18</v>
      </c>
      <c r="I553" s="9">
        <v>232</v>
      </c>
      <c r="J553" s="10">
        <v>116000</v>
      </c>
      <c r="K553" s="10">
        <v>25520</v>
      </c>
      <c r="L553">
        <v>28</v>
      </c>
      <c r="M553" s="8">
        <v>44013</v>
      </c>
      <c r="N553" s="23">
        <v>5.8432149570183695E-4</v>
      </c>
      <c r="O553" s="10" t="str">
        <f>IF(Sales_Data[[#This Row],[Total Profit]]&gt;0,"Profitable","Loss")</f>
        <v>Profitable</v>
      </c>
      <c r="P553" s="10" t="str">
        <f>IF(Sales_Data[[#This Row],[Total Profit]]&gt;100000,"High Value",IF(Sales_Data[[#This Row],[Total Profit]]&gt;60000,"Medium","Low"))</f>
        <v>Low</v>
      </c>
      <c r="Q553" s="11" t="str">
        <f>PROPER(Sales_Data[[#This Row],[Month Name]])</f>
        <v>Julho</v>
      </c>
      <c r="R553" s="11" t="str">
        <f>PROPER(Sales_Data[[#This Row],[Sales Manager]])</f>
        <v>Liam Lee</v>
      </c>
    </row>
    <row r="554" spans="1:18" hidden="1" x14ac:dyDescent="0.25">
      <c r="A554">
        <v>10553</v>
      </c>
      <c r="B554">
        <v>2020</v>
      </c>
      <c r="C554" t="s">
        <v>72</v>
      </c>
      <c r="D554" s="8">
        <v>44018</v>
      </c>
      <c r="E554" t="s">
        <v>25</v>
      </c>
      <c r="F554" t="s">
        <v>12</v>
      </c>
      <c r="G554" t="s">
        <v>20</v>
      </c>
      <c r="H554" s="9">
        <v>5</v>
      </c>
      <c r="I554" s="9">
        <v>156</v>
      </c>
      <c r="J554" s="10">
        <v>132600</v>
      </c>
      <c r="K554" s="10">
        <v>19890</v>
      </c>
      <c r="L554">
        <v>28</v>
      </c>
      <c r="M554" s="8">
        <v>44013</v>
      </c>
      <c r="N554" s="23">
        <v>6.6793991663847898E-4</v>
      </c>
      <c r="O554" s="10" t="str">
        <f>IF(Sales_Data[[#This Row],[Total Profit]]&gt;0,"Profitable","Loss")</f>
        <v>Profitable</v>
      </c>
      <c r="P554" s="10" t="str">
        <f>IF(Sales_Data[[#This Row],[Total Profit]]&gt;100000,"High Value",IF(Sales_Data[[#This Row],[Total Profit]]&gt;60000,"Medium","Low"))</f>
        <v>Low</v>
      </c>
      <c r="Q554" s="11" t="str">
        <f>PROPER(Sales_Data[[#This Row],[Month Name]])</f>
        <v>Julho</v>
      </c>
      <c r="R554" s="11" t="str">
        <f>PROPER(Sales_Data[[#This Row],[Sales Manager]])</f>
        <v>Emily White</v>
      </c>
    </row>
    <row r="555" spans="1:18" hidden="1" x14ac:dyDescent="0.25">
      <c r="A555">
        <v>10554</v>
      </c>
      <c r="B555">
        <v>2020</v>
      </c>
      <c r="C555" t="s">
        <v>72</v>
      </c>
      <c r="D555" s="8">
        <v>44019</v>
      </c>
      <c r="E555" t="s">
        <v>25</v>
      </c>
      <c r="F555" t="s">
        <v>18</v>
      </c>
      <c r="G555" t="s">
        <v>17</v>
      </c>
      <c r="H555" s="9">
        <v>6</v>
      </c>
      <c r="I555" s="9">
        <v>493</v>
      </c>
      <c r="J555" s="10">
        <v>123250</v>
      </c>
      <c r="K555" s="10">
        <v>20952.5</v>
      </c>
      <c r="L555">
        <v>28</v>
      </c>
      <c r="M555" s="8">
        <v>44013</v>
      </c>
      <c r="N555" s="23">
        <v>6.2084158918320202E-4</v>
      </c>
      <c r="O555" s="10" t="str">
        <f>IF(Sales_Data[[#This Row],[Total Profit]]&gt;0,"Profitable","Loss")</f>
        <v>Profitable</v>
      </c>
      <c r="P555" s="10" t="str">
        <f>IF(Sales_Data[[#This Row],[Total Profit]]&gt;100000,"High Value",IF(Sales_Data[[#This Row],[Total Profit]]&gt;60000,"Medium","Low"))</f>
        <v>Low</v>
      </c>
      <c r="Q555" s="11" t="str">
        <f>PROPER(Sales_Data[[#This Row],[Month Name]])</f>
        <v>Julho</v>
      </c>
      <c r="R555" s="11" t="str">
        <f>PROPER(Sales_Data[[#This Row],[Sales Manager]])</f>
        <v>Jane Doe</v>
      </c>
    </row>
    <row r="556" spans="1:18" hidden="1" x14ac:dyDescent="0.25">
      <c r="A556">
        <v>10555</v>
      </c>
      <c r="B556">
        <v>2020</v>
      </c>
      <c r="C556" t="s">
        <v>72</v>
      </c>
      <c r="D556" s="8">
        <v>44020</v>
      </c>
      <c r="E556" t="s">
        <v>14</v>
      </c>
      <c r="F556" t="s">
        <v>16</v>
      </c>
      <c r="G556" t="s">
        <v>23</v>
      </c>
      <c r="H556" s="9">
        <v>13</v>
      </c>
      <c r="I556" s="9">
        <v>288</v>
      </c>
      <c r="J556" s="10">
        <v>100800</v>
      </c>
      <c r="K556" s="10">
        <v>33264</v>
      </c>
      <c r="L556">
        <v>28</v>
      </c>
      <c r="M556" s="8">
        <v>44013</v>
      </c>
      <c r="N556" s="23">
        <v>5.0775523074780295E-4</v>
      </c>
      <c r="O556" s="10" t="str">
        <f>IF(Sales_Data[[#This Row],[Total Profit]]&gt;0,"Profitable","Loss")</f>
        <v>Profitable</v>
      </c>
      <c r="P556" s="10" t="str">
        <f>IF(Sales_Data[[#This Row],[Total Profit]]&gt;100000,"High Value",IF(Sales_Data[[#This Row],[Total Profit]]&gt;60000,"Medium","Low"))</f>
        <v>Low</v>
      </c>
      <c r="Q556" s="11" t="str">
        <f>PROPER(Sales_Data[[#This Row],[Month Name]])</f>
        <v>Julho</v>
      </c>
      <c r="R556" s="11" t="str">
        <f>PROPER(Sales_Data[[#This Row],[Sales Manager]])</f>
        <v>James Brown</v>
      </c>
    </row>
    <row r="557" spans="1:18" hidden="1" x14ac:dyDescent="0.25">
      <c r="A557">
        <v>10556</v>
      </c>
      <c r="B557">
        <v>2020</v>
      </c>
      <c r="C557" t="s">
        <v>72</v>
      </c>
      <c r="D557" s="8">
        <v>44021</v>
      </c>
      <c r="E557" t="s">
        <v>11</v>
      </c>
      <c r="F557" t="s">
        <v>18</v>
      </c>
      <c r="G557" t="s">
        <v>23</v>
      </c>
      <c r="H557" s="9">
        <v>8</v>
      </c>
      <c r="I557" s="9">
        <v>81</v>
      </c>
      <c r="J557" s="10">
        <v>28350</v>
      </c>
      <c r="K557" s="10">
        <v>7371</v>
      </c>
      <c r="L557">
        <v>28</v>
      </c>
      <c r="M557" s="8">
        <v>44013</v>
      </c>
      <c r="N557" s="23">
        <v>1.4280615864781999E-4</v>
      </c>
      <c r="O557" s="10" t="str">
        <f>IF(Sales_Data[[#This Row],[Total Profit]]&gt;0,"Profitable","Loss")</f>
        <v>Profitable</v>
      </c>
      <c r="P557" s="10" t="str">
        <f>IF(Sales_Data[[#This Row],[Total Profit]]&gt;100000,"High Value",IF(Sales_Data[[#This Row],[Total Profit]]&gt;60000,"Medium","Low"))</f>
        <v>Low</v>
      </c>
      <c r="Q557" s="11" t="str">
        <f>PROPER(Sales_Data[[#This Row],[Month Name]])</f>
        <v>Julho</v>
      </c>
      <c r="R557" s="11" t="str">
        <f>PROPER(Sales_Data[[#This Row],[Sales Manager]])</f>
        <v>Jane Doe</v>
      </c>
    </row>
    <row r="558" spans="1:18" hidden="1" x14ac:dyDescent="0.25">
      <c r="A558">
        <v>10557</v>
      </c>
      <c r="B558">
        <v>2020</v>
      </c>
      <c r="C558" t="s">
        <v>72</v>
      </c>
      <c r="D558" s="8">
        <v>44022</v>
      </c>
      <c r="E558" t="s">
        <v>22</v>
      </c>
      <c r="F558" t="s">
        <v>24</v>
      </c>
      <c r="G558" t="s">
        <v>20</v>
      </c>
      <c r="H558" s="9">
        <v>9</v>
      </c>
      <c r="I558" s="9">
        <v>229</v>
      </c>
      <c r="J558" s="10">
        <v>194650</v>
      </c>
      <c r="K558" s="10">
        <v>81753</v>
      </c>
      <c r="L558">
        <v>28</v>
      </c>
      <c r="M558" s="8">
        <v>44013</v>
      </c>
      <c r="N558" s="23">
        <v>9.8050154429622891E-4</v>
      </c>
      <c r="O558" s="10" t="str">
        <f>IF(Sales_Data[[#This Row],[Total Profit]]&gt;0,"Profitable","Loss")</f>
        <v>Profitable</v>
      </c>
      <c r="P558" s="10" t="str">
        <f>IF(Sales_Data[[#This Row],[Total Profit]]&gt;100000,"High Value",IF(Sales_Data[[#This Row],[Total Profit]]&gt;60000,"Medium","Low"))</f>
        <v>Medium</v>
      </c>
      <c r="Q558" s="11" t="str">
        <f>PROPER(Sales_Data[[#This Row],[Month Name]])</f>
        <v>Julho</v>
      </c>
      <c r="R558" s="11" t="str">
        <f>PROPER(Sales_Data[[#This Row],[Sales Manager]])</f>
        <v>Liam Lee</v>
      </c>
    </row>
    <row r="559" spans="1:18" hidden="1" x14ac:dyDescent="0.25">
      <c r="A559">
        <v>10558</v>
      </c>
      <c r="B559">
        <v>2020</v>
      </c>
      <c r="C559" t="s">
        <v>72</v>
      </c>
      <c r="D559" s="8">
        <v>44023</v>
      </c>
      <c r="E559" t="s">
        <v>22</v>
      </c>
      <c r="F559" t="s">
        <v>24</v>
      </c>
      <c r="G559" t="s">
        <v>13</v>
      </c>
      <c r="H559" s="9">
        <v>6</v>
      </c>
      <c r="I559" s="9">
        <v>473</v>
      </c>
      <c r="J559" s="10">
        <v>354750</v>
      </c>
      <c r="K559" s="10">
        <v>141900</v>
      </c>
      <c r="L559">
        <v>28</v>
      </c>
      <c r="M559" s="8">
        <v>44013</v>
      </c>
      <c r="N559" s="23">
        <v>1.78696595345023E-3</v>
      </c>
      <c r="O559" s="10" t="str">
        <f>IF(Sales_Data[[#This Row],[Total Profit]]&gt;0,"Profitable","Loss")</f>
        <v>Profitable</v>
      </c>
      <c r="P559" s="10" t="str">
        <f>IF(Sales_Data[[#This Row],[Total Profit]]&gt;100000,"High Value",IF(Sales_Data[[#This Row],[Total Profit]]&gt;60000,"Medium","Low"))</f>
        <v>High Value</v>
      </c>
      <c r="Q559" s="11" t="str">
        <f>PROPER(Sales_Data[[#This Row],[Month Name]])</f>
        <v>Julho</v>
      </c>
      <c r="R559" s="11" t="str">
        <f>PROPER(Sales_Data[[#This Row],[Sales Manager]])</f>
        <v>Liam Lee</v>
      </c>
    </row>
    <row r="560" spans="1:18" hidden="1" x14ac:dyDescent="0.25">
      <c r="A560">
        <v>10559</v>
      </c>
      <c r="B560">
        <v>2020</v>
      </c>
      <c r="C560" t="s">
        <v>72</v>
      </c>
      <c r="D560" s="8">
        <v>44024</v>
      </c>
      <c r="E560" t="s">
        <v>19</v>
      </c>
      <c r="F560" t="s">
        <v>24</v>
      </c>
      <c r="G560" t="s">
        <v>23</v>
      </c>
      <c r="H560" s="9">
        <v>2</v>
      </c>
      <c r="I560" s="9">
        <v>112</v>
      </c>
      <c r="J560" s="10">
        <v>39200</v>
      </c>
      <c r="K560" s="10">
        <v>3920</v>
      </c>
      <c r="L560">
        <v>29</v>
      </c>
      <c r="M560" s="8">
        <v>44013</v>
      </c>
      <c r="N560" s="23">
        <v>1.97460367513034E-4</v>
      </c>
      <c r="O560" s="10" t="str">
        <f>IF(Sales_Data[[#This Row],[Total Profit]]&gt;0,"Profitable","Loss")</f>
        <v>Profitable</v>
      </c>
      <c r="P560" s="10" t="str">
        <f>IF(Sales_Data[[#This Row],[Total Profit]]&gt;100000,"High Value",IF(Sales_Data[[#This Row],[Total Profit]]&gt;60000,"Medium","Low"))</f>
        <v>Low</v>
      </c>
      <c r="Q560" s="11" t="str">
        <f>PROPER(Sales_Data[[#This Row],[Month Name]])</f>
        <v>Julho</v>
      </c>
      <c r="R560" s="11" t="str">
        <f>PROPER(Sales_Data[[#This Row],[Sales Manager]])</f>
        <v>Liam Lee</v>
      </c>
    </row>
    <row r="561" spans="1:18" hidden="1" x14ac:dyDescent="0.25">
      <c r="A561">
        <v>10560</v>
      </c>
      <c r="B561">
        <v>2020</v>
      </c>
      <c r="C561" t="s">
        <v>72</v>
      </c>
      <c r="D561" s="8">
        <v>44025</v>
      </c>
      <c r="E561" t="s">
        <v>19</v>
      </c>
      <c r="F561" t="s">
        <v>18</v>
      </c>
      <c r="G561" t="s">
        <v>15</v>
      </c>
      <c r="H561" s="9">
        <v>5</v>
      </c>
      <c r="I561" s="9">
        <v>89</v>
      </c>
      <c r="J561" s="10">
        <v>44500</v>
      </c>
      <c r="K561" s="10">
        <v>15574.999999999998</v>
      </c>
      <c r="L561">
        <v>29</v>
      </c>
      <c r="M561" s="8">
        <v>44013</v>
      </c>
      <c r="N561" s="23">
        <v>2.2415781516148099E-4</v>
      </c>
      <c r="O561" s="10" t="str">
        <f>IF(Sales_Data[[#This Row],[Total Profit]]&gt;0,"Profitable","Loss")</f>
        <v>Profitable</v>
      </c>
      <c r="P561" s="10" t="str">
        <f>IF(Sales_Data[[#This Row],[Total Profit]]&gt;100000,"High Value",IF(Sales_Data[[#This Row],[Total Profit]]&gt;60000,"Medium","Low"))</f>
        <v>Low</v>
      </c>
      <c r="Q561" s="11" t="str">
        <f>PROPER(Sales_Data[[#This Row],[Month Name]])</f>
        <v>Julho</v>
      </c>
      <c r="R561" s="11" t="str">
        <f>PROPER(Sales_Data[[#This Row],[Sales Manager]])</f>
        <v>Jane Doe</v>
      </c>
    </row>
    <row r="562" spans="1:18" hidden="1" x14ac:dyDescent="0.25">
      <c r="A562">
        <v>10561</v>
      </c>
      <c r="B562">
        <v>2020</v>
      </c>
      <c r="C562" t="s">
        <v>72</v>
      </c>
      <c r="D562" s="8">
        <v>44026</v>
      </c>
      <c r="E562" t="s">
        <v>25</v>
      </c>
      <c r="F562" t="s">
        <v>18</v>
      </c>
      <c r="G562" t="s">
        <v>23</v>
      </c>
      <c r="H562" s="9">
        <v>28</v>
      </c>
      <c r="I562" s="9">
        <v>377</v>
      </c>
      <c r="J562" s="10">
        <v>131950</v>
      </c>
      <c r="K562" s="10">
        <v>15834</v>
      </c>
      <c r="L562">
        <v>29</v>
      </c>
      <c r="M562" s="8">
        <v>44013</v>
      </c>
      <c r="N562" s="23">
        <v>6.6466570136084E-4</v>
      </c>
      <c r="O562" s="10" t="str">
        <f>IF(Sales_Data[[#This Row],[Total Profit]]&gt;0,"Profitable","Loss")</f>
        <v>Profitable</v>
      </c>
      <c r="P562" s="10" t="str">
        <f>IF(Sales_Data[[#This Row],[Total Profit]]&gt;100000,"High Value",IF(Sales_Data[[#This Row],[Total Profit]]&gt;60000,"Medium","Low"))</f>
        <v>Low</v>
      </c>
      <c r="Q562" s="11" t="str">
        <f>PROPER(Sales_Data[[#This Row],[Month Name]])</f>
        <v>Julho</v>
      </c>
      <c r="R562" s="11" t="str">
        <f>PROPER(Sales_Data[[#This Row],[Sales Manager]])</f>
        <v>Jane Doe</v>
      </c>
    </row>
    <row r="563" spans="1:18" hidden="1" x14ac:dyDescent="0.25">
      <c r="A563">
        <v>10562</v>
      </c>
      <c r="B563">
        <v>2020</v>
      </c>
      <c r="C563" t="s">
        <v>72</v>
      </c>
      <c r="D563" s="8">
        <v>44027</v>
      </c>
      <c r="E563" t="s">
        <v>14</v>
      </c>
      <c r="F563" t="s">
        <v>18</v>
      </c>
      <c r="G563" t="s">
        <v>23</v>
      </c>
      <c r="H563" s="9">
        <v>4</v>
      </c>
      <c r="I563" s="9">
        <v>93</v>
      </c>
      <c r="J563" s="10">
        <v>32550</v>
      </c>
      <c r="K563" s="10">
        <v>8137.5</v>
      </c>
      <c r="L563">
        <v>29</v>
      </c>
      <c r="M563" s="8">
        <v>44013</v>
      </c>
      <c r="N563" s="23">
        <v>1.63962626595645E-4</v>
      </c>
      <c r="O563" s="10" t="str">
        <f>IF(Sales_Data[[#This Row],[Total Profit]]&gt;0,"Profitable","Loss")</f>
        <v>Profitable</v>
      </c>
      <c r="P563" s="10" t="str">
        <f>IF(Sales_Data[[#This Row],[Total Profit]]&gt;100000,"High Value",IF(Sales_Data[[#This Row],[Total Profit]]&gt;60000,"Medium","Low"))</f>
        <v>Low</v>
      </c>
      <c r="Q563" s="11" t="str">
        <f>PROPER(Sales_Data[[#This Row],[Month Name]])</f>
        <v>Julho</v>
      </c>
      <c r="R563" s="11" t="str">
        <f>PROPER(Sales_Data[[#This Row],[Sales Manager]])</f>
        <v>Jane Doe</v>
      </c>
    </row>
    <row r="564" spans="1:18" hidden="1" x14ac:dyDescent="0.25">
      <c r="A564">
        <v>10563</v>
      </c>
      <c r="B564">
        <v>2020</v>
      </c>
      <c r="C564" t="s">
        <v>72</v>
      </c>
      <c r="D564" s="8">
        <v>44028</v>
      </c>
      <c r="E564" t="s">
        <v>14</v>
      </c>
      <c r="F564" t="s">
        <v>24</v>
      </c>
      <c r="G564" t="s">
        <v>13</v>
      </c>
      <c r="H564" s="9">
        <v>35</v>
      </c>
      <c r="I564" s="9">
        <v>479</v>
      </c>
      <c r="J564" s="10">
        <v>359250</v>
      </c>
      <c r="K564" s="10">
        <v>125737.49999999999</v>
      </c>
      <c r="L564">
        <v>29</v>
      </c>
      <c r="M564" s="8">
        <v>44013</v>
      </c>
      <c r="N564" s="23">
        <v>1.80963359768004E-3</v>
      </c>
      <c r="O564" s="10" t="str">
        <f>IF(Sales_Data[[#This Row],[Total Profit]]&gt;0,"Profitable","Loss")</f>
        <v>Profitable</v>
      </c>
      <c r="P564" s="10" t="str">
        <f>IF(Sales_Data[[#This Row],[Total Profit]]&gt;100000,"High Value",IF(Sales_Data[[#This Row],[Total Profit]]&gt;60000,"Medium","Low"))</f>
        <v>High Value</v>
      </c>
      <c r="Q564" s="11" t="str">
        <f>PROPER(Sales_Data[[#This Row],[Month Name]])</f>
        <v>Julho</v>
      </c>
      <c r="R564" s="11" t="str">
        <f>PROPER(Sales_Data[[#This Row],[Sales Manager]])</f>
        <v>Liam Lee</v>
      </c>
    </row>
    <row r="565" spans="1:18" hidden="1" x14ac:dyDescent="0.25">
      <c r="A565">
        <v>10564</v>
      </c>
      <c r="B565">
        <v>2020</v>
      </c>
      <c r="C565" t="s">
        <v>72</v>
      </c>
      <c r="D565" s="8">
        <v>44029</v>
      </c>
      <c r="E565" t="s">
        <v>25</v>
      </c>
      <c r="F565" t="s">
        <v>21</v>
      </c>
      <c r="G565" t="s">
        <v>17</v>
      </c>
      <c r="H565" s="9">
        <v>23</v>
      </c>
      <c r="I565" s="9">
        <v>465</v>
      </c>
      <c r="J565" s="10">
        <v>116250</v>
      </c>
      <c r="K565" s="10">
        <v>23250</v>
      </c>
      <c r="L565">
        <v>29</v>
      </c>
      <c r="M565" s="8">
        <v>44013</v>
      </c>
      <c r="N565" s="23">
        <v>5.8558080927016004E-4</v>
      </c>
      <c r="O565" s="10" t="str">
        <f>IF(Sales_Data[[#This Row],[Total Profit]]&gt;0,"Profitable","Loss")</f>
        <v>Profitable</v>
      </c>
      <c r="P565" s="10" t="str">
        <f>IF(Sales_Data[[#This Row],[Total Profit]]&gt;100000,"High Value",IF(Sales_Data[[#This Row],[Total Profit]]&gt;60000,"Medium","Low"))</f>
        <v>Low</v>
      </c>
      <c r="Q565" s="11" t="str">
        <f>PROPER(Sales_Data[[#This Row],[Month Name]])</f>
        <v>Julho</v>
      </c>
      <c r="R565" s="11" t="str">
        <f>PROPER(Sales_Data[[#This Row],[Sales Manager]])</f>
        <v>John Smith</v>
      </c>
    </row>
    <row r="566" spans="1:18" hidden="1" x14ac:dyDescent="0.25">
      <c r="A566">
        <v>10565</v>
      </c>
      <c r="B566">
        <v>2020</v>
      </c>
      <c r="C566" t="s">
        <v>72</v>
      </c>
      <c r="D566" s="8">
        <v>44030</v>
      </c>
      <c r="E566" t="s">
        <v>14</v>
      </c>
      <c r="F566" t="s">
        <v>18</v>
      </c>
      <c r="G566" t="s">
        <v>23</v>
      </c>
      <c r="H566" s="9">
        <v>7</v>
      </c>
      <c r="I566" s="9">
        <v>444</v>
      </c>
      <c r="J566" s="10">
        <v>155400</v>
      </c>
      <c r="K566" s="10">
        <v>57498</v>
      </c>
      <c r="L566">
        <v>29</v>
      </c>
      <c r="M566" s="8">
        <v>44013</v>
      </c>
      <c r="N566" s="23">
        <v>7.8278931406953003E-4</v>
      </c>
      <c r="O566" s="10" t="str">
        <f>IF(Sales_Data[[#This Row],[Total Profit]]&gt;0,"Profitable","Loss")</f>
        <v>Profitable</v>
      </c>
      <c r="P566" s="10" t="str">
        <f>IF(Sales_Data[[#This Row],[Total Profit]]&gt;100000,"High Value",IF(Sales_Data[[#This Row],[Total Profit]]&gt;60000,"Medium","Low"))</f>
        <v>Low</v>
      </c>
      <c r="Q566" s="11" t="str">
        <f>PROPER(Sales_Data[[#This Row],[Month Name]])</f>
        <v>Julho</v>
      </c>
      <c r="R566" s="11" t="str">
        <f>PROPER(Sales_Data[[#This Row],[Sales Manager]])</f>
        <v>Jane Doe</v>
      </c>
    </row>
    <row r="567" spans="1:18" hidden="1" x14ac:dyDescent="0.25">
      <c r="A567">
        <v>10566</v>
      </c>
      <c r="B567">
        <v>2020</v>
      </c>
      <c r="C567" t="s">
        <v>72</v>
      </c>
      <c r="D567" s="8">
        <v>44031</v>
      </c>
      <c r="E567" t="s">
        <v>14</v>
      </c>
      <c r="F567" t="s">
        <v>24</v>
      </c>
      <c r="G567" t="s">
        <v>20</v>
      </c>
      <c r="H567" s="9">
        <v>3</v>
      </c>
      <c r="I567" s="9">
        <v>78</v>
      </c>
      <c r="J567" s="10">
        <v>66300</v>
      </c>
      <c r="K567" s="10">
        <v>26520</v>
      </c>
      <c r="L567">
        <v>30</v>
      </c>
      <c r="M567" s="8">
        <v>44013</v>
      </c>
      <c r="N567" s="23">
        <v>3.3396995831923998E-4</v>
      </c>
      <c r="O567" s="10" t="str">
        <f>IF(Sales_Data[[#This Row],[Total Profit]]&gt;0,"Profitable","Loss")</f>
        <v>Profitable</v>
      </c>
      <c r="P567" s="10" t="str">
        <f>IF(Sales_Data[[#This Row],[Total Profit]]&gt;100000,"High Value",IF(Sales_Data[[#This Row],[Total Profit]]&gt;60000,"Medium","Low"))</f>
        <v>Low</v>
      </c>
      <c r="Q567" s="11" t="str">
        <f>PROPER(Sales_Data[[#This Row],[Month Name]])</f>
        <v>Julho</v>
      </c>
      <c r="R567" s="11" t="str">
        <f>PROPER(Sales_Data[[#This Row],[Sales Manager]])</f>
        <v>Liam Lee</v>
      </c>
    </row>
    <row r="568" spans="1:18" hidden="1" x14ac:dyDescent="0.25">
      <c r="A568">
        <v>10567</v>
      </c>
      <c r="B568">
        <v>2020</v>
      </c>
      <c r="C568" t="s">
        <v>72</v>
      </c>
      <c r="D568" s="8">
        <v>44032</v>
      </c>
      <c r="E568" t="s">
        <v>25</v>
      </c>
      <c r="F568" t="s">
        <v>18</v>
      </c>
      <c r="G568" t="s">
        <v>13</v>
      </c>
      <c r="H568" s="9">
        <v>5</v>
      </c>
      <c r="I568" s="9">
        <v>195</v>
      </c>
      <c r="J568" s="10">
        <v>146250</v>
      </c>
      <c r="K568" s="10">
        <v>38025</v>
      </c>
      <c r="L568">
        <v>30</v>
      </c>
      <c r="M568" s="8">
        <v>44013</v>
      </c>
      <c r="N568" s="23">
        <v>7.3669843746891096E-4</v>
      </c>
      <c r="O568" s="10" t="str">
        <f>IF(Sales_Data[[#This Row],[Total Profit]]&gt;0,"Profitable","Loss")</f>
        <v>Profitable</v>
      </c>
      <c r="P568" s="10" t="str">
        <f>IF(Sales_Data[[#This Row],[Total Profit]]&gt;100000,"High Value",IF(Sales_Data[[#This Row],[Total Profit]]&gt;60000,"Medium","Low"))</f>
        <v>Low</v>
      </c>
      <c r="Q568" s="11" t="str">
        <f>PROPER(Sales_Data[[#This Row],[Month Name]])</f>
        <v>Julho</v>
      </c>
      <c r="R568" s="11" t="str">
        <f>PROPER(Sales_Data[[#This Row],[Sales Manager]])</f>
        <v>Jane Doe</v>
      </c>
    </row>
    <row r="569" spans="1:18" hidden="1" x14ac:dyDescent="0.25">
      <c r="A569">
        <v>10568</v>
      </c>
      <c r="B569">
        <v>2020</v>
      </c>
      <c r="C569" t="s">
        <v>72</v>
      </c>
      <c r="D569" s="8">
        <v>44033</v>
      </c>
      <c r="E569" t="s">
        <v>22</v>
      </c>
      <c r="F569" t="s">
        <v>18</v>
      </c>
      <c r="G569" t="s">
        <v>15</v>
      </c>
      <c r="H569" s="9">
        <v>21</v>
      </c>
      <c r="I569" s="9">
        <v>395</v>
      </c>
      <c r="J569" s="10">
        <v>197500</v>
      </c>
      <c r="K569" s="10">
        <v>88875</v>
      </c>
      <c r="L569">
        <v>30</v>
      </c>
      <c r="M569" s="8">
        <v>44013</v>
      </c>
      <c r="N569" s="23">
        <v>9.9485771897510995E-4</v>
      </c>
      <c r="O569" s="10" t="str">
        <f>IF(Sales_Data[[#This Row],[Total Profit]]&gt;0,"Profitable","Loss")</f>
        <v>Profitable</v>
      </c>
      <c r="P569" s="10" t="str">
        <f>IF(Sales_Data[[#This Row],[Total Profit]]&gt;100000,"High Value",IF(Sales_Data[[#This Row],[Total Profit]]&gt;60000,"Medium","Low"))</f>
        <v>Medium</v>
      </c>
      <c r="Q569" s="11" t="str">
        <f>PROPER(Sales_Data[[#This Row],[Month Name]])</f>
        <v>Julho</v>
      </c>
      <c r="R569" s="11" t="str">
        <f>PROPER(Sales_Data[[#This Row],[Sales Manager]])</f>
        <v>Jane Doe</v>
      </c>
    </row>
    <row r="570" spans="1:18" hidden="1" x14ac:dyDescent="0.25">
      <c r="A570">
        <v>10569</v>
      </c>
      <c r="B570">
        <v>2020</v>
      </c>
      <c r="C570" t="s">
        <v>72</v>
      </c>
      <c r="D570" s="8">
        <v>44034</v>
      </c>
      <c r="E570" t="s">
        <v>11</v>
      </c>
      <c r="F570" t="s">
        <v>16</v>
      </c>
      <c r="G570" t="s">
        <v>17</v>
      </c>
      <c r="H570" s="9">
        <v>6</v>
      </c>
      <c r="I570" s="9">
        <v>109</v>
      </c>
      <c r="J570" s="10">
        <v>27250</v>
      </c>
      <c r="K570" s="10">
        <v>12262.5</v>
      </c>
      <c r="L570">
        <v>30</v>
      </c>
      <c r="M570" s="8">
        <v>44013</v>
      </c>
      <c r="N570" s="23">
        <v>1.3726517894719901E-4</v>
      </c>
      <c r="O570" s="10" t="str">
        <f>IF(Sales_Data[[#This Row],[Total Profit]]&gt;0,"Profitable","Loss")</f>
        <v>Profitable</v>
      </c>
      <c r="P570" s="10" t="str">
        <f>IF(Sales_Data[[#This Row],[Total Profit]]&gt;100000,"High Value",IF(Sales_Data[[#This Row],[Total Profit]]&gt;60000,"Medium","Low"))</f>
        <v>Low</v>
      </c>
      <c r="Q570" s="11" t="str">
        <f>PROPER(Sales_Data[[#This Row],[Month Name]])</f>
        <v>Julho</v>
      </c>
      <c r="R570" s="11" t="str">
        <f>PROPER(Sales_Data[[#This Row],[Sales Manager]])</f>
        <v>James Brown</v>
      </c>
    </row>
    <row r="571" spans="1:18" hidden="1" x14ac:dyDescent="0.25">
      <c r="A571">
        <v>10570</v>
      </c>
      <c r="B571">
        <v>2020</v>
      </c>
      <c r="C571" t="s">
        <v>72</v>
      </c>
      <c r="D571" s="8">
        <v>44035</v>
      </c>
      <c r="E571" t="s">
        <v>14</v>
      </c>
      <c r="F571" t="s">
        <v>18</v>
      </c>
      <c r="G571" t="s">
        <v>17</v>
      </c>
      <c r="H571" s="9">
        <v>5</v>
      </c>
      <c r="I571" s="9">
        <v>80</v>
      </c>
      <c r="J571" s="10">
        <v>20000</v>
      </c>
      <c r="K571" s="10">
        <v>6600</v>
      </c>
      <c r="L571">
        <v>30</v>
      </c>
      <c r="M571" s="8">
        <v>44013</v>
      </c>
      <c r="N571" s="23">
        <v>1.0074508546583399E-4</v>
      </c>
      <c r="O571" s="10" t="str">
        <f>IF(Sales_Data[[#This Row],[Total Profit]]&gt;0,"Profitable","Loss")</f>
        <v>Profitable</v>
      </c>
      <c r="P571" s="10" t="str">
        <f>IF(Sales_Data[[#This Row],[Total Profit]]&gt;100000,"High Value",IF(Sales_Data[[#This Row],[Total Profit]]&gt;60000,"Medium","Low"))</f>
        <v>Low</v>
      </c>
      <c r="Q571" s="11" t="str">
        <f>PROPER(Sales_Data[[#This Row],[Month Name]])</f>
        <v>Julho</v>
      </c>
      <c r="R571" s="11" t="str">
        <f>PROPER(Sales_Data[[#This Row],[Sales Manager]])</f>
        <v>Jane Doe</v>
      </c>
    </row>
    <row r="572" spans="1:18" hidden="1" x14ac:dyDescent="0.25">
      <c r="A572">
        <v>10571</v>
      </c>
      <c r="B572">
        <v>2020</v>
      </c>
      <c r="C572" t="s">
        <v>72</v>
      </c>
      <c r="D572" s="8">
        <v>44036</v>
      </c>
      <c r="E572" t="s">
        <v>11</v>
      </c>
      <c r="F572" t="s">
        <v>24</v>
      </c>
      <c r="G572" t="s">
        <v>17</v>
      </c>
      <c r="H572" s="9">
        <v>12</v>
      </c>
      <c r="I572" s="9">
        <v>146</v>
      </c>
      <c r="J572" s="10">
        <v>36500</v>
      </c>
      <c r="K572" s="10">
        <v>16425</v>
      </c>
      <c r="L572">
        <v>30</v>
      </c>
      <c r="M572" s="8">
        <v>44013</v>
      </c>
      <c r="N572" s="23">
        <v>1.83859780975147E-4</v>
      </c>
      <c r="O572" s="10" t="str">
        <f>IF(Sales_Data[[#This Row],[Total Profit]]&gt;0,"Profitable","Loss")</f>
        <v>Profitable</v>
      </c>
      <c r="P572" s="10" t="str">
        <f>IF(Sales_Data[[#This Row],[Total Profit]]&gt;100000,"High Value",IF(Sales_Data[[#This Row],[Total Profit]]&gt;60000,"Medium","Low"))</f>
        <v>Low</v>
      </c>
      <c r="Q572" s="11" t="str">
        <f>PROPER(Sales_Data[[#This Row],[Month Name]])</f>
        <v>Julho</v>
      </c>
      <c r="R572" s="11" t="str">
        <f>PROPER(Sales_Data[[#This Row],[Sales Manager]])</f>
        <v>Liam Lee</v>
      </c>
    </row>
    <row r="573" spans="1:18" hidden="1" x14ac:dyDescent="0.25">
      <c r="A573">
        <v>10572</v>
      </c>
      <c r="B573">
        <v>2020</v>
      </c>
      <c r="C573" t="s">
        <v>72</v>
      </c>
      <c r="D573" s="8">
        <v>44037</v>
      </c>
      <c r="E573" t="s">
        <v>14</v>
      </c>
      <c r="F573" t="s">
        <v>24</v>
      </c>
      <c r="G573" t="s">
        <v>17</v>
      </c>
      <c r="H573" s="9">
        <v>3</v>
      </c>
      <c r="I573" s="9">
        <v>86</v>
      </c>
      <c r="J573" s="10">
        <v>21500</v>
      </c>
      <c r="K573" s="10">
        <v>7310.0000000000009</v>
      </c>
      <c r="L573">
        <v>30</v>
      </c>
      <c r="M573" s="8">
        <v>44013</v>
      </c>
      <c r="N573" s="23">
        <v>1.0830096687577199E-4</v>
      </c>
      <c r="O573" s="10" t="str">
        <f>IF(Sales_Data[[#This Row],[Total Profit]]&gt;0,"Profitable","Loss")</f>
        <v>Profitable</v>
      </c>
      <c r="P573" s="10" t="str">
        <f>IF(Sales_Data[[#This Row],[Total Profit]]&gt;100000,"High Value",IF(Sales_Data[[#This Row],[Total Profit]]&gt;60000,"Medium","Low"))</f>
        <v>Low</v>
      </c>
      <c r="Q573" s="11" t="str">
        <f>PROPER(Sales_Data[[#This Row],[Month Name]])</f>
        <v>Julho</v>
      </c>
      <c r="R573" s="11" t="str">
        <f>PROPER(Sales_Data[[#This Row],[Sales Manager]])</f>
        <v>Liam Lee</v>
      </c>
    </row>
    <row r="574" spans="1:18" hidden="1" x14ac:dyDescent="0.25">
      <c r="A574">
        <v>10573</v>
      </c>
      <c r="B574">
        <v>2020</v>
      </c>
      <c r="C574" t="s">
        <v>72</v>
      </c>
      <c r="D574" s="8">
        <v>44038</v>
      </c>
      <c r="E574" t="s">
        <v>25</v>
      </c>
      <c r="F574" t="s">
        <v>12</v>
      </c>
      <c r="G574" t="s">
        <v>17</v>
      </c>
      <c r="H574" s="9">
        <v>9</v>
      </c>
      <c r="I574" s="9">
        <v>124</v>
      </c>
      <c r="J574" s="10">
        <v>31000</v>
      </c>
      <c r="K574" s="10">
        <v>12710</v>
      </c>
      <c r="L574">
        <v>31</v>
      </c>
      <c r="M574" s="8">
        <v>44013</v>
      </c>
      <c r="N574" s="23">
        <v>1.5615488247204299E-4</v>
      </c>
      <c r="O574" s="10" t="str">
        <f>IF(Sales_Data[[#This Row],[Total Profit]]&gt;0,"Profitable","Loss")</f>
        <v>Profitable</v>
      </c>
      <c r="P574" s="10" t="str">
        <f>IF(Sales_Data[[#This Row],[Total Profit]]&gt;100000,"High Value",IF(Sales_Data[[#This Row],[Total Profit]]&gt;60000,"Medium","Low"))</f>
        <v>Low</v>
      </c>
      <c r="Q574" s="11" t="str">
        <f>PROPER(Sales_Data[[#This Row],[Month Name]])</f>
        <v>Julho</v>
      </c>
      <c r="R574" s="11" t="str">
        <f>PROPER(Sales_Data[[#This Row],[Sales Manager]])</f>
        <v>Emily White</v>
      </c>
    </row>
    <row r="575" spans="1:18" hidden="1" x14ac:dyDescent="0.25">
      <c r="A575">
        <v>10574</v>
      </c>
      <c r="B575">
        <v>2020</v>
      </c>
      <c r="C575" t="s">
        <v>72</v>
      </c>
      <c r="D575" s="8">
        <v>44039</v>
      </c>
      <c r="E575" t="s">
        <v>14</v>
      </c>
      <c r="F575" t="s">
        <v>12</v>
      </c>
      <c r="G575" t="s">
        <v>13</v>
      </c>
      <c r="H575" s="9">
        <v>33</v>
      </c>
      <c r="I575" s="9">
        <v>370</v>
      </c>
      <c r="J575" s="10">
        <v>277500</v>
      </c>
      <c r="K575" s="10">
        <v>47175</v>
      </c>
      <c r="L575">
        <v>31</v>
      </c>
      <c r="M575" s="8">
        <v>44013</v>
      </c>
      <c r="N575" s="23">
        <v>1.3978380608384499E-3</v>
      </c>
      <c r="O575" s="10" t="str">
        <f>IF(Sales_Data[[#This Row],[Total Profit]]&gt;0,"Profitable","Loss")</f>
        <v>Profitable</v>
      </c>
      <c r="P575" s="10" t="str">
        <f>IF(Sales_Data[[#This Row],[Total Profit]]&gt;100000,"High Value",IF(Sales_Data[[#This Row],[Total Profit]]&gt;60000,"Medium","Low"))</f>
        <v>Low</v>
      </c>
      <c r="Q575" s="11" t="str">
        <f>PROPER(Sales_Data[[#This Row],[Month Name]])</f>
        <v>Julho</v>
      </c>
      <c r="R575" s="11" t="str">
        <f>PROPER(Sales_Data[[#This Row],[Sales Manager]])</f>
        <v>Emily White</v>
      </c>
    </row>
    <row r="576" spans="1:18" hidden="1" x14ac:dyDescent="0.25">
      <c r="A576">
        <v>10575</v>
      </c>
      <c r="B576">
        <v>2020</v>
      </c>
      <c r="C576" t="s">
        <v>72</v>
      </c>
      <c r="D576" s="8">
        <v>44040</v>
      </c>
      <c r="E576" t="s">
        <v>11</v>
      </c>
      <c r="F576" t="s">
        <v>18</v>
      </c>
      <c r="G576" t="s">
        <v>20</v>
      </c>
      <c r="H576" s="9">
        <v>10</v>
      </c>
      <c r="I576" s="9">
        <v>495</v>
      </c>
      <c r="J576" s="10">
        <v>420750</v>
      </c>
      <c r="K576" s="10">
        <v>96772.5</v>
      </c>
      <c r="L576">
        <v>31</v>
      </c>
      <c r="M576" s="8">
        <v>44013</v>
      </c>
      <c r="N576" s="23">
        <v>2.1194247354874799E-3</v>
      </c>
      <c r="O576" s="10" t="str">
        <f>IF(Sales_Data[[#This Row],[Total Profit]]&gt;0,"Profitable","Loss")</f>
        <v>Profitable</v>
      </c>
      <c r="P576" s="10" t="str">
        <f>IF(Sales_Data[[#This Row],[Total Profit]]&gt;100000,"High Value",IF(Sales_Data[[#This Row],[Total Profit]]&gt;60000,"Medium","Low"))</f>
        <v>Medium</v>
      </c>
      <c r="Q576" s="11" t="str">
        <f>PROPER(Sales_Data[[#This Row],[Month Name]])</f>
        <v>Julho</v>
      </c>
      <c r="R576" s="11" t="str">
        <f>PROPER(Sales_Data[[#This Row],[Sales Manager]])</f>
        <v>Jane Doe</v>
      </c>
    </row>
    <row r="577" spans="1:18" hidden="1" x14ac:dyDescent="0.25">
      <c r="A577">
        <v>10576</v>
      </c>
      <c r="B577">
        <v>2020</v>
      </c>
      <c r="C577" t="s">
        <v>72</v>
      </c>
      <c r="D577" s="8">
        <v>44041</v>
      </c>
      <c r="E577" t="s">
        <v>25</v>
      </c>
      <c r="F577" t="s">
        <v>21</v>
      </c>
      <c r="G577" t="s">
        <v>15</v>
      </c>
      <c r="H577" s="9">
        <v>14</v>
      </c>
      <c r="I577" s="9">
        <v>449</v>
      </c>
      <c r="J577" s="10">
        <v>224500</v>
      </c>
      <c r="K577" s="10">
        <v>40410</v>
      </c>
      <c r="L577">
        <v>31</v>
      </c>
      <c r="M577" s="8">
        <v>44013</v>
      </c>
      <c r="N577" s="23">
        <v>1.1308635843539901E-3</v>
      </c>
      <c r="O577" s="10" t="str">
        <f>IF(Sales_Data[[#This Row],[Total Profit]]&gt;0,"Profitable","Loss")</f>
        <v>Profitable</v>
      </c>
      <c r="P577" s="10" t="str">
        <f>IF(Sales_Data[[#This Row],[Total Profit]]&gt;100000,"High Value",IF(Sales_Data[[#This Row],[Total Profit]]&gt;60000,"Medium","Low"))</f>
        <v>Low</v>
      </c>
      <c r="Q577" s="11" t="str">
        <f>PROPER(Sales_Data[[#This Row],[Month Name]])</f>
        <v>Julho</v>
      </c>
      <c r="R577" s="11" t="str">
        <f>PROPER(Sales_Data[[#This Row],[Sales Manager]])</f>
        <v>John Smith</v>
      </c>
    </row>
    <row r="578" spans="1:18" hidden="1" x14ac:dyDescent="0.25">
      <c r="A578">
        <v>10577</v>
      </c>
      <c r="B578">
        <v>2020</v>
      </c>
      <c r="C578" t="s">
        <v>72</v>
      </c>
      <c r="D578" s="8">
        <v>44042</v>
      </c>
      <c r="E578" t="s">
        <v>19</v>
      </c>
      <c r="F578" t="s">
        <v>16</v>
      </c>
      <c r="G578" t="s">
        <v>23</v>
      </c>
      <c r="H578" s="9">
        <v>1</v>
      </c>
      <c r="I578" s="9">
        <v>64</v>
      </c>
      <c r="J578" s="10">
        <v>22400</v>
      </c>
      <c r="K578" s="10">
        <v>4256</v>
      </c>
      <c r="L578">
        <v>31</v>
      </c>
      <c r="M578" s="8">
        <v>44013</v>
      </c>
      <c r="N578" s="23">
        <v>1.12834495721734E-4</v>
      </c>
      <c r="O578" s="10" t="str">
        <f>IF(Sales_Data[[#This Row],[Total Profit]]&gt;0,"Profitable","Loss")</f>
        <v>Profitable</v>
      </c>
      <c r="P578" s="10" t="str">
        <f>IF(Sales_Data[[#This Row],[Total Profit]]&gt;100000,"High Value",IF(Sales_Data[[#This Row],[Total Profit]]&gt;60000,"Medium","Low"))</f>
        <v>Low</v>
      </c>
      <c r="Q578" s="11" t="str">
        <f>PROPER(Sales_Data[[#This Row],[Month Name]])</f>
        <v>Julho</v>
      </c>
      <c r="R578" s="11" t="str">
        <f>PROPER(Sales_Data[[#This Row],[Sales Manager]])</f>
        <v>James Brown</v>
      </c>
    </row>
    <row r="579" spans="1:18" hidden="1" x14ac:dyDescent="0.25">
      <c r="A579">
        <v>10578</v>
      </c>
      <c r="B579">
        <v>2020</v>
      </c>
      <c r="C579" t="s">
        <v>72</v>
      </c>
      <c r="D579" s="8">
        <v>44043</v>
      </c>
      <c r="E579" t="s">
        <v>11</v>
      </c>
      <c r="F579" t="s">
        <v>12</v>
      </c>
      <c r="G579" t="s">
        <v>17</v>
      </c>
      <c r="H579" s="9">
        <v>19</v>
      </c>
      <c r="I579" s="9">
        <v>434</v>
      </c>
      <c r="J579" s="10">
        <v>108500</v>
      </c>
      <c r="K579" s="10">
        <v>43400</v>
      </c>
      <c r="L579">
        <v>31</v>
      </c>
      <c r="M579" s="8">
        <v>44013</v>
      </c>
      <c r="N579" s="23">
        <v>5.46542088652149E-4</v>
      </c>
      <c r="O579" s="10" t="str">
        <f>IF(Sales_Data[[#This Row],[Total Profit]]&gt;0,"Profitable","Loss")</f>
        <v>Profitable</v>
      </c>
      <c r="P579" s="10" t="str">
        <f>IF(Sales_Data[[#This Row],[Total Profit]]&gt;100000,"High Value",IF(Sales_Data[[#This Row],[Total Profit]]&gt;60000,"Medium","Low"))</f>
        <v>Low</v>
      </c>
      <c r="Q579" s="11" t="str">
        <f>PROPER(Sales_Data[[#This Row],[Month Name]])</f>
        <v>Julho</v>
      </c>
      <c r="R579" s="11" t="str">
        <f>PROPER(Sales_Data[[#This Row],[Sales Manager]])</f>
        <v>Emily White</v>
      </c>
    </row>
    <row r="580" spans="1:18" hidden="1" x14ac:dyDescent="0.25">
      <c r="A580">
        <v>10579</v>
      </c>
      <c r="B580">
        <v>2020</v>
      </c>
      <c r="C580" t="s">
        <v>73</v>
      </c>
      <c r="D580" s="8">
        <v>44044</v>
      </c>
      <c r="E580" t="s">
        <v>25</v>
      </c>
      <c r="F580" t="s">
        <v>21</v>
      </c>
      <c r="G580" t="s">
        <v>15</v>
      </c>
      <c r="H580" s="9">
        <v>3</v>
      </c>
      <c r="I580" s="9">
        <v>45</v>
      </c>
      <c r="J580" s="10">
        <v>22500</v>
      </c>
      <c r="K580" s="10">
        <v>4050</v>
      </c>
      <c r="L580">
        <v>31</v>
      </c>
      <c r="M580" s="8">
        <v>44013</v>
      </c>
      <c r="N580" s="23">
        <v>1.13338221149063E-4</v>
      </c>
      <c r="O580" s="10" t="str">
        <f>IF(Sales_Data[[#This Row],[Total Profit]]&gt;0,"Profitable","Loss")</f>
        <v>Profitable</v>
      </c>
      <c r="P580" s="10" t="str">
        <f>IF(Sales_Data[[#This Row],[Total Profit]]&gt;100000,"High Value",IF(Sales_Data[[#This Row],[Total Profit]]&gt;60000,"Medium","Low"))</f>
        <v>Low</v>
      </c>
      <c r="Q580" s="11" t="str">
        <f>PROPER(Sales_Data[[#This Row],[Month Name]])</f>
        <v>Agosto</v>
      </c>
      <c r="R580" s="11" t="str">
        <f>PROPER(Sales_Data[[#This Row],[Sales Manager]])</f>
        <v>John Smith</v>
      </c>
    </row>
    <row r="581" spans="1:18" hidden="1" x14ac:dyDescent="0.25">
      <c r="A581">
        <v>10580</v>
      </c>
      <c r="B581">
        <v>2020</v>
      </c>
      <c r="C581" t="s">
        <v>73</v>
      </c>
      <c r="D581" s="8">
        <v>44045</v>
      </c>
      <c r="E581" t="s">
        <v>14</v>
      </c>
      <c r="F581" t="s">
        <v>24</v>
      </c>
      <c r="G581" t="s">
        <v>13</v>
      </c>
      <c r="H581" s="9">
        <v>5</v>
      </c>
      <c r="I581" s="9">
        <v>55</v>
      </c>
      <c r="J581" s="10">
        <v>41250</v>
      </c>
      <c r="K581" s="10">
        <v>13200</v>
      </c>
      <c r="L581">
        <v>32</v>
      </c>
      <c r="M581" s="8">
        <v>44013</v>
      </c>
      <c r="N581" s="23">
        <v>2.07786738773282E-4</v>
      </c>
      <c r="O581" s="10" t="str">
        <f>IF(Sales_Data[[#This Row],[Total Profit]]&gt;0,"Profitable","Loss")</f>
        <v>Profitable</v>
      </c>
      <c r="P581" s="10" t="str">
        <f>IF(Sales_Data[[#This Row],[Total Profit]]&gt;100000,"High Value",IF(Sales_Data[[#This Row],[Total Profit]]&gt;60000,"Medium","Low"))</f>
        <v>Low</v>
      </c>
      <c r="Q581" s="11" t="str">
        <f>PROPER(Sales_Data[[#This Row],[Month Name]])</f>
        <v>Agosto</v>
      </c>
      <c r="R581" s="11" t="str">
        <f>PROPER(Sales_Data[[#This Row],[Sales Manager]])</f>
        <v>Liam Lee</v>
      </c>
    </row>
    <row r="582" spans="1:18" hidden="1" x14ac:dyDescent="0.25">
      <c r="A582">
        <v>10581</v>
      </c>
      <c r="B582">
        <v>2020</v>
      </c>
      <c r="C582" t="s">
        <v>73</v>
      </c>
      <c r="D582" s="8">
        <v>44046</v>
      </c>
      <c r="E582" t="s">
        <v>14</v>
      </c>
      <c r="F582" t="s">
        <v>16</v>
      </c>
      <c r="G582" t="s">
        <v>17</v>
      </c>
      <c r="H582" s="9">
        <v>23</v>
      </c>
      <c r="I582" s="9">
        <v>314</v>
      </c>
      <c r="J582" s="10">
        <v>78500</v>
      </c>
      <c r="K582" s="10">
        <v>9420</v>
      </c>
      <c r="L582">
        <v>32</v>
      </c>
      <c r="M582" s="8">
        <v>44013</v>
      </c>
      <c r="N582" s="23">
        <v>3.9542446045339803E-4</v>
      </c>
      <c r="O582" s="10" t="str">
        <f>IF(Sales_Data[[#This Row],[Total Profit]]&gt;0,"Profitable","Loss")</f>
        <v>Profitable</v>
      </c>
      <c r="P582" s="10" t="str">
        <f>IF(Sales_Data[[#This Row],[Total Profit]]&gt;100000,"High Value",IF(Sales_Data[[#This Row],[Total Profit]]&gt;60000,"Medium","Low"))</f>
        <v>Low</v>
      </c>
      <c r="Q582" s="11" t="str">
        <f>PROPER(Sales_Data[[#This Row],[Month Name]])</f>
        <v>Agosto</v>
      </c>
      <c r="R582" s="11" t="str">
        <f>PROPER(Sales_Data[[#This Row],[Sales Manager]])</f>
        <v>James Brown</v>
      </c>
    </row>
    <row r="583" spans="1:18" hidden="1" x14ac:dyDescent="0.25">
      <c r="A583">
        <v>10582</v>
      </c>
      <c r="B583">
        <v>2020</v>
      </c>
      <c r="C583" t="s">
        <v>73</v>
      </c>
      <c r="D583" s="8">
        <v>44047</v>
      </c>
      <c r="E583" t="s">
        <v>19</v>
      </c>
      <c r="F583" t="s">
        <v>16</v>
      </c>
      <c r="G583" t="s">
        <v>13</v>
      </c>
      <c r="H583" s="9">
        <v>21</v>
      </c>
      <c r="I583" s="9">
        <v>246</v>
      </c>
      <c r="J583" s="10">
        <v>184500</v>
      </c>
      <c r="K583" s="10">
        <v>81180</v>
      </c>
      <c r="L583">
        <v>32</v>
      </c>
      <c r="M583" s="8">
        <v>44013</v>
      </c>
      <c r="N583" s="23">
        <v>9.2937341342231802E-4</v>
      </c>
      <c r="O583" s="10" t="str">
        <f>IF(Sales_Data[[#This Row],[Total Profit]]&gt;0,"Profitable","Loss")</f>
        <v>Profitable</v>
      </c>
      <c r="P583" s="10" t="str">
        <f>IF(Sales_Data[[#This Row],[Total Profit]]&gt;100000,"High Value",IF(Sales_Data[[#This Row],[Total Profit]]&gt;60000,"Medium","Low"))</f>
        <v>Medium</v>
      </c>
      <c r="Q583" s="11" t="str">
        <f>PROPER(Sales_Data[[#This Row],[Month Name]])</f>
        <v>Agosto</v>
      </c>
      <c r="R583" s="11" t="str">
        <f>PROPER(Sales_Data[[#This Row],[Sales Manager]])</f>
        <v>James Brown</v>
      </c>
    </row>
    <row r="584" spans="1:18" hidden="1" x14ac:dyDescent="0.25">
      <c r="A584">
        <v>10583</v>
      </c>
      <c r="B584">
        <v>2020</v>
      </c>
      <c r="C584" t="s">
        <v>73</v>
      </c>
      <c r="D584" s="8">
        <v>44048</v>
      </c>
      <c r="E584" t="s">
        <v>19</v>
      </c>
      <c r="F584" t="s">
        <v>24</v>
      </c>
      <c r="G584" t="s">
        <v>20</v>
      </c>
      <c r="H584" s="9">
        <v>7</v>
      </c>
      <c r="I584" s="9">
        <v>295</v>
      </c>
      <c r="J584" s="10">
        <v>250750</v>
      </c>
      <c r="K584" s="10">
        <v>45135</v>
      </c>
      <c r="L584">
        <v>32</v>
      </c>
      <c r="M584" s="8">
        <v>44013</v>
      </c>
      <c r="N584" s="23">
        <v>1.26309150902789E-3</v>
      </c>
      <c r="O584" s="10" t="str">
        <f>IF(Sales_Data[[#This Row],[Total Profit]]&gt;0,"Profitable","Loss")</f>
        <v>Profitable</v>
      </c>
      <c r="P584" s="10" t="str">
        <f>IF(Sales_Data[[#This Row],[Total Profit]]&gt;100000,"High Value",IF(Sales_Data[[#This Row],[Total Profit]]&gt;60000,"Medium","Low"))</f>
        <v>Low</v>
      </c>
      <c r="Q584" s="11" t="str">
        <f>PROPER(Sales_Data[[#This Row],[Month Name]])</f>
        <v>Agosto</v>
      </c>
      <c r="R584" s="11" t="str">
        <f>PROPER(Sales_Data[[#This Row],[Sales Manager]])</f>
        <v>Liam Lee</v>
      </c>
    </row>
    <row r="585" spans="1:18" hidden="1" x14ac:dyDescent="0.25">
      <c r="A585">
        <v>10584</v>
      </c>
      <c r="B585">
        <v>2020</v>
      </c>
      <c r="C585" t="s">
        <v>73</v>
      </c>
      <c r="D585" s="8">
        <v>44049</v>
      </c>
      <c r="E585" t="s">
        <v>19</v>
      </c>
      <c r="F585" t="s">
        <v>12</v>
      </c>
      <c r="G585" t="s">
        <v>13</v>
      </c>
      <c r="H585" s="9">
        <v>31</v>
      </c>
      <c r="I585" s="9">
        <v>364</v>
      </c>
      <c r="J585" s="10">
        <v>273000</v>
      </c>
      <c r="K585" s="10">
        <v>38220</v>
      </c>
      <c r="L585">
        <v>32</v>
      </c>
      <c r="M585" s="8">
        <v>44013</v>
      </c>
      <c r="N585" s="23">
        <v>1.37517041660863E-3</v>
      </c>
      <c r="O585" s="10" t="str">
        <f>IF(Sales_Data[[#This Row],[Total Profit]]&gt;0,"Profitable","Loss")</f>
        <v>Profitable</v>
      </c>
      <c r="P585" s="10" t="str">
        <f>IF(Sales_Data[[#This Row],[Total Profit]]&gt;100000,"High Value",IF(Sales_Data[[#This Row],[Total Profit]]&gt;60000,"Medium","Low"))</f>
        <v>Low</v>
      </c>
      <c r="Q585" s="11" t="str">
        <f>PROPER(Sales_Data[[#This Row],[Month Name]])</f>
        <v>Agosto</v>
      </c>
      <c r="R585" s="11" t="str">
        <f>PROPER(Sales_Data[[#This Row],[Sales Manager]])</f>
        <v>Emily White</v>
      </c>
    </row>
    <row r="586" spans="1:18" hidden="1" x14ac:dyDescent="0.25">
      <c r="A586">
        <v>10585</v>
      </c>
      <c r="B586">
        <v>2020</v>
      </c>
      <c r="C586" t="s">
        <v>73</v>
      </c>
      <c r="D586" s="8">
        <v>44050</v>
      </c>
      <c r="E586" t="s">
        <v>19</v>
      </c>
      <c r="F586" t="s">
        <v>21</v>
      </c>
      <c r="G586" t="s">
        <v>17</v>
      </c>
      <c r="H586" s="9">
        <v>6</v>
      </c>
      <c r="I586" s="9">
        <v>108</v>
      </c>
      <c r="J586" s="10">
        <v>27000</v>
      </c>
      <c r="K586" s="10">
        <v>5400</v>
      </c>
      <c r="L586">
        <v>32</v>
      </c>
      <c r="M586" s="8">
        <v>44013</v>
      </c>
      <c r="N586" s="23">
        <v>1.36005865378876E-4</v>
      </c>
      <c r="O586" s="10" t="str">
        <f>IF(Sales_Data[[#This Row],[Total Profit]]&gt;0,"Profitable","Loss")</f>
        <v>Profitable</v>
      </c>
      <c r="P586" s="10" t="str">
        <f>IF(Sales_Data[[#This Row],[Total Profit]]&gt;100000,"High Value",IF(Sales_Data[[#This Row],[Total Profit]]&gt;60000,"Medium","Low"))</f>
        <v>Low</v>
      </c>
      <c r="Q586" s="11" t="str">
        <f>PROPER(Sales_Data[[#This Row],[Month Name]])</f>
        <v>Agosto</v>
      </c>
      <c r="R586" s="11" t="str">
        <f>PROPER(Sales_Data[[#This Row],[Sales Manager]])</f>
        <v>John Smith</v>
      </c>
    </row>
    <row r="587" spans="1:18" hidden="1" x14ac:dyDescent="0.25">
      <c r="A587">
        <v>10586</v>
      </c>
      <c r="B587">
        <v>2020</v>
      </c>
      <c r="C587" t="s">
        <v>73</v>
      </c>
      <c r="D587" s="8">
        <v>44051</v>
      </c>
      <c r="E587" t="s">
        <v>25</v>
      </c>
      <c r="F587" t="s">
        <v>18</v>
      </c>
      <c r="G587" t="s">
        <v>17</v>
      </c>
      <c r="H587" s="9">
        <v>46</v>
      </c>
      <c r="I587" s="9">
        <v>477</v>
      </c>
      <c r="J587" s="10">
        <v>119250</v>
      </c>
      <c r="K587" s="10">
        <v>26235</v>
      </c>
      <c r="L587">
        <v>32</v>
      </c>
      <c r="M587" s="8">
        <v>44013</v>
      </c>
      <c r="N587" s="23">
        <v>6.0069257209003496E-4</v>
      </c>
      <c r="O587" s="10" t="str">
        <f>IF(Sales_Data[[#This Row],[Total Profit]]&gt;0,"Profitable","Loss")</f>
        <v>Profitable</v>
      </c>
      <c r="P587" s="10" t="str">
        <f>IF(Sales_Data[[#This Row],[Total Profit]]&gt;100000,"High Value",IF(Sales_Data[[#This Row],[Total Profit]]&gt;60000,"Medium","Low"))</f>
        <v>Low</v>
      </c>
      <c r="Q587" s="11" t="str">
        <f>PROPER(Sales_Data[[#This Row],[Month Name]])</f>
        <v>Agosto</v>
      </c>
      <c r="R587" s="11" t="str">
        <f>PROPER(Sales_Data[[#This Row],[Sales Manager]])</f>
        <v>Jane Doe</v>
      </c>
    </row>
    <row r="588" spans="1:18" hidden="1" x14ac:dyDescent="0.25">
      <c r="A588">
        <v>10587</v>
      </c>
      <c r="B588">
        <v>2020</v>
      </c>
      <c r="C588" t="s">
        <v>73</v>
      </c>
      <c r="D588" s="8">
        <v>44052</v>
      </c>
      <c r="E588" t="s">
        <v>11</v>
      </c>
      <c r="F588" t="s">
        <v>24</v>
      </c>
      <c r="G588" t="s">
        <v>17</v>
      </c>
      <c r="H588" s="9">
        <v>42</v>
      </c>
      <c r="I588" s="9">
        <v>461</v>
      </c>
      <c r="J588" s="10">
        <v>115250</v>
      </c>
      <c r="K588" s="10">
        <v>33422.5</v>
      </c>
      <c r="L588">
        <v>33</v>
      </c>
      <c r="M588" s="8">
        <v>44013</v>
      </c>
      <c r="N588" s="23">
        <v>5.80543554996868E-4</v>
      </c>
      <c r="O588" s="10" t="str">
        <f>IF(Sales_Data[[#This Row],[Total Profit]]&gt;0,"Profitable","Loss")</f>
        <v>Profitable</v>
      </c>
      <c r="P588" s="10" t="str">
        <f>IF(Sales_Data[[#This Row],[Total Profit]]&gt;100000,"High Value",IF(Sales_Data[[#This Row],[Total Profit]]&gt;60000,"Medium","Low"))</f>
        <v>Low</v>
      </c>
      <c r="Q588" s="11" t="str">
        <f>PROPER(Sales_Data[[#This Row],[Month Name]])</f>
        <v>Agosto</v>
      </c>
      <c r="R588" s="11" t="str">
        <f>PROPER(Sales_Data[[#This Row],[Sales Manager]])</f>
        <v>Liam Lee</v>
      </c>
    </row>
    <row r="589" spans="1:18" hidden="1" x14ac:dyDescent="0.25">
      <c r="A589">
        <v>10588</v>
      </c>
      <c r="B589">
        <v>2020</v>
      </c>
      <c r="C589" t="s">
        <v>73</v>
      </c>
      <c r="D589" s="8">
        <v>44053</v>
      </c>
      <c r="E589" t="s">
        <v>14</v>
      </c>
      <c r="F589" t="s">
        <v>16</v>
      </c>
      <c r="G589" t="s">
        <v>23</v>
      </c>
      <c r="H589" s="9">
        <v>9</v>
      </c>
      <c r="I589" s="9">
        <v>346</v>
      </c>
      <c r="J589" s="10">
        <v>121100</v>
      </c>
      <c r="K589" s="10">
        <v>39963</v>
      </c>
      <c r="L589">
        <v>33</v>
      </c>
      <c r="M589" s="8">
        <v>44013</v>
      </c>
      <c r="N589" s="23">
        <v>6.1001149249562397E-4</v>
      </c>
      <c r="O589" s="10" t="str">
        <f>IF(Sales_Data[[#This Row],[Total Profit]]&gt;0,"Profitable","Loss")</f>
        <v>Profitable</v>
      </c>
      <c r="P589" s="10" t="str">
        <f>IF(Sales_Data[[#This Row],[Total Profit]]&gt;100000,"High Value",IF(Sales_Data[[#This Row],[Total Profit]]&gt;60000,"Medium","Low"))</f>
        <v>Low</v>
      </c>
      <c r="Q589" s="11" t="str">
        <f>PROPER(Sales_Data[[#This Row],[Month Name]])</f>
        <v>Agosto</v>
      </c>
      <c r="R589" s="11" t="str">
        <f>PROPER(Sales_Data[[#This Row],[Sales Manager]])</f>
        <v>James Brown</v>
      </c>
    </row>
    <row r="590" spans="1:18" hidden="1" x14ac:dyDescent="0.25">
      <c r="A590">
        <v>10589</v>
      </c>
      <c r="B590">
        <v>2020</v>
      </c>
      <c r="C590" t="s">
        <v>73</v>
      </c>
      <c r="D590" s="8">
        <v>44054</v>
      </c>
      <c r="E590" t="s">
        <v>11</v>
      </c>
      <c r="F590" t="s">
        <v>12</v>
      </c>
      <c r="G590" t="s">
        <v>15</v>
      </c>
      <c r="H590" s="9">
        <v>25</v>
      </c>
      <c r="I590" s="9">
        <v>288</v>
      </c>
      <c r="J590" s="10">
        <v>144000</v>
      </c>
      <c r="K590" s="10">
        <v>28800</v>
      </c>
      <c r="L590">
        <v>33</v>
      </c>
      <c r="M590" s="8">
        <v>44013</v>
      </c>
      <c r="N590" s="23">
        <v>7.2536461535400402E-4</v>
      </c>
      <c r="O590" s="10" t="str">
        <f>IF(Sales_Data[[#This Row],[Total Profit]]&gt;0,"Profitable","Loss")</f>
        <v>Profitable</v>
      </c>
      <c r="P590" s="10" t="str">
        <f>IF(Sales_Data[[#This Row],[Total Profit]]&gt;100000,"High Value",IF(Sales_Data[[#This Row],[Total Profit]]&gt;60000,"Medium","Low"))</f>
        <v>Low</v>
      </c>
      <c r="Q590" s="11" t="str">
        <f>PROPER(Sales_Data[[#This Row],[Month Name]])</f>
        <v>Agosto</v>
      </c>
      <c r="R590" s="11" t="str">
        <f>PROPER(Sales_Data[[#This Row],[Sales Manager]])</f>
        <v>Emily White</v>
      </c>
    </row>
    <row r="591" spans="1:18" hidden="1" x14ac:dyDescent="0.25">
      <c r="A591">
        <v>10590</v>
      </c>
      <c r="B591">
        <v>2020</v>
      </c>
      <c r="C591" t="s">
        <v>73</v>
      </c>
      <c r="D591" s="8">
        <v>44055</v>
      </c>
      <c r="E591" t="s">
        <v>25</v>
      </c>
      <c r="F591" t="s">
        <v>21</v>
      </c>
      <c r="G591" t="s">
        <v>17</v>
      </c>
      <c r="H591" s="9">
        <v>32</v>
      </c>
      <c r="I591" s="9">
        <v>438</v>
      </c>
      <c r="J591" s="10">
        <v>109500</v>
      </c>
      <c r="K591" s="10">
        <v>38325</v>
      </c>
      <c r="L591">
        <v>33</v>
      </c>
      <c r="M591" s="8">
        <v>44013</v>
      </c>
      <c r="N591" s="23">
        <v>5.5157934292544104E-4</v>
      </c>
      <c r="O591" s="10" t="str">
        <f>IF(Sales_Data[[#This Row],[Total Profit]]&gt;0,"Profitable","Loss")</f>
        <v>Profitable</v>
      </c>
      <c r="P591" s="10" t="str">
        <f>IF(Sales_Data[[#This Row],[Total Profit]]&gt;100000,"High Value",IF(Sales_Data[[#This Row],[Total Profit]]&gt;60000,"Medium","Low"))</f>
        <v>Low</v>
      </c>
      <c r="Q591" s="11" t="str">
        <f>PROPER(Sales_Data[[#This Row],[Month Name]])</f>
        <v>Agosto</v>
      </c>
      <c r="R591" s="11" t="str">
        <f>PROPER(Sales_Data[[#This Row],[Sales Manager]])</f>
        <v>John Smith</v>
      </c>
    </row>
    <row r="592" spans="1:18" hidden="1" x14ac:dyDescent="0.25">
      <c r="A592">
        <v>10591</v>
      </c>
      <c r="B592">
        <v>2020</v>
      </c>
      <c r="C592" t="s">
        <v>73</v>
      </c>
      <c r="D592" s="8">
        <v>44056</v>
      </c>
      <c r="E592" t="s">
        <v>19</v>
      </c>
      <c r="F592" t="s">
        <v>21</v>
      </c>
      <c r="G592" t="s">
        <v>23</v>
      </c>
      <c r="H592" s="9">
        <v>8</v>
      </c>
      <c r="I592" s="9">
        <v>231</v>
      </c>
      <c r="J592" s="10">
        <v>80850</v>
      </c>
      <c r="K592" s="10">
        <v>17787</v>
      </c>
      <c r="L592">
        <v>33</v>
      </c>
      <c r="M592" s="8">
        <v>44013</v>
      </c>
      <c r="N592" s="23">
        <v>4.0726200799563403E-4</v>
      </c>
      <c r="O592" s="10" t="str">
        <f>IF(Sales_Data[[#This Row],[Total Profit]]&gt;0,"Profitable","Loss")</f>
        <v>Profitable</v>
      </c>
      <c r="P592" s="10" t="str">
        <f>IF(Sales_Data[[#This Row],[Total Profit]]&gt;100000,"High Value",IF(Sales_Data[[#This Row],[Total Profit]]&gt;60000,"Medium","Low"))</f>
        <v>Low</v>
      </c>
      <c r="Q592" s="11" t="str">
        <f>PROPER(Sales_Data[[#This Row],[Month Name]])</f>
        <v>Agosto</v>
      </c>
      <c r="R592" s="11" t="str">
        <f>PROPER(Sales_Data[[#This Row],[Sales Manager]])</f>
        <v>John Smith</v>
      </c>
    </row>
    <row r="593" spans="1:18" hidden="1" x14ac:dyDescent="0.25">
      <c r="A593">
        <v>10592</v>
      </c>
      <c r="B593">
        <v>2020</v>
      </c>
      <c r="C593" t="s">
        <v>73</v>
      </c>
      <c r="D593" s="8">
        <v>44057</v>
      </c>
      <c r="E593" t="s">
        <v>25</v>
      </c>
      <c r="F593" t="s">
        <v>18</v>
      </c>
      <c r="G593" t="s">
        <v>17</v>
      </c>
      <c r="H593" s="9">
        <v>10</v>
      </c>
      <c r="I593" s="9">
        <v>378</v>
      </c>
      <c r="J593" s="10">
        <v>94500</v>
      </c>
      <c r="K593" s="10">
        <v>28350</v>
      </c>
      <c r="L593">
        <v>33</v>
      </c>
      <c r="M593" s="8">
        <v>44013</v>
      </c>
      <c r="N593" s="23">
        <v>4.7602052882606498E-4</v>
      </c>
      <c r="O593" s="10" t="str">
        <f>IF(Sales_Data[[#This Row],[Total Profit]]&gt;0,"Profitable","Loss")</f>
        <v>Profitable</v>
      </c>
      <c r="P593" s="10" t="str">
        <f>IF(Sales_Data[[#This Row],[Total Profit]]&gt;100000,"High Value",IF(Sales_Data[[#This Row],[Total Profit]]&gt;60000,"Medium","Low"))</f>
        <v>Low</v>
      </c>
      <c r="Q593" s="11" t="str">
        <f>PROPER(Sales_Data[[#This Row],[Month Name]])</f>
        <v>Agosto</v>
      </c>
      <c r="R593" s="11" t="str">
        <f>PROPER(Sales_Data[[#This Row],[Sales Manager]])</f>
        <v>Jane Doe</v>
      </c>
    </row>
    <row r="594" spans="1:18" hidden="1" x14ac:dyDescent="0.25">
      <c r="A594">
        <v>10593</v>
      </c>
      <c r="B594">
        <v>2020</v>
      </c>
      <c r="C594" t="s">
        <v>73</v>
      </c>
      <c r="D594" s="8">
        <v>44058</v>
      </c>
      <c r="E594" t="s">
        <v>11</v>
      </c>
      <c r="F594" t="s">
        <v>24</v>
      </c>
      <c r="G594" t="s">
        <v>13</v>
      </c>
      <c r="H594" s="9">
        <v>8</v>
      </c>
      <c r="I594" s="9">
        <v>484</v>
      </c>
      <c r="J594" s="10">
        <v>363000</v>
      </c>
      <c r="K594" s="10">
        <v>58080</v>
      </c>
      <c r="L594">
        <v>33</v>
      </c>
      <c r="M594" s="8">
        <v>44013</v>
      </c>
      <c r="N594" s="23">
        <v>1.8285233012048901E-3</v>
      </c>
      <c r="O594" s="10" t="str">
        <f>IF(Sales_Data[[#This Row],[Total Profit]]&gt;0,"Profitable","Loss")</f>
        <v>Profitable</v>
      </c>
      <c r="P594" s="10" t="str">
        <f>IF(Sales_Data[[#This Row],[Total Profit]]&gt;100000,"High Value",IF(Sales_Data[[#This Row],[Total Profit]]&gt;60000,"Medium","Low"))</f>
        <v>Low</v>
      </c>
      <c r="Q594" s="11" t="str">
        <f>PROPER(Sales_Data[[#This Row],[Month Name]])</f>
        <v>Agosto</v>
      </c>
      <c r="R594" s="11" t="str">
        <f>PROPER(Sales_Data[[#This Row],[Sales Manager]])</f>
        <v>Liam Lee</v>
      </c>
    </row>
    <row r="595" spans="1:18" hidden="1" x14ac:dyDescent="0.25">
      <c r="A595">
        <v>10594</v>
      </c>
      <c r="B595">
        <v>2020</v>
      </c>
      <c r="C595" t="s">
        <v>73</v>
      </c>
      <c r="D595" s="8">
        <v>44059</v>
      </c>
      <c r="E595" t="s">
        <v>11</v>
      </c>
      <c r="F595" t="s">
        <v>12</v>
      </c>
      <c r="G595" t="s">
        <v>20</v>
      </c>
      <c r="H595" s="9">
        <v>9</v>
      </c>
      <c r="I595" s="9">
        <v>355</v>
      </c>
      <c r="J595" s="10">
        <v>301750</v>
      </c>
      <c r="K595" s="10">
        <v>39227.5</v>
      </c>
      <c r="L595">
        <v>34</v>
      </c>
      <c r="M595" s="8">
        <v>44013</v>
      </c>
      <c r="N595" s="23">
        <v>1.5199914769657701E-3</v>
      </c>
      <c r="O595" s="10" t="str">
        <f>IF(Sales_Data[[#This Row],[Total Profit]]&gt;0,"Profitable","Loss")</f>
        <v>Profitable</v>
      </c>
      <c r="P595" s="10" t="str">
        <f>IF(Sales_Data[[#This Row],[Total Profit]]&gt;100000,"High Value",IF(Sales_Data[[#This Row],[Total Profit]]&gt;60000,"Medium","Low"))</f>
        <v>Low</v>
      </c>
      <c r="Q595" s="11" t="str">
        <f>PROPER(Sales_Data[[#This Row],[Month Name]])</f>
        <v>Agosto</v>
      </c>
      <c r="R595" s="11" t="str">
        <f>PROPER(Sales_Data[[#This Row],[Sales Manager]])</f>
        <v>Emily White</v>
      </c>
    </row>
    <row r="596" spans="1:18" hidden="1" x14ac:dyDescent="0.25">
      <c r="A596">
        <v>10595</v>
      </c>
      <c r="B596">
        <v>2020</v>
      </c>
      <c r="C596" t="s">
        <v>73</v>
      </c>
      <c r="D596" s="8">
        <v>44060</v>
      </c>
      <c r="E596" t="s">
        <v>11</v>
      </c>
      <c r="F596" t="s">
        <v>16</v>
      </c>
      <c r="G596" t="s">
        <v>13</v>
      </c>
      <c r="H596" s="9">
        <v>1</v>
      </c>
      <c r="I596" s="9">
        <v>19</v>
      </c>
      <c r="J596" s="10">
        <v>14250</v>
      </c>
      <c r="K596" s="10">
        <v>4132.5</v>
      </c>
      <c r="L596">
        <v>34</v>
      </c>
      <c r="M596" s="8">
        <v>44013</v>
      </c>
      <c r="N596" s="23">
        <v>7.1780873394406704E-5</v>
      </c>
      <c r="O596" s="10" t="str">
        <f>IF(Sales_Data[[#This Row],[Total Profit]]&gt;0,"Profitable","Loss")</f>
        <v>Profitable</v>
      </c>
      <c r="P596" s="10" t="str">
        <f>IF(Sales_Data[[#This Row],[Total Profit]]&gt;100000,"High Value",IF(Sales_Data[[#This Row],[Total Profit]]&gt;60000,"Medium","Low"))</f>
        <v>Low</v>
      </c>
      <c r="Q596" s="11" t="str">
        <f>PROPER(Sales_Data[[#This Row],[Month Name]])</f>
        <v>Agosto</v>
      </c>
      <c r="R596" s="11" t="str">
        <f>PROPER(Sales_Data[[#This Row],[Sales Manager]])</f>
        <v>James Brown</v>
      </c>
    </row>
    <row r="597" spans="1:18" hidden="1" x14ac:dyDescent="0.25">
      <c r="A597">
        <v>10596</v>
      </c>
      <c r="B597">
        <v>2020</v>
      </c>
      <c r="C597" t="s">
        <v>73</v>
      </c>
      <c r="D597" s="8">
        <v>44061</v>
      </c>
      <c r="E597" t="s">
        <v>22</v>
      </c>
      <c r="F597" t="s">
        <v>18</v>
      </c>
      <c r="G597" t="s">
        <v>17</v>
      </c>
      <c r="H597" s="9">
        <v>5</v>
      </c>
      <c r="I597" s="9">
        <v>81</v>
      </c>
      <c r="J597" s="10">
        <v>20250</v>
      </c>
      <c r="K597" s="10">
        <v>8302.5</v>
      </c>
      <c r="L597">
        <v>34</v>
      </c>
      <c r="M597" s="8">
        <v>44013</v>
      </c>
      <c r="N597" s="23">
        <v>1.02004399034157E-4</v>
      </c>
      <c r="O597" s="10" t="str">
        <f>IF(Sales_Data[[#This Row],[Total Profit]]&gt;0,"Profitable","Loss")</f>
        <v>Profitable</v>
      </c>
      <c r="P597" s="10" t="str">
        <f>IF(Sales_Data[[#This Row],[Total Profit]]&gt;100000,"High Value",IF(Sales_Data[[#This Row],[Total Profit]]&gt;60000,"Medium","Low"))</f>
        <v>Low</v>
      </c>
      <c r="Q597" s="11" t="str">
        <f>PROPER(Sales_Data[[#This Row],[Month Name]])</f>
        <v>Agosto</v>
      </c>
      <c r="R597" s="11" t="str">
        <f>PROPER(Sales_Data[[#This Row],[Sales Manager]])</f>
        <v>Jane Doe</v>
      </c>
    </row>
    <row r="598" spans="1:18" hidden="1" x14ac:dyDescent="0.25">
      <c r="A598">
        <v>10597</v>
      </c>
      <c r="B598">
        <v>2020</v>
      </c>
      <c r="C598" t="s">
        <v>73</v>
      </c>
      <c r="D598" s="8">
        <v>44062</v>
      </c>
      <c r="E598" t="s">
        <v>19</v>
      </c>
      <c r="F598" t="s">
        <v>18</v>
      </c>
      <c r="G598" t="s">
        <v>15</v>
      </c>
      <c r="H598" s="9">
        <v>3</v>
      </c>
      <c r="I598" s="9">
        <v>241</v>
      </c>
      <c r="J598" s="10">
        <v>120500</v>
      </c>
      <c r="K598" s="10">
        <v>14460</v>
      </c>
      <c r="L598">
        <v>34</v>
      </c>
      <c r="M598" s="8">
        <v>44013</v>
      </c>
      <c r="N598" s="23">
        <v>6.0698913993164998E-4</v>
      </c>
      <c r="O598" s="10" t="str">
        <f>IF(Sales_Data[[#This Row],[Total Profit]]&gt;0,"Profitable","Loss")</f>
        <v>Profitable</v>
      </c>
      <c r="P598" s="10" t="str">
        <f>IF(Sales_Data[[#This Row],[Total Profit]]&gt;100000,"High Value",IF(Sales_Data[[#This Row],[Total Profit]]&gt;60000,"Medium","Low"))</f>
        <v>Low</v>
      </c>
      <c r="Q598" s="11" t="str">
        <f>PROPER(Sales_Data[[#This Row],[Month Name]])</f>
        <v>Agosto</v>
      </c>
      <c r="R598" s="11" t="str">
        <f>PROPER(Sales_Data[[#This Row],[Sales Manager]])</f>
        <v>Jane Doe</v>
      </c>
    </row>
    <row r="599" spans="1:18" hidden="1" x14ac:dyDescent="0.25">
      <c r="A599">
        <v>10598</v>
      </c>
      <c r="B599">
        <v>2020</v>
      </c>
      <c r="C599" t="s">
        <v>73</v>
      </c>
      <c r="D599" s="8">
        <v>44063</v>
      </c>
      <c r="E599" t="s">
        <v>25</v>
      </c>
      <c r="F599" t="s">
        <v>16</v>
      </c>
      <c r="G599" t="s">
        <v>23</v>
      </c>
      <c r="H599" s="9">
        <v>2</v>
      </c>
      <c r="I599" s="9">
        <v>33</v>
      </c>
      <c r="J599" s="10">
        <v>11550</v>
      </c>
      <c r="K599" s="10">
        <v>3465</v>
      </c>
      <c r="L599">
        <v>34</v>
      </c>
      <c r="M599" s="8">
        <v>44013</v>
      </c>
      <c r="N599" s="23">
        <v>5.8180286856519097E-5</v>
      </c>
      <c r="O599" s="10" t="str">
        <f>IF(Sales_Data[[#This Row],[Total Profit]]&gt;0,"Profitable","Loss")</f>
        <v>Profitable</v>
      </c>
      <c r="P599" s="10" t="str">
        <f>IF(Sales_Data[[#This Row],[Total Profit]]&gt;100000,"High Value",IF(Sales_Data[[#This Row],[Total Profit]]&gt;60000,"Medium","Low"))</f>
        <v>Low</v>
      </c>
      <c r="Q599" s="11" t="str">
        <f>PROPER(Sales_Data[[#This Row],[Month Name]])</f>
        <v>Agosto</v>
      </c>
      <c r="R599" s="11" t="str">
        <f>PROPER(Sales_Data[[#This Row],[Sales Manager]])</f>
        <v>James Brown</v>
      </c>
    </row>
    <row r="600" spans="1:18" hidden="1" x14ac:dyDescent="0.25">
      <c r="A600">
        <v>10599</v>
      </c>
      <c r="B600">
        <v>2020</v>
      </c>
      <c r="C600" t="s">
        <v>73</v>
      </c>
      <c r="D600" s="8">
        <v>44064</v>
      </c>
      <c r="E600" t="s">
        <v>22</v>
      </c>
      <c r="F600" t="s">
        <v>18</v>
      </c>
      <c r="G600" t="s">
        <v>20</v>
      </c>
      <c r="H600" s="9">
        <v>3</v>
      </c>
      <c r="I600" s="9">
        <v>187</v>
      </c>
      <c r="J600" s="10">
        <v>158950</v>
      </c>
      <c r="K600" s="10">
        <v>38148</v>
      </c>
      <c r="L600">
        <v>34</v>
      </c>
      <c r="M600" s="8">
        <v>44013</v>
      </c>
      <c r="N600" s="23">
        <v>8.0067156673971503E-4</v>
      </c>
      <c r="O600" s="10" t="str">
        <f>IF(Sales_Data[[#This Row],[Total Profit]]&gt;0,"Profitable","Loss")</f>
        <v>Profitable</v>
      </c>
      <c r="P600" s="10" t="str">
        <f>IF(Sales_Data[[#This Row],[Total Profit]]&gt;100000,"High Value",IF(Sales_Data[[#This Row],[Total Profit]]&gt;60000,"Medium","Low"))</f>
        <v>Low</v>
      </c>
      <c r="Q600" s="11" t="str">
        <f>PROPER(Sales_Data[[#This Row],[Month Name]])</f>
        <v>Agosto</v>
      </c>
      <c r="R600" s="11" t="str">
        <f>PROPER(Sales_Data[[#This Row],[Sales Manager]])</f>
        <v>Jane Doe</v>
      </c>
    </row>
    <row r="601" spans="1:18" hidden="1" x14ac:dyDescent="0.25">
      <c r="A601">
        <v>10600</v>
      </c>
      <c r="B601">
        <v>2020</v>
      </c>
      <c r="C601" t="s">
        <v>73</v>
      </c>
      <c r="D601" s="8">
        <v>44065</v>
      </c>
      <c r="E601" t="s">
        <v>14</v>
      </c>
      <c r="F601" t="s">
        <v>21</v>
      </c>
      <c r="G601" t="s">
        <v>13</v>
      </c>
      <c r="H601" s="9">
        <v>31</v>
      </c>
      <c r="I601" s="9">
        <v>386</v>
      </c>
      <c r="J601" s="10">
        <v>289500</v>
      </c>
      <c r="K601" s="10">
        <v>52110</v>
      </c>
      <c r="L601">
        <v>34</v>
      </c>
      <c r="M601" s="8">
        <v>44013</v>
      </c>
      <c r="N601" s="23">
        <v>1.45828511211795E-3</v>
      </c>
      <c r="O601" s="10" t="str">
        <f>IF(Sales_Data[[#This Row],[Total Profit]]&gt;0,"Profitable","Loss")</f>
        <v>Profitable</v>
      </c>
      <c r="P601" s="10" t="str">
        <f>IF(Sales_Data[[#This Row],[Total Profit]]&gt;100000,"High Value",IF(Sales_Data[[#This Row],[Total Profit]]&gt;60000,"Medium","Low"))</f>
        <v>Low</v>
      </c>
      <c r="Q601" s="11" t="str">
        <f>PROPER(Sales_Data[[#This Row],[Month Name]])</f>
        <v>Agosto</v>
      </c>
      <c r="R601" s="11" t="str">
        <f>PROPER(Sales_Data[[#This Row],[Sales Manager]])</f>
        <v>John Smith</v>
      </c>
    </row>
    <row r="602" spans="1:18" hidden="1" x14ac:dyDescent="0.25">
      <c r="A602">
        <v>10601</v>
      </c>
      <c r="B602">
        <v>2020</v>
      </c>
      <c r="C602" t="s">
        <v>73</v>
      </c>
      <c r="D602" s="8">
        <v>44066</v>
      </c>
      <c r="E602" t="s">
        <v>14</v>
      </c>
      <c r="F602" t="s">
        <v>16</v>
      </c>
      <c r="G602" t="s">
        <v>17</v>
      </c>
      <c r="H602" s="9">
        <v>5</v>
      </c>
      <c r="I602" s="9">
        <v>315</v>
      </c>
      <c r="J602" s="10">
        <v>78750</v>
      </c>
      <c r="K602" s="10">
        <v>23625</v>
      </c>
      <c r="L602">
        <v>35</v>
      </c>
      <c r="M602" s="8">
        <v>44013</v>
      </c>
      <c r="N602" s="23">
        <v>3.9668377402172101E-4</v>
      </c>
      <c r="O602" s="10" t="str">
        <f>IF(Sales_Data[[#This Row],[Total Profit]]&gt;0,"Profitable","Loss")</f>
        <v>Profitable</v>
      </c>
      <c r="P602" s="10" t="str">
        <f>IF(Sales_Data[[#This Row],[Total Profit]]&gt;100000,"High Value",IF(Sales_Data[[#This Row],[Total Profit]]&gt;60000,"Medium","Low"))</f>
        <v>Low</v>
      </c>
      <c r="Q602" s="11" t="str">
        <f>PROPER(Sales_Data[[#This Row],[Month Name]])</f>
        <v>Agosto</v>
      </c>
      <c r="R602" s="11" t="str">
        <f>PROPER(Sales_Data[[#This Row],[Sales Manager]])</f>
        <v>James Brown</v>
      </c>
    </row>
    <row r="603" spans="1:18" hidden="1" x14ac:dyDescent="0.25">
      <c r="A603">
        <v>10602</v>
      </c>
      <c r="B603">
        <v>2020</v>
      </c>
      <c r="C603" t="s">
        <v>73</v>
      </c>
      <c r="D603" s="8">
        <v>44067</v>
      </c>
      <c r="E603" t="s">
        <v>19</v>
      </c>
      <c r="F603" t="s">
        <v>18</v>
      </c>
      <c r="G603" t="s">
        <v>13</v>
      </c>
      <c r="H603" s="9">
        <v>2</v>
      </c>
      <c r="I603" s="9">
        <v>83</v>
      </c>
      <c r="J603" s="10">
        <v>62250</v>
      </c>
      <c r="K603" s="10">
        <v>28012.5</v>
      </c>
      <c r="L603">
        <v>35</v>
      </c>
      <c r="M603" s="8">
        <v>44013</v>
      </c>
      <c r="N603" s="23">
        <v>3.1356907851240798E-4</v>
      </c>
      <c r="O603" s="10" t="str">
        <f>IF(Sales_Data[[#This Row],[Total Profit]]&gt;0,"Profitable","Loss")</f>
        <v>Profitable</v>
      </c>
      <c r="P603" s="10" t="str">
        <f>IF(Sales_Data[[#This Row],[Total Profit]]&gt;100000,"High Value",IF(Sales_Data[[#This Row],[Total Profit]]&gt;60000,"Medium","Low"))</f>
        <v>Low</v>
      </c>
      <c r="Q603" s="11" t="str">
        <f>PROPER(Sales_Data[[#This Row],[Month Name]])</f>
        <v>Agosto</v>
      </c>
      <c r="R603" s="11" t="str">
        <f>PROPER(Sales_Data[[#This Row],[Sales Manager]])</f>
        <v>Jane Doe</v>
      </c>
    </row>
    <row r="604" spans="1:18" hidden="1" x14ac:dyDescent="0.25">
      <c r="A604">
        <v>10603</v>
      </c>
      <c r="B604">
        <v>2020</v>
      </c>
      <c r="C604" t="s">
        <v>73</v>
      </c>
      <c r="D604" s="8">
        <v>44068</v>
      </c>
      <c r="E604" t="s">
        <v>25</v>
      </c>
      <c r="F604" t="s">
        <v>18</v>
      </c>
      <c r="G604" t="s">
        <v>13</v>
      </c>
      <c r="H604" s="9">
        <v>22</v>
      </c>
      <c r="I604" s="9">
        <v>357</v>
      </c>
      <c r="J604" s="10">
        <v>267750</v>
      </c>
      <c r="K604" s="10">
        <v>112455</v>
      </c>
      <c r="L604">
        <v>35</v>
      </c>
      <c r="M604" s="8">
        <v>44013</v>
      </c>
      <c r="N604" s="23">
        <v>1.3487248316738499E-3</v>
      </c>
      <c r="O604" s="10" t="str">
        <f>IF(Sales_Data[[#This Row],[Total Profit]]&gt;0,"Profitable","Loss")</f>
        <v>Profitable</v>
      </c>
      <c r="P604" s="10" t="str">
        <f>IF(Sales_Data[[#This Row],[Total Profit]]&gt;100000,"High Value",IF(Sales_Data[[#This Row],[Total Profit]]&gt;60000,"Medium","Low"))</f>
        <v>High Value</v>
      </c>
      <c r="Q604" s="11" t="str">
        <f>PROPER(Sales_Data[[#This Row],[Month Name]])</f>
        <v>Agosto</v>
      </c>
      <c r="R604" s="11" t="str">
        <f>PROPER(Sales_Data[[#This Row],[Sales Manager]])</f>
        <v>Jane Doe</v>
      </c>
    </row>
    <row r="605" spans="1:18" hidden="1" x14ac:dyDescent="0.25">
      <c r="A605">
        <v>10604</v>
      </c>
      <c r="B605">
        <v>2020</v>
      </c>
      <c r="C605" t="s">
        <v>73</v>
      </c>
      <c r="D605" s="8">
        <v>44069</v>
      </c>
      <c r="E605" t="s">
        <v>11</v>
      </c>
      <c r="F605" t="s">
        <v>18</v>
      </c>
      <c r="G605" t="s">
        <v>23</v>
      </c>
      <c r="H605" s="9">
        <v>26</v>
      </c>
      <c r="I605" s="9">
        <v>465</v>
      </c>
      <c r="J605" s="10">
        <v>162750</v>
      </c>
      <c r="K605" s="10">
        <v>34177.5</v>
      </c>
      <c r="L605">
        <v>35</v>
      </c>
      <c r="M605" s="8">
        <v>44013</v>
      </c>
      <c r="N605" s="23">
        <v>8.1981313297822399E-4</v>
      </c>
      <c r="O605" s="10" t="str">
        <f>IF(Sales_Data[[#This Row],[Total Profit]]&gt;0,"Profitable","Loss")</f>
        <v>Profitable</v>
      </c>
      <c r="P605" s="10" t="str">
        <f>IF(Sales_Data[[#This Row],[Total Profit]]&gt;100000,"High Value",IF(Sales_Data[[#This Row],[Total Profit]]&gt;60000,"Medium","Low"))</f>
        <v>Low</v>
      </c>
      <c r="Q605" s="11" t="str">
        <f>PROPER(Sales_Data[[#This Row],[Month Name]])</f>
        <v>Agosto</v>
      </c>
      <c r="R605" s="11" t="str">
        <f>PROPER(Sales_Data[[#This Row],[Sales Manager]])</f>
        <v>Jane Doe</v>
      </c>
    </row>
    <row r="606" spans="1:18" hidden="1" x14ac:dyDescent="0.25">
      <c r="A606">
        <v>10605</v>
      </c>
      <c r="B606">
        <v>2020</v>
      </c>
      <c r="C606" t="s">
        <v>73</v>
      </c>
      <c r="D606" s="8">
        <v>44070</v>
      </c>
      <c r="E606" t="s">
        <v>19</v>
      </c>
      <c r="F606" t="s">
        <v>18</v>
      </c>
      <c r="G606" t="s">
        <v>20</v>
      </c>
      <c r="H606" s="9">
        <v>18</v>
      </c>
      <c r="I606" s="9">
        <v>355</v>
      </c>
      <c r="J606" s="10">
        <v>301750</v>
      </c>
      <c r="K606" s="10">
        <v>45262.5</v>
      </c>
      <c r="L606">
        <v>35</v>
      </c>
      <c r="M606" s="8">
        <v>44013</v>
      </c>
      <c r="N606" s="23">
        <v>1.5199914769657701E-3</v>
      </c>
      <c r="O606" s="10" t="str">
        <f>IF(Sales_Data[[#This Row],[Total Profit]]&gt;0,"Profitable","Loss")</f>
        <v>Profitable</v>
      </c>
      <c r="P606" s="10" t="str">
        <f>IF(Sales_Data[[#This Row],[Total Profit]]&gt;100000,"High Value",IF(Sales_Data[[#This Row],[Total Profit]]&gt;60000,"Medium","Low"))</f>
        <v>Low</v>
      </c>
      <c r="Q606" s="11" t="str">
        <f>PROPER(Sales_Data[[#This Row],[Month Name]])</f>
        <v>Agosto</v>
      </c>
      <c r="R606" s="11" t="str">
        <f>PROPER(Sales_Data[[#This Row],[Sales Manager]])</f>
        <v>Jane Doe</v>
      </c>
    </row>
    <row r="607" spans="1:18" hidden="1" x14ac:dyDescent="0.25">
      <c r="A607">
        <v>10606</v>
      </c>
      <c r="B607">
        <v>2020</v>
      </c>
      <c r="C607" t="s">
        <v>73</v>
      </c>
      <c r="D607" s="8">
        <v>44071</v>
      </c>
      <c r="E607" t="s">
        <v>14</v>
      </c>
      <c r="F607" t="s">
        <v>18</v>
      </c>
      <c r="G607" t="s">
        <v>20</v>
      </c>
      <c r="H607" s="9">
        <v>4</v>
      </c>
      <c r="I607" s="9">
        <v>45</v>
      </c>
      <c r="J607" s="10">
        <v>38250</v>
      </c>
      <c r="K607" s="10">
        <v>9945</v>
      </c>
      <c r="L607">
        <v>35</v>
      </c>
      <c r="M607" s="8">
        <v>44013</v>
      </c>
      <c r="N607" s="23">
        <v>1.92674975953407E-4</v>
      </c>
      <c r="O607" s="10" t="str">
        <f>IF(Sales_Data[[#This Row],[Total Profit]]&gt;0,"Profitable","Loss")</f>
        <v>Profitable</v>
      </c>
      <c r="P607" s="10" t="str">
        <f>IF(Sales_Data[[#This Row],[Total Profit]]&gt;100000,"High Value",IF(Sales_Data[[#This Row],[Total Profit]]&gt;60000,"Medium","Low"))</f>
        <v>Low</v>
      </c>
      <c r="Q607" s="11" t="str">
        <f>PROPER(Sales_Data[[#This Row],[Month Name]])</f>
        <v>Agosto</v>
      </c>
      <c r="R607" s="11" t="str">
        <f>PROPER(Sales_Data[[#This Row],[Sales Manager]])</f>
        <v>Jane Doe</v>
      </c>
    </row>
    <row r="608" spans="1:18" hidden="1" x14ac:dyDescent="0.25">
      <c r="A608">
        <v>10607</v>
      </c>
      <c r="B608">
        <v>2020</v>
      </c>
      <c r="C608" t="s">
        <v>73</v>
      </c>
      <c r="D608" s="8">
        <v>44072</v>
      </c>
      <c r="E608" t="s">
        <v>19</v>
      </c>
      <c r="F608" t="s">
        <v>21</v>
      </c>
      <c r="G608" t="s">
        <v>23</v>
      </c>
      <c r="H608" s="9">
        <v>9</v>
      </c>
      <c r="I608" s="9">
        <v>102</v>
      </c>
      <c r="J608" s="10">
        <v>35700</v>
      </c>
      <c r="K608" s="10">
        <v>8568</v>
      </c>
      <c r="L608">
        <v>35</v>
      </c>
      <c r="M608" s="8">
        <v>44013</v>
      </c>
      <c r="N608" s="23">
        <v>1.7982997755651401E-4</v>
      </c>
      <c r="O608" s="10" t="str">
        <f>IF(Sales_Data[[#This Row],[Total Profit]]&gt;0,"Profitable","Loss")</f>
        <v>Profitable</v>
      </c>
      <c r="P608" s="10" t="str">
        <f>IF(Sales_Data[[#This Row],[Total Profit]]&gt;100000,"High Value",IF(Sales_Data[[#This Row],[Total Profit]]&gt;60000,"Medium","Low"))</f>
        <v>Low</v>
      </c>
      <c r="Q608" s="11" t="str">
        <f>PROPER(Sales_Data[[#This Row],[Month Name]])</f>
        <v>Agosto</v>
      </c>
      <c r="R608" s="11" t="str">
        <f>PROPER(Sales_Data[[#This Row],[Sales Manager]])</f>
        <v>John Smith</v>
      </c>
    </row>
    <row r="609" spans="1:18" hidden="1" x14ac:dyDescent="0.25">
      <c r="A609">
        <v>10608</v>
      </c>
      <c r="B609">
        <v>2020</v>
      </c>
      <c r="C609" t="s">
        <v>73</v>
      </c>
      <c r="D609" s="8">
        <v>44073</v>
      </c>
      <c r="E609" t="s">
        <v>22</v>
      </c>
      <c r="F609" t="s">
        <v>12</v>
      </c>
      <c r="G609" t="s">
        <v>15</v>
      </c>
      <c r="H609" s="9">
        <v>35</v>
      </c>
      <c r="I609" s="9">
        <v>440</v>
      </c>
      <c r="J609" s="10">
        <v>220000</v>
      </c>
      <c r="K609" s="10">
        <v>44000</v>
      </c>
      <c r="L609">
        <v>36</v>
      </c>
      <c r="M609" s="8">
        <v>44013</v>
      </c>
      <c r="N609" s="23">
        <v>1.1081959401241701E-3</v>
      </c>
      <c r="O609" s="10" t="str">
        <f>IF(Sales_Data[[#This Row],[Total Profit]]&gt;0,"Profitable","Loss")</f>
        <v>Profitable</v>
      </c>
      <c r="P609" s="10" t="str">
        <f>IF(Sales_Data[[#This Row],[Total Profit]]&gt;100000,"High Value",IF(Sales_Data[[#This Row],[Total Profit]]&gt;60000,"Medium","Low"))</f>
        <v>Low</v>
      </c>
      <c r="Q609" s="11" t="str">
        <f>PROPER(Sales_Data[[#This Row],[Month Name]])</f>
        <v>Agosto</v>
      </c>
      <c r="R609" s="11" t="str">
        <f>PROPER(Sales_Data[[#This Row],[Sales Manager]])</f>
        <v>Emily White</v>
      </c>
    </row>
    <row r="610" spans="1:18" hidden="1" x14ac:dyDescent="0.25">
      <c r="A610">
        <v>10609</v>
      </c>
      <c r="B610">
        <v>2020</v>
      </c>
      <c r="C610" t="s">
        <v>73</v>
      </c>
      <c r="D610" s="8">
        <v>44074</v>
      </c>
      <c r="E610" t="s">
        <v>22</v>
      </c>
      <c r="F610" t="s">
        <v>16</v>
      </c>
      <c r="G610" t="s">
        <v>23</v>
      </c>
      <c r="H610" s="9">
        <v>6</v>
      </c>
      <c r="I610" s="9">
        <v>96</v>
      </c>
      <c r="J610" s="10">
        <v>33600</v>
      </c>
      <c r="K610" s="10">
        <v>12096</v>
      </c>
      <c r="L610">
        <v>36</v>
      </c>
      <c r="M610" s="8">
        <v>44013</v>
      </c>
      <c r="N610" s="23">
        <v>1.6925174358260099E-4</v>
      </c>
      <c r="O610" s="10" t="str">
        <f>IF(Sales_Data[[#This Row],[Total Profit]]&gt;0,"Profitable","Loss")</f>
        <v>Profitable</v>
      </c>
      <c r="P610" s="10" t="str">
        <f>IF(Sales_Data[[#This Row],[Total Profit]]&gt;100000,"High Value",IF(Sales_Data[[#This Row],[Total Profit]]&gt;60000,"Medium","Low"))</f>
        <v>Low</v>
      </c>
      <c r="Q610" s="11" t="str">
        <f>PROPER(Sales_Data[[#This Row],[Month Name]])</f>
        <v>Agosto</v>
      </c>
      <c r="R610" s="11" t="str">
        <f>PROPER(Sales_Data[[#This Row],[Sales Manager]])</f>
        <v>James Brown</v>
      </c>
    </row>
    <row r="611" spans="1:18" hidden="1" x14ac:dyDescent="0.25">
      <c r="A611">
        <v>10610</v>
      </c>
      <c r="B611">
        <v>2020</v>
      </c>
      <c r="C611" t="s">
        <v>74</v>
      </c>
      <c r="D611" s="8">
        <v>44075</v>
      </c>
      <c r="E611" t="s">
        <v>19</v>
      </c>
      <c r="F611" t="s">
        <v>16</v>
      </c>
      <c r="G611" t="s">
        <v>23</v>
      </c>
      <c r="H611" s="9">
        <v>5</v>
      </c>
      <c r="I611" s="9">
        <v>207</v>
      </c>
      <c r="J611" s="10">
        <v>72450</v>
      </c>
      <c r="K611" s="10">
        <v>25357.5</v>
      </c>
      <c r="L611">
        <v>36</v>
      </c>
      <c r="M611" s="8">
        <v>44013</v>
      </c>
      <c r="N611" s="23">
        <v>3.6494907209998402E-4</v>
      </c>
      <c r="O611" s="10" t="str">
        <f>IF(Sales_Data[[#This Row],[Total Profit]]&gt;0,"Profitable","Loss")</f>
        <v>Profitable</v>
      </c>
      <c r="P611" s="10" t="str">
        <f>IF(Sales_Data[[#This Row],[Total Profit]]&gt;100000,"High Value",IF(Sales_Data[[#This Row],[Total Profit]]&gt;60000,"Medium","Low"))</f>
        <v>Low</v>
      </c>
      <c r="Q611" s="11" t="str">
        <f>PROPER(Sales_Data[[#This Row],[Month Name]])</f>
        <v>Setembro</v>
      </c>
      <c r="R611" s="11" t="str">
        <f>PROPER(Sales_Data[[#This Row],[Sales Manager]])</f>
        <v>James Brown</v>
      </c>
    </row>
    <row r="612" spans="1:18" hidden="1" x14ac:dyDescent="0.25">
      <c r="A612">
        <v>10611</v>
      </c>
      <c r="B612">
        <v>2020</v>
      </c>
      <c r="C612" t="s">
        <v>74</v>
      </c>
      <c r="D612" s="8">
        <v>44076</v>
      </c>
      <c r="E612" t="s">
        <v>19</v>
      </c>
      <c r="F612" t="s">
        <v>21</v>
      </c>
      <c r="G612" t="s">
        <v>17</v>
      </c>
      <c r="H612" s="9">
        <v>16</v>
      </c>
      <c r="I612" s="9">
        <v>173</v>
      </c>
      <c r="J612" s="10">
        <v>43250</v>
      </c>
      <c r="K612" s="10">
        <v>4325</v>
      </c>
      <c r="L612">
        <v>36</v>
      </c>
      <c r="M612" s="8">
        <v>44013</v>
      </c>
      <c r="N612" s="23">
        <v>2.17861247319866E-4</v>
      </c>
      <c r="O612" s="10" t="str">
        <f>IF(Sales_Data[[#This Row],[Total Profit]]&gt;0,"Profitable","Loss")</f>
        <v>Profitable</v>
      </c>
      <c r="P612" s="10" t="str">
        <f>IF(Sales_Data[[#This Row],[Total Profit]]&gt;100000,"High Value",IF(Sales_Data[[#This Row],[Total Profit]]&gt;60000,"Medium","Low"))</f>
        <v>Low</v>
      </c>
      <c r="Q612" s="11" t="str">
        <f>PROPER(Sales_Data[[#This Row],[Month Name]])</f>
        <v>Setembro</v>
      </c>
      <c r="R612" s="11" t="str">
        <f>PROPER(Sales_Data[[#This Row],[Sales Manager]])</f>
        <v>John Smith</v>
      </c>
    </row>
    <row r="613" spans="1:18" hidden="1" x14ac:dyDescent="0.25">
      <c r="A613">
        <v>10612</v>
      </c>
      <c r="B613">
        <v>2020</v>
      </c>
      <c r="C613" t="s">
        <v>74</v>
      </c>
      <c r="D613" s="8">
        <v>44077</v>
      </c>
      <c r="E613" t="s">
        <v>14</v>
      </c>
      <c r="F613" t="s">
        <v>12</v>
      </c>
      <c r="G613" t="s">
        <v>13</v>
      </c>
      <c r="H613" s="9">
        <v>5</v>
      </c>
      <c r="I613" s="9">
        <v>169</v>
      </c>
      <c r="J613" s="10">
        <v>126750</v>
      </c>
      <c r="K613" s="10">
        <v>46897.5</v>
      </c>
      <c r="L613">
        <v>36</v>
      </c>
      <c r="M613" s="8">
        <v>44013</v>
      </c>
      <c r="N613" s="23">
        <v>6.3847197913972302E-4</v>
      </c>
      <c r="O613" s="10" t="str">
        <f>IF(Sales_Data[[#This Row],[Total Profit]]&gt;0,"Profitable","Loss")</f>
        <v>Profitable</v>
      </c>
      <c r="P613" s="10" t="str">
        <f>IF(Sales_Data[[#This Row],[Total Profit]]&gt;100000,"High Value",IF(Sales_Data[[#This Row],[Total Profit]]&gt;60000,"Medium","Low"))</f>
        <v>Low</v>
      </c>
      <c r="Q613" s="11" t="str">
        <f>PROPER(Sales_Data[[#This Row],[Month Name]])</f>
        <v>Setembro</v>
      </c>
      <c r="R613" s="11" t="str">
        <f>PROPER(Sales_Data[[#This Row],[Sales Manager]])</f>
        <v>Emily White</v>
      </c>
    </row>
    <row r="614" spans="1:18" hidden="1" x14ac:dyDescent="0.25">
      <c r="A614">
        <v>10613</v>
      </c>
      <c r="B614">
        <v>2020</v>
      </c>
      <c r="C614" t="s">
        <v>74</v>
      </c>
      <c r="D614" s="8">
        <v>44078</v>
      </c>
      <c r="E614" t="s">
        <v>25</v>
      </c>
      <c r="F614" t="s">
        <v>21</v>
      </c>
      <c r="G614" t="s">
        <v>17</v>
      </c>
      <c r="H614" s="9">
        <v>20</v>
      </c>
      <c r="I614" s="9">
        <v>337</v>
      </c>
      <c r="J614" s="10">
        <v>84250</v>
      </c>
      <c r="K614" s="10">
        <v>10110</v>
      </c>
      <c r="L614">
        <v>36</v>
      </c>
      <c r="M614" s="8">
        <v>44013</v>
      </c>
      <c r="N614" s="23">
        <v>4.2438867252482602E-4</v>
      </c>
      <c r="O614" s="10" t="str">
        <f>IF(Sales_Data[[#This Row],[Total Profit]]&gt;0,"Profitable","Loss")</f>
        <v>Profitable</v>
      </c>
      <c r="P614" s="10" t="str">
        <f>IF(Sales_Data[[#This Row],[Total Profit]]&gt;100000,"High Value",IF(Sales_Data[[#This Row],[Total Profit]]&gt;60000,"Medium","Low"))</f>
        <v>Low</v>
      </c>
      <c r="Q614" s="11" t="str">
        <f>PROPER(Sales_Data[[#This Row],[Month Name]])</f>
        <v>Setembro</v>
      </c>
      <c r="R614" s="11" t="str">
        <f>PROPER(Sales_Data[[#This Row],[Sales Manager]])</f>
        <v>John Smith</v>
      </c>
    </row>
    <row r="615" spans="1:18" hidden="1" x14ac:dyDescent="0.25">
      <c r="A615">
        <v>10614</v>
      </c>
      <c r="B615">
        <v>2020</v>
      </c>
      <c r="C615" t="s">
        <v>74</v>
      </c>
      <c r="D615" s="8">
        <v>44079</v>
      </c>
      <c r="E615" t="s">
        <v>14</v>
      </c>
      <c r="F615" t="s">
        <v>18</v>
      </c>
      <c r="G615" t="s">
        <v>20</v>
      </c>
      <c r="H615" s="9">
        <v>21</v>
      </c>
      <c r="I615" s="9">
        <v>443</v>
      </c>
      <c r="J615" s="10">
        <v>376550</v>
      </c>
      <c r="K615" s="10">
        <v>169447.5</v>
      </c>
      <c r="L615">
        <v>36</v>
      </c>
      <c r="M615" s="8">
        <v>44013</v>
      </c>
      <c r="N615" s="23">
        <v>1.8967780966079901E-3</v>
      </c>
      <c r="O615" s="10" t="str">
        <f>IF(Sales_Data[[#This Row],[Total Profit]]&gt;0,"Profitable","Loss")</f>
        <v>Profitable</v>
      </c>
      <c r="P615" s="10" t="str">
        <f>IF(Sales_Data[[#This Row],[Total Profit]]&gt;100000,"High Value",IF(Sales_Data[[#This Row],[Total Profit]]&gt;60000,"Medium","Low"))</f>
        <v>High Value</v>
      </c>
      <c r="Q615" s="11" t="str">
        <f>PROPER(Sales_Data[[#This Row],[Month Name]])</f>
        <v>Setembro</v>
      </c>
      <c r="R615" s="11" t="str">
        <f>PROPER(Sales_Data[[#This Row],[Sales Manager]])</f>
        <v>Jane Doe</v>
      </c>
    </row>
    <row r="616" spans="1:18" hidden="1" x14ac:dyDescent="0.25">
      <c r="A616">
        <v>10615</v>
      </c>
      <c r="B616">
        <v>2020</v>
      </c>
      <c r="C616" t="s">
        <v>74</v>
      </c>
      <c r="D616" s="8">
        <v>44080</v>
      </c>
      <c r="E616" t="s">
        <v>14</v>
      </c>
      <c r="F616" t="s">
        <v>18</v>
      </c>
      <c r="G616" t="s">
        <v>15</v>
      </c>
      <c r="H616" s="9">
        <v>16</v>
      </c>
      <c r="I616" s="9">
        <v>236</v>
      </c>
      <c r="J616" s="10">
        <v>118000</v>
      </c>
      <c r="K616" s="10">
        <v>43660</v>
      </c>
      <c r="L616">
        <v>37</v>
      </c>
      <c r="M616" s="8">
        <v>44013</v>
      </c>
      <c r="N616" s="23">
        <v>5.9439600424842005E-4</v>
      </c>
      <c r="O616" s="10" t="str">
        <f>IF(Sales_Data[[#This Row],[Total Profit]]&gt;0,"Profitable","Loss")</f>
        <v>Profitable</v>
      </c>
      <c r="P616" s="10" t="str">
        <f>IF(Sales_Data[[#This Row],[Total Profit]]&gt;100000,"High Value",IF(Sales_Data[[#This Row],[Total Profit]]&gt;60000,"Medium","Low"))</f>
        <v>Low</v>
      </c>
      <c r="Q616" s="11" t="str">
        <f>PROPER(Sales_Data[[#This Row],[Month Name]])</f>
        <v>Setembro</v>
      </c>
      <c r="R616" s="11" t="str">
        <f>PROPER(Sales_Data[[#This Row],[Sales Manager]])</f>
        <v>Jane Doe</v>
      </c>
    </row>
    <row r="617" spans="1:18" hidden="1" x14ac:dyDescent="0.25">
      <c r="A617">
        <v>10616</v>
      </c>
      <c r="B617">
        <v>2020</v>
      </c>
      <c r="C617" t="s">
        <v>74</v>
      </c>
      <c r="D617" s="8">
        <v>44081</v>
      </c>
      <c r="E617" t="s">
        <v>22</v>
      </c>
      <c r="F617" t="s">
        <v>18</v>
      </c>
      <c r="G617" t="s">
        <v>20</v>
      </c>
      <c r="H617" s="9">
        <v>7</v>
      </c>
      <c r="I617" s="9">
        <v>190</v>
      </c>
      <c r="J617" s="10">
        <v>161500</v>
      </c>
      <c r="K617" s="10">
        <v>61370</v>
      </c>
      <c r="L617">
        <v>37</v>
      </c>
      <c r="M617" s="8">
        <v>44013</v>
      </c>
      <c r="N617" s="23">
        <v>8.1351656513660897E-4</v>
      </c>
      <c r="O617" s="10" t="str">
        <f>IF(Sales_Data[[#This Row],[Total Profit]]&gt;0,"Profitable","Loss")</f>
        <v>Profitable</v>
      </c>
      <c r="P617" s="10" t="str">
        <f>IF(Sales_Data[[#This Row],[Total Profit]]&gt;100000,"High Value",IF(Sales_Data[[#This Row],[Total Profit]]&gt;60000,"Medium","Low"))</f>
        <v>Medium</v>
      </c>
      <c r="Q617" s="11" t="str">
        <f>PROPER(Sales_Data[[#This Row],[Month Name]])</f>
        <v>Setembro</v>
      </c>
      <c r="R617" s="11" t="str">
        <f>PROPER(Sales_Data[[#This Row],[Sales Manager]])</f>
        <v>Jane Doe</v>
      </c>
    </row>
    <row r="618" spans="1:18" hidden="1" x14ac:dyDescent="0.25">
      <c r="A618">
        <v>10617</v>
      </c>
      <c r="B618">
        <v>2020</v>
      </c>
      <c r="C618" t="s">
        <v>74</v>
      </c>
      <c r="D618" s="8">
        <v>44082</v>
      </c>
      <c r="E618" t="s">
        <v>19</v>
      </c>
      <c r="F618" t="s">
        <v>12</v>
      </c>
      <c r="G618" t="s">
        <v>17</v>
      </c>
      <c r="H618" s="9">
        <v>9</v>
      </c>
      <c r="I618" s="9">
        <v>261</v>
      </c>
      <c r="J618" s="10">
        <v>65250</v>
      </c>
      <c r="K618" s="10">
        <v>18270</v>
      </c>
      <c r="L618">
        <v>37</v>
      </c>
      <c r="M618" s="8">
        <v>44013</v>
      </c>
      <c r="N618" s="23">
        <v>3.2868084133228301E-4</v>
      </c>
      <c r="O618" s="10" t="str">
        <f>IF(Sales_Data[[#This Row],[Total Profit]]&gt;0,"Profitable","Loss")</f>
        <v>Profitable</v>
      </c>
      <c r="P618" s="10" t="str">
        <f>IF(Sales_Data[[#This Row],[Total Profit]]&gt;100000,"High Value",IF(Sales_Data[[#This Row],[Total Profit]]&gt;60000,"Medium","Low"))</f>
        <v>Low</v>
      </c>
      <c r="Q618" s="11" t="str">
        <f>PROPER(Sales_Data[[#This Row],[Month Name]])</f>
        <v>Setembro</v>
      </c>
      <c r="R618" s="11" t="str">
        <f>PROPER(Sales_Data[[#This Row],[Sales Manager]])</f>
        <v>Emily White</v>
      </c>
    </row>
    <row r="619" spans="1:18" hidden="1" x14ac:dyDescent="0.25">
      <c r="A619">
        <v>10618</v>
      </c>
      <c r="B619">
        <v>2020</v>
      </c>
      <c r="C619" t="s">
        <v>74</v>
      </c>
      <c r="D619" s="8">
        <v>44083</v>
      </c>
      <c r="E619" t="s">
        <v>19</v>
      </c>
      <c r="F619" t="s">
        <v>24</v>
      </c>
      <c r="G619" t="s">
        <v>20</v>
      </c>
      <c r="H619" s="9">
        <v>7</v>
      </c>
      <c r="I619" s="9">
        <v>253</v>
      </c>
      <c r="J619" s="10">
        <v>215050</v>
      </c>
      <c r="K619" s="10">
        <v>68816</v>
      </c>
      <c r="L619">
        <v>37</v>
      </c>
      <c r="M619" s="8">
        <v>44013</v>
      </c>
      <c r="N619" s="23">
        <v>1.08326153147138E-3</v>
      </c>
      <c r="O619" s="10" t="str">
        <f>IF(Sales_Data[[#This Row],[Total Profit]]&gt;0,"Profitable","Loss")</f>
        <v>Profitable</v>
      </c>
      <c r="P619" s="10" t="str">
        <f>IF(Sales_Data[[#This Row],[Total Profit]]&gt;100000,"High Value",IF(Sales_Data[[#This Row],[Total Profit]]&gt;60000,"Medium","Low"))</f>
        <v>Medium</v>
      </c>
      <c r="Q619" s="11" t="str">
        <f>PROPER(Sales_Data[[#This Row],[Month Name]])</f>
        <v>Setembro</v>
      </c>
      <c r="R619" s="11" t="str">
        <f>PROPER(Sales_Data[[#This Row],[Sales Manager]])</f>
        <v>Liam Lee</v>
      </c>
    </row>
    <row r="620" spans="1:18" hidden="1" x14ac:dyDescent="0.25">
      <c r="A620">
        <v>10619</v>
      </c>
      <c r="B620">
        <v>2020</v>
      </c>
      <c r="C620" t="s">
        <v>74</v>
      </c>
      <c r="D620" s="8">
        <v>44084</v>
      </c>
      <c r="E620" t="s">
        <v>14</v>
      </c>
      <c r="F620" t="s">
        <v>24</v>
      </c>
      <c r="G620" t="s">
        <v>15</v>
      </c>
      <c r="H620" s="9">
        <v>15</v>
      </c>
      <c r="I620" s="9">
        <v>244</v>
      </c>
      <c r="J620" s="10">
        <v>122000</v>
      </c>
      <c r="K620" s="10">
        <v>37820</v>
      </c>
      <c r="L620">
        <v>37</v>
      </c>
      <c r="M620" s="8">
        <v>44013</v>
      </c>
      <c r="N620" s="23">
        <v>6.14545021341587E-4</v>
      </c>
      <c r="O620" s="10" t="str">
        <f>IF(Sales_Data[[#This Row],[Total Profit]]&gt;0,"Profitable","Loss")</f>
        <v>Profitable</v>
      </c>
      <c r="P620" s="10" t="str">
        <f>IF(Sales_Data[[#This Row],[Total Profit]]&gt;100000,"High Value",IF(Sales_Data[[#This Row],[Total Profit]]&gt;60000,"Medium","Low"))</f>
        <v>Low</v>
      </c>
      <c r="Q620" s="11" t="str">
        <f>PROPER(Sales_Data[[#This Row],[Month Name]])</f>
        <v>Setembro</v>
      </c>
      <c r="R620" s="11" t="str">
        <f>PROPER(Sales_Data[[#This Row],[Sales Manager]])</f>
        <v>Liam Lee</v>
      </c>
    </row>
    <row r="621" spans="1:18" hidden="1" x14ac:dyDescent="0.25">
      <c r="A621">
        <v>10620</v>
      </c>
      <c r="B621">
        <v>2020</v>
      </c>
      <c r="C621" t="s">
        <v>74</v>
      </c>
      <c r="D621" s="8">
        <v>44085</v>
      </c>
      <c r="E621" t="s">
        <v>25</v>
      </c>
      <c r="F621" t="s">
        <v>18</v>
      </c>
      <c r="G621" t="s">
        <v>20</v>
      </c>
      <c r="H621" s="9">
        <v>14</v>
      </c>
      <c r="I621" s="9">
        <v>179</v>
      </c>
      <c r="J621" s="10">
        <v>152150</v>
      </c>
      <c r="K621" s="10">
        <v>19779.5</v>
      </c>
      <c r="L621">
        <v>37</v>
      </c>
      <c r="M621" s="8">
        <v>44013</v>
      </c>
      <c r="N621" s="23">
        <v>7.6641823768133202E-4</v>
      </c>
      <c r="O621" s="10" t="str">
        <f>IF(Sales_Data[[#This Row],[Total Profit]]&gt;0,"Profitable","Loss")</f>
        <v>Profitable</v>
      </c>
      <c r="P621" s="10" t="str">
        <f>IF(Sales_Data[[#This Row],[Total Profit]]&gt;100000,"High Value",IF(Sales_Data[[#This Row],[Total Profit]]&gt;60000,"Medium","Low"))</f>
        <v>Low</v>
      </c>
      <c r="Q621" s="11" t="str">
        <f>PROPER(Sales_Data[[#This Row],[Month Name]])</f>
        <v>Setembro</v>
      </c>
      <c r="R621" s="11" t="str">
        <f>PROPER(Sales_Data[[#This Row],[Sales Manager]])</f>
        <v>Jane Doe</v>
      </c>
    </row>
    <row r="622" spans="1:18" hidden="1" x14ac:dyDescent="0.25">
      <c r="A622">
        <v>10621</v>
      </c>
      <c r="B622">
        <v>2020</v>
      </c>
      <c r="C622" t="s">
        <v>74</v>
      </c>
      <c r="D622" s="8">
        <v>44086</v>
      </c>
      <c r="E622" t="s">
        <v>22</v>
      </c>
      <c r="F622" t="s">
        <v>18</v>
      </c>
      <c r="G622" t="s">
        <v>20</v>
      </c>
      <c r="H622" s="9">
        <v>26</v>
      </c>
      <c r="I622" s="9">
        <v>269</v>
      </c>
      <c r="J622" s="10">
        <v>228650</v>
      </c>
      <c r="K622" s="10">
        <v>102892.5</v>
      </c>
      <c r="L622">
        <v>37</v>
      </c>
      <c r="M622" s="8">
        <v>44013</v>
      </c>
      <c r="N622" s="23">
        <v>1.1517681895881499E-3</v>
      </c>
      <c r="O622" s="10" t="str">
        <f>IF(Sales_Data[[#This Row],[Total Profit]]&gt;0,"Profitable","Loss")</f>
        <v>Profitable</v>
      </c>
      <c r="P622" s="10" t="str">
        <f>IF(Sales_Data[[#This Row],[Total Profit]]&gt;100000,"High Value",IF(Sales_Data[[#This Row],[Total Profit]]&gt;60000,"Medium","Low"))</f>
        <v>High Value</v>
      </c>
      <c r="Q622" s="11" t="str">
        <f>PROPER(Sales_Data[[#This Row],[Month Name]])</f>
        <v>Setembro</v>
      </c>
      <c r="R622" s="11" t="str">
        <f>PROPER(Sales_Data[[#This Row],[Sales Manager]])</f>
        <v>Jane Doe</v>
      </c>
    </row>
    <row r="623" spans="1:18" hidden="1" x14ac:dyDescent="0.25">
      <c r="A623">
        <v>10622</v>
      </c>
      <c r="B623">
        <v>2020</v>
      </c>
      <c r="C623" t="s">
        <v>74</v>
      </c>
      <c r="D623" s="8">
        <v>44087</v>
      </c>
      <c r="E623" t="s">
        <v>11</v>
      </c>
      <c r="F623" t="s">
        <v>24</v>
      </c>
      <c r="G623" t="s">
        <v>17</v>
      </c>
      <c r="H623" s="9">
        <v>9</v>
      </c>
      <c r="I623" s="9">
        <v>107</v>
      </c>
      <c r="J623" s="10">
        <v>26750</v>
      </c>
      <c r="K623" s="10">
        <v>6152.5</v>
      </c>
      <c r="L623">
        <v>38</v>
      </c>
      <c r="M623" s="8">
        <v>44013</v>
      </c>
      <c r="N623" s="23">
        <v>1.3474655181055299E-4</v>
      </c>
      <c r="O623" s="10" t="str">
        <f>IF(Sales_Data[[#This Row],[Total Profit]]&gt;0,"Profitable","Loss")</f>
        <v>Profitable</v>
      </c>
      <c r="P623" s="10" t="str">
        <f>IF(Sales_Data[[#This Row],[Total Profit]]&gt;100000,"High Value",IF(Sales_Data[[#This Row],[Total Profit]]&gt;60000,"Medium","Low"))</f>
        <v>Low</v>
      </c>
      <c r="Q623" s="11" t="str">
        <f>PROPER(Sales_Data[[#This Row],[Month Name]])</f>
        <v>Setembro</v>
      </c>
      <c r="R623" s="11" t="str">
        <f>PROPER(Sales_Data[[#This Row],[Sales Manager]])</f>
        <v>Liam Lee</v>
      </c>
    </row>
    <row r="624" spans="1:18" hidden="1" x14ac:dyDescent="0.25">
      <c r="A624">
        <v>10623</v>
      </c>
      <c r="B624">
        <v>2020</v>
      </c>
      <c r="C624" t="s">
        <v>74</v>
      </c>
      <c r="D624" s="8">
        <v>44088</v>
      </c>
      <c r="E624" t="s">
        <v>14</v>
      </c>
      <c r="F624" t="s">
        <v>16</v>
      </c>
      <c r="G624" t="s">
        <v>13</v>
      </c>
      <c r="H624" s="9">
        <v>36</v>
      </c>
      <c r="I624" s="9">
        <v>421</v>
      </c>
      <c r="J624" s="10">
        <v>315750</v>
      </c>
      <c r="K624" s="10">
        <v>34732.5</v>
      </c>
      <c r="L624">
        <v>38</v>
      </c>
      <c r="M624" s="8">
        <v>44013</v>
      </c>
      <c r="N624" s="23">
        <v>1.5905130367918499E-3</v>
      </c>
      <c r="O624" s="10" t="str">
        <f>IF(Sales_Data[[#This Row],[Total Profit]]&gt;0,"Profitable","Loss")</f>
        <v>Profitable</v>
      </c>
      <c r="P624" s="10" t="str">
        <f>IF(Sales_Data[[#This Row],[Total Profit]]&gt;100000,"High Value",IF(Sales_Data[[#This Row],[Total Profit]]&gt;60000,"Medium","Low"))</f>
        <v>Low</v>
      </c>
      <c r="Q624" s="11" t="str">
        <f>PROPER(Sales_Data[[#This Row],[Month Name]])</f>
        <v>Setembro</v>
      </c>
      <c r="R624" s="11" t="str">
        <f>PROPER(Sales_Data[[#This Row],[Sales Manager]])</f>
        <v>James Brown</v>
      </c>
    </row>
    <row r="625" spans="1:18" hidden="1" x14ac:dyDescent="0.25">
      <c r="A625">
        <v>10624</v>
      </c>
      <c r="B625">
        <v>2020</v>
      </c>
      <c r="C625" t="s">
        <v>74</v>
      </c>
      <c r="D625" s="8">
        <v>44089</v>
      </c>
      <c r="E625" t="s">
        <v>14</v>
      </c>
      <c r="F625" t="s">
        <v>21</v>
      </c>
      <c r="G625" t="s">
        <v>23</v>
      </c>
      <c r="H625" s="9">
        <v>20</v>
      </c>
      <c r="I625" s="9">
        <v>253</v>
      </c>
      <c r="J625" s="10">
        <v>88550</v>
      </c>
      <c r="K625" s="10">
        <v>11511.5</v>
      </c>
      <c r="L625">
        <v>38</v>
      </c>
      <c r="M625" s="8">
        <v>44013</v>
      </c>
      <c r="N625" s="23">
        <v>4.4604886589998002E-4</v>
      </c>
      <c r="O625" s="10" t="str">
        <f>IF(Sales_Data[[#This Row],[Total Profit]]&gt;0,"Profitable","Loss")</f>
        <v>Profitable</v>
      </c>
      <c r="P625" s="10" t="str">
        <f>IF(Sales_Data[[#This Row],[Total Profit]]&gt;100000,"High Value",IF(Sales_Data[[#This Row],[Total Profit]]&gt;60000,"Medium","Low"))</f>
        <v>Low</v>
      </c>
      <c r="Q625" s="11" t="str">
        <f>PROPER(Sales_Data[[#This Row],[Month Name]])</f>
        <v>Setembro</v>
      </c>
      <c r="R625" s="11" t="str">
        <f>PROPER(Sales_Data[[#This Row],[Sales Manager]])</f>
        <v>John Smith</v>
      </c>
    </row>
    <row r="626" spans="1:18" hidden="1" x14ac:dyDescent="0.25">
      <c r="A626">
        <v>10625</v>
      </c>
      <c r="B626">
        <v>2020</v>
      </c>
      <c r="C626" t="s">
        <v>74</v>
      </c>
      <c r="D626" s="8">
        <v>44090</v>
      </c>
      <c r="E626" t="s">
        <v>19</v>
      </c>
      <c r="F626" t="s">
        <v>18</v>
      </c>
      <c r="G626" t="s">
        <v>15</v>
      </c>
      <c r="H626" s="9">
        <v>7</v>
      </c>
      <c r="I626" s="9">
        <v>195</v>
      </c>
      <c r="J626" s="10">
        <v>97500</v>
      </c>
      <c r="K626" s="10">
        <v>38025</v>
      </c>
      <c r="L626">
        <v>38</v>
      </c>
      <c r="M626" s="8">
        <v>44013</v>
      </c>
      <c r="N626" s="23">
        <v>4.9113229164593996E-4</v>
      </c>
      <c r="O626" s="10" t="str">
        <f>IF(Sales_Data[[#This Row],[Total Profit]]&gt;0,"Profitable","Loss")</f>
        <v>Profitable</v>
      </c>
      <c r="P626" s="10" t="str">
        <f>IF(Sales_Data[[#This Row],[Total Profit]]&gt;100000,"High Value",IF(Sales_Data[[#This Row],[Total Profit]]&gt;60000,"Medium","Low"))</f>
        <v>Low</v>
      </c>
      <c r="Q626" s="11" t="str">
        <f>PROPER(Sales_Data[[#This Row],[Month Name]])</f>
        <v>Setembro</v>
      </c>
      <c r="R626" s="11" t="str">
        <f>PROPER(Sales_Data[[#This Row],[Sales Manager]])</f>
        <v>Jane Doe</v>
      </c>
    </row>
    <row r="627" spans="1:18" hidden="1" x14ac:dyDescent="0.25">
      <c r="A627">
        <v>10626</v>
      </c>
      <c r="B627">
        <v>2020</v>
      </c>
      <c r="C627" t="s">
        <v>74</v>
      </c>
      <c r="D627" s="8">
        <v>44091</v>
      </c>
      <c r="E627" t="s">
        <v>14</v>
      </c>
      <c r="F627" t="s">
        <v>12</v>
      </c>
      <c r="G627" t="s">
        <v>15</v>
      </c>
      <c r="H627" s="9">
        <v>11</v>
      </c>
      <c r="I627" s="9">
        <v>297</v>
      </c>
      <c r="J627" s="10">
        <v>148500</v>
      </c>
      <c r="K627" s="10">
        <v>29700</v>
      </c>
      <c r="L627">
        <v>38</v>
      </c>
      <c r="M627" s="8">
        <v>44013</v>
      </c>
      <c r="N627" s="23">
        <v>7.4803225958381704E-4</v>
      </c>
      <c r="O627" s="10" t="str">
        <f>IF(Sales_Data[[#This Row],[Total Profit]]&gt;0,"Profitable","Loss")</f>
        <v>Profitable</v>
      </c>
      <c r="P627" s="10" t="str">
        <f>IF(Sales_Data[[#This Row],[Total Profit]]&gt;100000,"High Value",IF(Sales_Data[[#This Row],[Total Profit]]&gt;60000,"Medium","Low"))</f>
        <v>Low</v>
      </c>
      <c r="Q627" s="11" t="str">
        <f>PROPER(Sales_Data[[#This Row],[Month Name]])</f>
        <v>Setembro</v>
      </c>
      <c r="R627" s="11" t="str">
        <f>PROPER(Sales_Data[[#This Row],[Sales Manager]])</f>
        <v>Emily White</v>
      </c>
    </row>
    <row r="628" spans="1:18" hidden="1" x14ac:dyDescent="0.25">
      <c r="A628">
        <v>10627</v>
      </c>
      <c r="B628">
        <v>2020</v>
      </c>
      <c r="C628" t="s">
        <v>74</v>
      </c>
      <c r="D628" s="8">
        <v>44092</v>
      </c>
      <c r="E628" t="s">
        <v>22</v>
      </c>
      <c r="F628" t="s">
        <v>24</v>
      </c>
      <c r="G628" t="s">
        <v>23</v>
      </c>
      <c r="H628" s="9">
        <v>22</v>
      </c>
      <c r="I628" s="9">
        <v>391</v>
      </c>
      <c r="J628" s="10">
        <v>136850</v>
      </c>
      <c r="K628" s="10">
        <v>56108.5</v>
      </c>
      <c r="L628">
        <v>38</v>
      </c>
      <c r="M628" s="8">
        <v>44013</v>
      </c>
      <c r="N628" s="23">
        <v>6.8934824729996902E-4</v>
      </c>
      <c r="O628" s="10" t="str">
        <f>IF(Sales_Data[[#This Row],[Total Profit]]&gt;0,"Profitable","Loss")</f>
        <v>Profitable</v>
      </c>
      <c r="P628" s="10" t="str">
        <f>IF(Sales_Data[[#This Row],[Total Profit]]&gt;100000,"High Value",IF(Sales_Data[[#This Row],[Total Profit]]&gt;60000,"Medium","Low"))</f>
        <v>Low</v>
      </c>
      <c r="Q628" s="11" t="str">
        <f>PROPER(Sales_Data[[#This Row],[Month Name]])</f>
        <v>Setembro</v>
      </c>
      <c r="R628" s="11" t="str">
        <f>PROPER(Sales_Data[[#This Row],[Sales Manager]])</f>
        <v>Liam Lee</v>
      </c>
    </row>
    <row r="629" spans="1:18" hidden="1" x14ac:dyDescent="0.25">
      <c r="A629">
        <v>10628</v>
      </c>
      <c r="B629">
        <v>2020</v>
      </c>
      <c r="C629" t="s">
        <v>74</v>
      </c>
      <c r="D629" s="8">
        <v>44093</v>
      </c>
      <c r="E629" t="s">
        <v>19</v>
      </c>
      <c r="F629" t="s">
        <v>12</v>
      </c>
      <c r="G629" t="s">
        <v>23</v>
      </c>
      <c r="H629" s="9">
        <v>1</v>
      </c>
      <c r="I629" s="9">
        <v>18</v>
      </c>
      <c r="J629" s="10">
        <v>6300</v>
      </c>
      <c r="K629" s="10">
        <v>2520</v>
      </c>
      <c r="L629">
        <v>38</v>
      </c>
      <c r="M629" s="8">
        <v>44013</v>
      </c>
      <c r="N629" s="23">
        <v>3.1734701921737698E-5</v>
      </c>
      <c r="O629" s="10" t="str">
        <f>IF(Sales_Data[[#This Row],[Total Profit]]&gt;0,"Profitable","Loss")</f>
        <v>Profitable</v>
      </c>
      <c r="P629" s="10" t="str">
        <f>IF(Sales_Data[[#This Row],[Total Profit]]&gt;100000,"High Value",IF(Sales_Data[[#This Row],[Total Profit]]&gt;60000,"Medium","Low"))</f>
        <v>Low</v>
      </c>
      <c r="Q629" s="11" t="str">
        <f>PROPER(Sales_Data[[#This Row],[Month Name]])</f>
        <v>Setembro</v>
      </c>
      <c r="R629" s="11" t="str">
        <f>PROPER(Sales_Data[[#This Row],[Sales Manager]])</f>
        <v>Emily White</v>
      </c>
    </row>
    <row r="630" spans="1:18" hidden="1" x14ac:dyDescent="0.25">
      <c r="A630">
        <v>10629</v>
      </c>
      <c r="B630">
        <v>2020</v>
      </c>
      <c r="C630" t="s">
        <v>74</v>
      </c>
      <c r="D630" s="8">
        <v>44094</v>
      </c>
      <c r="E630" t="s">
        <v>19</v>
      </c>
      <c r="F630" t="s">
        <v>16</v>
      </c>
      <c r="G630" t="s">
        <v>17</v>
      </c>
      <c r="H630" s="9">
        <v>2</v>
      </c>
      <c r="I630" s="9">
        <v>85</v>
      </c>
      <c r="J630" s="10">
        <v>21250</v>
      </c>
      <c r="K630" s="10">
        <v>4462.5</v>
      </c>
      <c r="L630">
        <v>39</v>
      </c>
      <c r="M630" s="8">
        <v>44013</v>
      </c>
      <c r="N630" s="23">
        <v>1.07041653307449E-4</v>
      </c>
      <c r="O630" s="10" t="str">
        <f>IF(Sales_Data[[#This Row],[Total Profit]]&gt;0,"Profitable","Loss")</f>
        <v>Profitable</v>
      </c>
      <c r="P630" s="10" t="str">
        <f>IF(Sales_Data[[#This Row],[Total Profit]]&gt;100000,"High Value",IF(Sales_Data[[#This Row],[Total Profit]]&gt;60000,"Medium","Low"))</f>
        <v>Low</v>
      </c>
      <c r="Q630" s="11" t="str">
        <f>PROPER(Sales_Data[[#This Row],[Month Name]])</f>
        <v>Setembro</v>
      </c>
      <c r="R630" s="11" t="str">
        <f>PROPER(Sales_Data[[#This Row],[Sales Manager]])</f>
        <v>James Brown</v>
      </c>
    </row>
    <row r="631" spans="1:18" hidden="1" x14ac:dyDescent="0.25">
      <c r="A631">
        <v>10630</v>
      </c>
      <c r="B631">
        <v>2020</v>
      </c>
      <c r="C631" t="s">
        <v>74</v>
      </c>
      <c r="D631" s="8">
        <v>44095</v>
      </c>
      <c r="E631" t="s">
        <v>14</v>
      </c>
      <c r="F631" t="s">
        <v>18</v>
      </c>
      <c r="G631" t="s">
        <v>23</v>
      </c>
      <c r="H631" s="9">
        <v>6</v>
      </c>
      <c r="I631" s="9">
        <v>306</v>
      </c>
      <c r="J631" s="10">
        <v>107100</v>
      </c>
      <c r="K631" s="10">
        <v>10710</v>
      </c>
      <c r="L631">
        <v>39</v>
      </c>
      <c r="M631" s="8">
        <v>44013</v>
      </c>
      <c r="N631" s="23">
        <v>5.3948993266954097E-4</v>
      </c>
      <c r="O631" s="10" t="str">
        <f>IF(Sales_Data[[#This Row],[Total Profit]]&gt;0,"Profitable","Loss")</f>
        <v>Profitable</v>
      </c>
      <c r="P631" s="10" t="str">
        <f>IF(Sales_Data[[#This Row],[Total Profit]]&gt;100000,"High Value",IF(Sales_Data[[#This Row],[Total Profit]]&gt;60000,"Medium","Low"))</f>
        <v>Low</v>
      </c>
      <c r="Q631" s="11" t="str">
        <f>PROPER(Sales_Data[[#This Row],[Month Name]])</f>
        <v>Setembro</v>
      </c>
      <c r="R631" s="11" t="str">
        <f>PROPER(Sales_Data[[#This Row],[Sales Manager]])</f>
        <v>Jane Doe</v>
      </c>
    </row>
    <row r="632" spans="1:18" hidden="1" x14ac:dyDescent="0.25">
      <c r="A632">
        <v>10631</v>
      </c>
      <c r="B632">
        <v>2020</v>
      </c>
      <c r="C632" t="s">
        <v>74</v>
      </c>
      <c r="D632" s="8">
        <v>44096</v>
      </c>
      <c r="E632" t="s">
        <v>14</v>
      </c>
      <c r="F632" t="s">
        <v>21</v>
      </c>
      <c r="G632" t="s">
        <v>15</v>
      </c>
      <c r="H632" s="9">
        <v>10</v>
      </c>
      <c r="I632" s="9">
        <v>122</v>
      </c>
      <c r="J632" s="10">
        <v>61000</v>
      </c>
      <c r="K632" s="10">
        <v>11590</v>
      </c>
      <c r="L632">
        <v>39</v>
      </c>
      <c r="M632" s="8">
        <v>44013</v>
      </c>
      <c r="N632" s="23">
        <v>3.0727251067079399E-4</v>
      </c>
      <c r="O632" s="10" t="str">
        <f>IF(Sales_Data[[#This Row],[Total Profit]]&gt;0,"Profitable","Loss")</f>
        <v>Profitable</v>
      </c>
      <c r="P632" s="10" t="str">
        <f>IF(Sales_Data[[#This Row],[Total Profit]]&gt;100000,"High Value",IF(Sales_Data[[#This Row],[Total Profit]]&gt;60000,"Medium","Low"))</f>
        <v>Low</v>
      </c>
      <c r="Q632" s="11" t="str">
        <f>PROPER(Sales_Data[[#This Row],[Month Name]])</f>
        <v>Setembro</v>
      </c>
      <c r="R632" s="11" t="str">
        <f>PROPER(Sales_Data[[#This Row],[Sales Manager]])</f>
        <v>John Smith</v>
      </c>
    </row>
    <row r="633" spans="1:18" hidden="1" x14ac:dyDescent="0.25">
      <c r="A633">
        <v>10632</v>
      </c>
      <c r="B633">
        <v>2020</v>
      </c>
      <c r="C633" t="s">
        <v>74</v>
      </c>
      <c r="D633" s="8">
        <v>44097</v>
      </c>
      <c r="E633" t="s">
        <v>11</v>
      </c>
      <c r="F633" t="s">
        <v>12</v>
      </c>
      <c r="G633" t="s">
        <v>20</v>
      </c>
      <c r="H633" s="9">
        <v>11</v>
      </c>
      <c r="I633" s="9">
        <v>203</v>
      </c>
      <c r="J633" s="10">
        <v>172550</v>
      </c>
      <c r="K633" s="10">
        <v>77647.5</v>
      </c>
      <c r="L633">
        <v>39</v>
      </c>
      <c r="M633" s="8">
        <v>44013</v>
      </c>
      <c r="N633" s="23">
        <v>8.6917822485648203E-4</v>
      </c>
      <c r="O633" s="10" t="str">
        <f>IF(Sales_Data[[#This Row],[Total Profit]]&gt;0,"Profitable","Loss")</f>
        <v>Profitable</v>
      </c>
      <c r="P633" s="10" t="str">
        <f>IF(Sales_Data[[#This Row],[Total Profit]]&gt;100000,"High Value",IF(Sales_Data[[#This Row],[Total Profit]]&gt;60000,"Medium","Low"))</f>
        <v>Medium</v>
      </c>
      <c r="Q633" s="11" t="str">
        <f>PROPER(Sales_Data[[#This Row],[Month Name]])</f>
        <v>Setembro</v>
      </c>
      <c r="R633" s="11" t="str">
        <f>PROPER(Sales_Data[[#This Row],[Sales Manager]])</f>
        <v>Emily White</v>
      </c>
    </row>
    <row r="634" spans="1:18" hidden="1" x14ac:dyDescent="0.25">
      <c r="A634">
        <v>10633</v>
      </c>
      <c r="B634">
        <v>2020</v>
      </c>
      <c r="C634" t="s">
        <v>74</v>
      </c>
      <c r="D634" s="8">
        <v>44098</v>
      </c>
      <c r="E634" t="s">
        <v>19</v>
      </c>
      <c r="F634" t="s">
        <v>16</v>
      </c>
      <c r="G634" t="s">
        <v>13</v>
      </c>
      <c r="H634" s="9">
        <v>29</v>
      </c>
      <c r="I634" s="9">
        <v>292</v>
      </c>
      <c r="J634" s="10">
        <v>219000</v>
      </c>
      <c r="K634" s="10">
        <v>30660.000000000004</v>
      </c>
      <c r="L634">
        <v>39</v>
      </c>
      <c r="M634" s="8">
        <v>44013</v>
      </c>
      <c r="N634" s="23">
        <v>1.1031586858508799E-3</v>
      </c>
      <c r="O634" s="10" t="str">
        <f>IF(Sales_Data[[#This Row],[Total Profit]]&gt;0,"Profitable","Loss")</f>
        <v>Profitable</v>
      </c>
      <c r="P634" s="10" t="str">
        <f>IF(Sales_Data[[#This Row],[Total Profit]]&gt;100000,"High Value",IF(Sales_Data[[#This Row],[Total Profit]]&gt;60000,"Medium","Low"))</f>
        <v>Low</v>
      </c>
      <c r="Q634" s="11" t="str">
        <f>PROPER(Sales_Data[[#This Row],[Month Name]])</f>
        <v>Setembro</v>
      </c>
      <c r="R634" s="11" t="str">
        <f>PROPER(Sales_Data[[#This Row],[Sales Manager]])</f>
        <v>James Brown</v>
      </c>
    </row>
    <row r="635" spans="1:18" hidden="1" x14ac:dyDescent="0.25">
      <c r="A635">
        <v>10634</v>
      </c>
      <c r="B635">
        <v>2020</v>
      </c>
      <c r="C635" t="s">
        <v>74</v>
      </c>
      <c r="D635" s="8">
        <v>44099</v>
      </c>
      <c r="E635" t="s">
        <v>19</v>
      </c>
      <c r="F635" t="s">
        <v>24</v>
      </c>
      <c r="G635" t="s">
        <v>15</v>
      </c>
      <c r="H635" s="9">
        <v>8</v>
      </c>
      <c r="I635" s="9">
        <v>83</v>
      </c>
      <c r="J635" s="10">
        <v>41500</v>
      </c>
      <c r="K635" s="10">
        <v>16185</v>
      </c>
      <c r="L635">
        <v>39</v>
      </c>
      <c r="M635" s="8">
        <v>44013</v>
      </c>
      <c r="N635" s="23">
        <v>2.0904605234160501E-4</v>
      </c>
      <c r="O635" s="10" t="str">
        <f>IF(Sales_Data[[#This Row],[Total Profit]]&gt;0,"Profitable","Loss")</f>
        <v>Profitable</v>
      </c>
      <c r="P635" s="10" t="str">
        <f>IF(Sales_Data[[#This Row],[Total Profit]]&gt;100000,"High Value",IF(Sales_Data[[#This Row],[Total Profit]]&gt;60000,"Medium","Low"))</f>
        <v>Low</v>
      </c>
      <c r="Q635" s="11" t="str">
        <f>PROPER(Sales_Data[[#This Row],[Month Name]])</f>
        <v>Setembro</v>
      </c>
      <c r="R635" s="11" t="str">
        <f>PROPER(Sales_Data[[#This Row],[Sales Manager]])</f>
        <v>Liam Lee</v>
      </c>
    </row>
    <row r="636" spans="1:18" hidden="1" x14ac:dyDescent="0.25">
      <c r="A636">
        <v>10635</v>
      </c>
      <c r="B636">
        <v>2020</v>
      </c>
      <c r="C636" t="s">
        <v>74</v>
      </c>
      <c r="D636" s="8">
        <v>44100</v>
      </c>
      <c r="E636" t="s">
        <v>25</v>
      </c>
      <c r="F636" t="s">
        <v>18</v>
      </c>
      <c r="G636" t="s">
        <v>23</v>
      </c>
      <c r="H636" s="9">
        <v>19</v>
      </c>
      <c r="I636" s="9">
        <v>311</v>
      </c>
      <c r="J636" s="10">
        <v>108850</v>
      </c>
      <c r="K636" s="10">
        <v>34832</v>
      </c>
      <c r="L636">
        <v>39</v>
      </c>
      <c r="M636" s="8">
        <v>44013</v>
      </c>
      <c r="N636" s="23">
        <v>5.4830512764780098E-4</v>
      </c>
      <c r="O636" s="10" t="str">
        <f>IF(Sales_Data[[#This Row],[Total Profit]]&gt;0,"Profitable","Loss")</f>
        <v>Profitable</v>
      </c>
      <c r="P636" s="10" t="str">
        <f>IF(Sales_Data[[#This Row],[Total Profit]]&gt;100000,"High Value",IF(Sales_Data[[#This Row],[Total Profit]]&gt;60000,"Medium","Low"))</f>
        <v>Low</v>
      </c>
      <c r="Q636" s="11" t="str">
        <f>PROPER(Sales_Data[[#This Row],[Month Name]])</f>
        <v>Setembro</v>
      </c>
      <c r="R636" s="11" t="str">
        <f>PROPER(Sales_Data[[#This Row],[Sales Manager]])</f>
        <v>Jane Doe</v>
      </c>
    </row>
    <row r="637" spans="1:18" hidden="1" x14ac:dyDescent="0.25">
      <c r="A637">
        <v>10636</v>
      </c>
      <c r="B637">
        <v>2020</v>
      </c>
      <c r="C637" t="s">
        <v>74</v>
      </c>
      <c r="D637" s="8">
        <v>44101</v>
      </c>
      <c r="E637" t="s">
        <v>25</v>
      </c>
      <c r="F637" t="s">
        <v>12</v>
      </c>
      <c r="G637" t="s">
        <v>13</v>
      </c>
      <c r="H637" s="9">
        <v>9</v>
      </c>
      <c r="I637" s="9">
        <v>478</v>
      </c>
      <c r="J637" s="10">
        <v>358500</v>
      </c>
      <c r="K637" s="10">
        <v>150570</v>
      </c>
      <c r="L637">
        <v>40</v>
      </c>
      <c r="M637" s="8">
        <v>44013</v>
      </c>
      <c r="N637" s="23">
        <v>1.8058556569750699E-3</v>
      </c>
      <c r="O637" s="10" t="str">
        <f>IF(Sales_Data[[#This Row],[Total Profit]]&gt;0,"Profitable","Loss")</f>
        <v>Profitable</v>
      </c>
      <c r="P637" s="10" t="str">
        <f>IF(Sales_Data[[#This Row],[Total Profit]]&gt;100000,"High Value",IF(Sales_Data[[#This Row],[Total Profit]]&gt;60000,"Medium","Low"))</f>
        <v>High Value</v>
      </c>
      <c r="Q637" s="11" t="str">
        <f>PROPER(Sales_Data[[#This Row],[Month Name]])</f>
        <v>Setembro</v>
      </c>
      <c r="R637" s="11" t="str">
        <f>PROPER(Sales_Data[[#This Row],[Sales Manager]])</f>
        <v>Emily White</v>
      </c>
    </row>
    <row r="638" spans="1:18" hidden="1" x14ac:dyDescent="0.25">
      <c r="A638">
        <v>10637</v>
      </c>
      <c r="B638">
        <v>2020</v>
      </c>
      <c r="C638" t="s">
        <v>74</v>
      </c>
      <c r="D638" s="8">
        <v>44102</v>
      </c>
      <c r="E638" t="s">
        <v>11</v>
      </c>
      <c r="F638" t="s">
        <v>24</v>
      </c>
      <c r="G638" t="s">
        <v>23</v>
      </c>
      <c r="H638" s="9">
        <v>22</v>
      </c>
      <c r="I638" s="9">
        <v>242</v>
      </c>
      <c r="J638" s="10">
        <v>84700</v>
      </c>
      <c r="K638" s="10">
        <v>29644.999999999996</v>
      </c>
      <c r="L638">
        <v>40</v>
      </c>
      <c r="M638" s="8">
        <v>44013</v>
      </c>
      <c r="N638" s="23">
        <v>4.26655436947807E-4</v>
      </c>
      <c r="O638" s="10" t="str">
        <f>IF(Sales_Data[[#This Row],[Total Profit]]&gt;0,"Profitable","Loss")</f>
        <v>Profitable</v>
      </c>
      <c r="P638" s="10" t="str">
        <f>IF(Sales_Data[[#This Row],[Total Profit]]&gt;100000,"High Value",IF(Sales_Data[[#This Row],[Total Profit]]&gt;60000,"Medium","Low"))</f>
        <v>Low</v>
      </c>
      <c r="Q638" s="11" t="str">
        <f>PROPER(Sales_Data[[#This Row],[Month Name]])</f>
        <v>Setembro</v>
      </c>
      <c r="R638" s="11" t="str">
        <f>PROPER(Sales_Data[[#This Row],[Sales Manager]])</f>
        <v>Liam Lee</v>
      </c>
    </row>
    <row r="639" spans="1:18" hidden="1" x14ac:dyDescent="0.25">
      <c r="A639">
        <v>10638</v>
      </c>
      <c r="B639">
        <v>2020</v>
      </c>
      <c r="C639" t="s">
        <v>74</v>
      </c>
      <c r="D639" s="8">
        <v>44103</v>
      </c>
      <c r="E639" t="s">
        <v>11</v>
      </c>
      <c r="F639" t="s">
        <v>16</v>
      </c>
      <c r="G639" t="s">
        <v>15</v>
      </c>
      <c r="H639" s="9">
        <v>26</v>
      </c>
      <c r="I639" s="9">
        <v>421</v>
      </c>
      <c r="J639" s="10">
        <v>210500</v>
      </c>
      <c r="K639" s="10">
        <v>82095</v>
      </c>
      <c r="L639">
        <v>40</v>
      </c>
      <c r="M639" s="8">
        <v>44013</v>
      </c>
      <c r="N639" s="23">
        <v>1.0603420245279E-3</v>
      </c>
      <c r="O639" s="10" t="str">
        <f>IF(Sales_Data[[#This Row],[Total Profit]]&gt;0,"Profitable","Loss")</f>
        <v>Profitable</v>
      </c>
      <c r="P639" s="10" t="str">
        <f>IF(Sales_Data[[#This Row],[Total Profit]]&gt;100000,"High Value",IF(Sales_Data[[#This Row],[Total Profit]]&gt;60000,"Medium","Low"))</f>
        <v>Medium</v>
      </c>
      <c r="Q639" s="11" t="str">
        <f>PROPER(Sales_Data[[#This Row],[Month Name]])</f>
        <v>Setembro</v>
      </c>
      <c r="R639" s="11" t="str">
        <f>PROPER(Sales_Data[[#This Row],[Sales Manager]])</f>
        <v>James Brown</v>
      </c>
    </row>
    <row r="640" spans="1:18" hidden="1" x14ac:dyDescent="0.25">
      <c r="A640">
        <v>10639</v>
      </c>
      <c r="B640">
        <v>2020</v>
      </c>
      <c r="C640" t="s">
        <v>74</v>
      </c>
      <c r="D640" s="8">
        <v>44104</v>
      </c>
      <c r="E640" t="s">
        <v>14</v>
      </c>
      <c r="F640" t="s">
        <v>12</v>
      </c>
      <c r="G640" t="s">
        <v>23</v>
      </c>
      <c r="H640" s="9">
        <v>17</v>
      </c>
      <c r="I640" s="9">
        <v>276</v>
      </c>
      <c r="J640" s="10">
        <v>96600</v>
      </c>
      <c r="K640" s="10">
        <v>32844</v>
      </c>
      <c r="L640">
        <v>40</v>
      </c>
      <c r="M640" s="8">
        <v>44013</v>
      </c>
      <c r="N640" s="23">
        <v>4.86598762799978E-4</v>
      </c>
      <c r="O640" s="10" t="str">
        <f>IF(Sales_Data[[#This Row],[Total Profit]]&gt;0,"Profitable","Loss")</f>
        <v>Profitable</v>
      </c>
      <c r="P640" s="10" t="str">
        <f>IF(Sales_Data[[#This Row],[Total Profit]]&gt;100000,"High Value",IF(Sales_Data[[#This Row],[Total Profit]]&gt;60000,"Medium","Low"))</f>
        <v>Low</v>
      </c>
      <c r="Q640" s="11" t="str">
        <f>PROPER(Sales_Data[[#This Row],[Month Name]])</f>
        <v>Setembro</v>
      </c>
      <c r="R640" s="11" t="str">
        <f>PROPER(Sales_Data[[#This Row],[Sales Manager]])</f>
        <v>Emily White</v>
      </c>
    </row>
    <row r="641" spans="1:18" hidden="1" x14ac:dyDescent="0.25">
      <c r="A641">
        <v>10640</v>
      </c>
      <c r="B641">
        <v>2020</v>
      </c>
      <c r="C641" t="s">
        <v>75</v>
      </c>
      <c r="D641" s="8">
        <v>44105</v>
      </c>
      <c r="E641" t="s">
        <v>14</v>
      </c>
      <c r="F641" t="s">
        <v>24</v>
      </c>
      <c r="G641" t="s">
        <v>13</v>
      </c>
      <c r="H641" s="9">
        <v>2</v>
      </c>
      <c r="I641" s="9">
        <v>90</v>
      </c>
      <c r="J641" s="10">
        <v>67500</v>
      </c>
      <c r="K641" s="10">
        <v>12825</v>
      </c>
      <c r="L641">
        <v>40</v>
      </c>
      <c r="M641" s="8">
        <v>44105</v>
      </c>
      <c r="N641" s="23">
        <v>3.4001466344719001E-4</v>
      </c>
      <c r="O641" s="10" t="str">
        <f>IF(Sales_Data[[#This Row],[Total Profit]]&gt;0,"Profitable","Loss")</f>
        <v>Profitable</v>
      </c>
      <c r="P641" s="10" t="str">
        <f>IF(Sales_Data[[#This Row],[Total Profit]]&gt;100000,"High Value",IF(Sales_Data[[#This Row],[Total Profit]]&gt;60000,"Medium","Low"))</f>
        <v>Low</v>
      </c>
      <c r="Q641" s="11" t="str">
        <f>PROPER(Sales_Data[[#This Row],[Month Name]])</f>
        <v>Outubro</v>
      </c>
      <c r="R641" s="11" t="str">
        <f>PROPER(Sales_Data[[#This Row],[Sales Manager]])</f>
        <v>Liam Lee</v>
      </c>
    </row>
    <row r="642" spans="1:18" hidden="1" x14ac:dyDescent="0.25">
      <c r="A642">
        <v>10641</v>
      </c>
      <c r="B642">
        <v>2020</v>
      </c>
      <c r="C642" t="s">
        <v>75</v>
      </c>
      <c r="D642" s="8">
        <v>44106</v>
      </c>
      <c r="E642" t="s">
        <v>25</v>
      </c>
      <c r="F642" t="s">
        <v>12</v>
      </c>
      <c r="G642" t="s">
        <v>13</v>
      </c>
      <c r="H642" s="9">
        <v>5</v>
      </c>
      <c r="I642" s="9">
        <v>69</v>
      </c>
      <c r="J642" s="10">
        <v>51750</v>
      </c>
      <c r="K642" s="10">
        <v>13455</v>
      </c>
      <c r="L642">
        <v>40</v>
      </c>
      <c r="M642" s="8">
        <v>44105</v>
      </c>
      <c r="N642" s="23">
        <v>2.60677908642845E-4</v>
      </c>
      <c r="O642" s="10" t="str">
        <f>IF(Sales_Data[[#This Row],[Total Profit]]&gt;0,"Profitable","Loss")</f>
        <v>Profitable</v>
      </c>
      <c r="P642" s="10" t="str">
        <f>IF(Sales_Data[[#This Row],[Total Profit]]&gt;100000,"High Value",IF(Sales_Data[[#This Row],[Total Profit]]&gt;60000,"Medium","Low"))</f>
        <v>Low</v>
      </c>
      <c r="Q642" s="11" t="str">
        <f>PROPER(Sales_Data[[#This Row],[Month Name]])</f>
        <v>Outubro</v>
      </c>
      <c r="R642" s="11" t="str">
        <f>PROPER(Sales_Data[[#This Row],[Sales Manager]])</f>
        <v>Emily White</v>
      </c>
    </row>
    <row r="643" spans="1:18" hidden="1" x14ac:dyDescent="0.25">
      <c r="A643">
        <v>10642</v>
      </c>
      <c r="B643">
        <v>2020</v>
      </c>
      <c r="C643" t="s">
        <v>75</v>
      </c>
      <c r="D643" s="8">
        <v>44107</v>
      </c>
      <c r="E643" t="s">
        <v>22</v>
      </c>
      <c r="F643" t="s">
        <v>16</v>
      </c>
      <c r="G643" t="s">
        <v>17</v>
      </c>
      <c r="H643" s="9">
        <v>7</v>
      </c>
      <c r="I643" s="9">
        <v>364</v>
      </c>
      <c r="J643" s="10">
        <v>91000</v>
      </c>
      <c r="K643" s="10">
        <v>27300</v>
      </c>
      <c r="L643">
        <v>40</v>
      </c>
      <c r="M643" s="8">
        <v>44105</v>
      </c>
      <c r="N643" s="23">
        <v>4.5839013886954399E-4</v>
      </c>
      <c r="O643" s="10" t="str">
        <f>IF(Sales_Data[[#This Row],[Total Profit]]&gt;0,"Profitable","Loss")</f>
        <v>Profitable</v>
      </c>
      <c r="P643" s="10" t="str">
        <f>IF(Sales_Data[[#This Row],[Total Profit]]&gt;100000,"High Value",IF(Sales_Data[[#This Row],[Total Profit]]&gt;60000,"Medium","Low"))</f>
        <v>Low</v>
      </c>
      <c r="Q643" s="11" t="str">
        <f>PROPER(Sales_Data[[#This Row],[Month Name]])</f>
        <v>Outubro</v>
      </c>
      <c r="R643" s="11" t="str">
        <f>PROPER(Sales_Data[[#This Row],[Sales Manager]])</f>
        <v>James Brown</v>
      </c>
    </row>
    <row r="644" spans="1:18" hidden="1" x14ac:dyDescent="0.25">
      <c r="A644">
        <v>10643</v>
      </c>
      <c r="B644">
        <v>2020</v>
      </c>
      <c r="C644" t="s">
        <v>75</v>
      </c>
      <c r="D644" s="8">
        <v>44108</v>
      </c>
      <c r="E644" t="s">
        <v>25</v>
      </c>
      <c r="F644" t="s">
        <v>12</v>
      </c>
      <c r="G644" t="s">
        <v>23</v>
      </c>
      <c r="H644" s="9">
        <v>9</v>
      </c>
      <c r="I644" s="9">
        <v>169</v>
      </c>
      <c r="J644" s="10">
        <v>59150</v>
      </c>
      <c r="K644" s="10">
        <v>24251.5</v>
      </c>
      <c r="L644">
        <v>41</v>
      </c>
      <c r="M644" s="8">
        <v>44105</v>
      </c>
      <c r="N644" s="23">
        <v>2.9795359026520401E-4</v>
      </c>
      <c r="O644" s="10" t="str">
        <f>IF(Sales_Data[[#This Row],[Total Profit]]&gt;0,"Profitable","Loss")</f>
        <v>Profitable</v>
      </c>
      <c r="P644" s="10" t="str">
        <f>IF(Sales_Data[[#This Row],[Total Profit]]&gt;100000,"High Value",IF(Sales_Data[[#This Row],[Total Profit]]&gt;60000,"Medium","Low"))</f>
        <v>Low</v>
      </c>
      <c r="Q644" s="11" t="str">
        <f>PROPER(Sales_Data[[#This Row],[Month Name]])</f>
        <v>Outubro</v>
      </c>
      <c r="R644" s="11" t="str">
        <f>PROPER(Sales_Data[[#This Row],[Sales Manager]])</f>
        <v>Emily White</v>
      </c>
    </row>
    <row r="645" spans="1:18" hidden="1" x14ac:dyDescent="0.25">
      <c r="A645">
        <v>10644</v>
      </c>
      <c r="B645">
        <v>2020</v>
      </c>
      <c r="C645" t="s">
        <v>75</v>
      </c>
      <c r="D645" s="8">
        <v>44109</v>
      </c>
      <c r="E645" t="s">
        <v>22</v>
      </c>
      <c r="F645" t="s">
        <v>12</v>
      </c>
      <c r="G645" t="s">
        <v>23</v>
      </c>
      <c r="H645" s="9">
        <v>1</v>
      </c>
      <c r="I645" s="9">
        <v>21</v>
      </c>
      <c r="J645" s="10">
        <v>7350</v>
      </c>
      <c r="K645" s="10">
        <v>2866.5</v>
      </c>
      <c r="L645">
        <v>41</v>
      </c>
      <c r="M645" s="8">
        <v>44105</v>
      </c>
      <c r="N645" s="23">
        <v>3.7023818908693997E-5</v>
      </c>
      <c r="O645" s="10" t="str">
        <f>IF(Sales_Data[[#This Row],[Total Profit]]&gt;0,"Profitable","Loss")</f>
        <v>Profitable</v>
      </c>
      <c r="P645" s="10" t="str">
        <f>IF(Sales_Data[[#This Row],[Total Profit]]&gt;100000,"High Value",IF(Sales_Data[[#This Row],[Total Profit]]&gt;60000,"Medium","Low"))</f>
        <v>Low</v>
      </c>
      <c r="Q645" s="11" t="str">
        <f>PROPER(Sales_Data[[#This Row],[Month Name]])</f>
        <v>Outubro</v>
      </c>
      <c r="R645" s="11" t="str">
        <f>PROPER(Sales_Data[[#This Row],[Sales Manager]])</f>
        <v>Emily White</v>
      </c>
    </row>
    <row r="646" spans="1:18" hidden="1" x14ac:dyDescent="0.25">
      <c r="A646">
        <v>10645</v>
      </c>
      <c r="B646">
        <v>2020</v>
      </c>
      <c r="C646" t="s">
        <v>75</v>
      </c>
      <c r="D646" s="8">
        <v>44110</v>
      </c>
      <c r="E646" t="s">
        <v>25</v>
      </c>
      <c r="F646" t="s">
        <v>16</v>
      </c>
      <c r="G646" t="s">
        <v>20</v>
      </c>
      <c r="H646" s="9">
        <v>5</v>
      </c>
      <c r="I646" s="9">
        <v>97</v>
      </c>
      <c r="J646" s="10">
        <v>82450</v>
      </c>
      <c r="K646" s="10">
        <v>20612.5</v>
      </c>
      <c r="L646">
        <v>41</v>
      </c>
      <c r="M646" s="8">
        <v>44105</v>
      </c>
      <c r="N646" s="23">
        <v>4.153216148329E-4</v>
      </c>
      <c r="O646" s="10" t="str">
        <f>IF(Sales_Data[[#This Row],[Total Profit]]&gt;0,"Profitable","Loss")</f>
        <v>Profitable</v>
      </c>
      <c r="P646" s="10" t="str">
        <f>IF(Sales_Data[[#This Row],[Total Profit]]&gt;100000,"High Value",IF(Sales_Data[[#This Row],[Total Profit]]&gt;60000,"Medium","Low"))</f>
        <v>Low</v>
      </c>
      <c r="Q646" s="11" t="str">
        <f>PROPER(Sales_Data[[#This Row],[Month Name]])</f>
        <v>Outubro</v>
      </c>
      <c r="R646" s="11" t="str">
        <f>PROPER(Sales_Data[[#This Row],[Sales Manager]])</f>
        <v>James Brown</v>
      </c>
    </row>
    <row r="647" spans="1:18" hidden="1" x14ac:dyDescent="0.25">
      <c r="A647">
        <v>10646</v>
      </c>
      <c r="B647">
        <v>2020</v>
      </c>
      <c r="C647" t="s">
        <v>75</v>
      </c>
      <c r="D647" s="8">
        <v>44111</v>
      </c>
      <c r="E647" t="s">
        <v>25</v>
      </c>
      <c r="F647" t="s">
        <v>16</v>
      </c>
      <c r="G647" t="s">
        <v>23</v>
      </c>
      <c r="H647" s="9">
        <v>23</v>
      </c>
      <c r="I647" s="9">
        <v>384</v>
      </c>
      <c r="J647" s="10">
        <v>134400</v>
      </c>
      <c r="K647" s="10">
        <v>14784</v>
      </c>
      <c r="L647">
        <v>41</v>
      </c>
      <c r="M647" s="8">
        <v>44105</v>
      </c>
      <c r="N647" s="23">
        <v>6.7700697433040397E-4</v>
      </c>
      <c r="O647" s="10" t="str">
        <f>IF(Sales_Data[[#This Row],[Total Profit]]&gt;0,"Profitable","Loss")</f>
        <v>Profitable</v>
      </c>
      <c r="P647" s="10" t="str">
        <f>IF(Sales_Data[[#This Row],[Total Profit]]&gt;100000,"High Value",IF(Sales_Data[[#This Row],[Total Profit]]&gt;60000,"Medium","Low"))</f>
        <v>Low</v>
      </c>
      <c r="Q647" s="11" t="str">
        <f>PROPER(Sales_Data[[#This Row],[Month Name]])</f>
        <v>Outubro</v>
      </c>
      <c r="R647" s="11" t="str">
        <f>PROPER(Sales_Data[[#This Row],[Sales Manager]])</f>
        <v>James Brown</v>
      </c>
    </row>
    <row r="648" spans="1:18" hidden="1" x14ac:dyDescent="0.25">
      <c r="A648">
        <v>10647</v>
      </c>
      <c r="B648">
        <v>2020</v>
      </c>
      <c r="C648" t="s">
        <v>75</v>
      </c>
      <c r="D648" s="8">
        <v>44112</v>
      </c>
      <c r="E648" t="s">
        <v>19</v>
      </c>
      <c r="F648" t="s">
        <v>12</v>
      </c>
      <c r="G648" t="s">
        <v>20</v>
      </c>
      <c r="H648" s="9">
        <v>18</v>
      </c>
      <c r="I648" s="9">
        <v>395</v>
      </c>
      <c r="J648" s="10">
        <v>335750</v>
      </c>
      <c r="K648" s="10">
        <v>110797.5</v>
      </c>
      <c r="L648">
        <v>41</v>
      </c>
      <c r="M648" s="8">
        <v>44105</v>
      </c>
      <c r="N648" s="23">
        <v>1.69125812225769E-3</v>
      </c>
      <c r="O648" s="10" t="str">
        <f>IF(Sales_Data[[#This Row],[Total Profit]]&gt;0,"Profitable","Loss")</f>
        <v>Profitable</v>
      </c>
      <c r="P648" s="10" t="str">
        <f>IF(Sales_Data[[#This Row],[Total Profit]]&gt;100000,"High Value",IF(Sales_Data[[#This Row],[Total Profit]]&gt;60000,"Medium","Low"))</f>
        <v>High Value</v>
      </c>
      <c r="Q648" s="11" t="str">
        <f>PROPER(Sales_Data[[#This Row],[Month Name]])</f>
        <v>Outubro</v>
      </c>
      <c r="R648" s="11" t="str">
        <f>PROPER(Sales_Data[[#This Row],[Sales Manager]])</f>
        <v>Emily White</v>
      </c>
    </row>
    <row r="649" spans="1:18" hidden="1" x14ac:dyDescent="0.25">
      <c r="A649">
        <v>10648</v>
      </c>
      <c r="B649">
        <v>2020</v>
      </c>
      <c r="C649" t="s">
        <v>75</v>
      </c>
      <c r="D649" s="8">
        <v>44113</v>
      </c>
      <c r="E649" t="s">
        <v>25</v>
      </c>
      <c r="F649" t="s">
        <v>12</v>
      </c>
      <c r="G649" t="s">
        <v>13</v>
      </c>
      <c r="H649" s="9">
        <v>21</v>
      </c>
      <c r="I649" s="9">
        <v>433</v>
      </c>
      <c r="J649" s="10">
        <v>324750</v>
      </c>
      <c r="K649" s="10">
        <v>38970</v>
      </c>
      <c r="L649">
        <v>41</v>
      </c>
      <c r="M649" s="8">
        <v>44105</v>
      </c>
      <c r="N649" s="23">
        <v>1.6358483252514799E-3</v>
      </c>
      <c r="O649" s="10" t="str">
        <f>IF(Sales_Data[[#This Row],[Total Profit]]&gt;0,"Profitable","Loss")</f>
        <v>Profitable</v>
      </c>
      <c r="P649" s="10" t="str">
        <f>IF(Sales_Data[[#This Row],[Total Profit]]&gt;100000,"High Value",IF(Sales_Data[[#This Row],[Total Profit]]&gt;60000,"Medium","Low"))</f>
        <v>Low</v>
      </c>
      <c r="Q649" s="11" t="str">
        <f>PROPER(Sales_Data[[#This Row],[Month Name]])</f>
        <v>Outubro</v>
      </c>
      <c r="R649" s="11" t="str">
        <f>PROPER(Sales_Data[[#This Row],[Sales Manager]])</f>
        <v>Emily White</v>
      </c>
    </row>
    <row r="650" spans="1:18" hidden="1" x14ac:dyDescent="0.25">
      <c r="A650">
        <v>10649</v>
      </c>
      <c r="B650">
        <v>2020</v>
      </c>
      <c r="C650" t="s">
        <v>75</v>
      </c>
      <c r="D650" s="8">
        <v>44114</v>
      </c>
      <c r="E650" t="s">
        <v>22</v>
      </c>
      <c r="F650" t="s">
        <v>12</v>
      </c>
      <c r="G650" t="s">
        <v>23</v>
      </c>
      <c r="H650" s="9">
        <v>7</v>
      </c>
      <c r="I650" s="9">
        <v>370</v>
      </c>
      <c r="J650" s="10">
        <v>129500</v>
      </c>
      <c r="K650" s="10">
        <v>12950</v>
      </c>
      <c r="L650">
        <v>41</v>
      </c>
      <c r="M650" s="8">
        <v>44105</v>
      </c>
      <c r="N650" s="23">
        <v>6.5232442839127495E-4</v>
      </c>
      <c r="O650" s="10" t="str">
        <f>IF(Sales_Data[[#This Row],[Total Profit]]&gt;0,"Profitable","Loss")</f>
        <v>Profitable</v>
      </c>
      <c r="P650" s="10" t="str">
        <f>IF(Sales_Data[[#This Row],[Total Profit]]&gt;100000,"High Value",IF(Sales_Data[[#This Row],[Total Profit]]&gt;60000,"Medium","Low"))</f>
        <v>Low</v>
      </c>
      <c r="Q650" s="11" t="str">
        <f>PROPER(Sales_Data[[#This Row],[Month Name]])</f>
        <v>Outubro</v>
      </c>
      <c r="R650" s="11" t="str">
        <f>PROPER(Sales_Data[[#This Row],[Sales Manager]])</f>
        <v>Emily White</v>
      </c>
    </row>
    <row r="651" spans="1:18" hidden="1" x14ac:dyDescent="0.25">
      <c r="A651">
        <v>10650</v>
      </c>
      <c r="B651">
        <v>2020</v>
      </c>
      <c r="C651" t="s">
        <v>75</v>
      </c>
      <c r="D651" s="8">
        <v>44115</v>
      </c>
      <c r="E651" t="s">
        <v>22</v>
      </c>
      <c r="F651" t="s">
        <v>12</v>
      </c>
      <c r="G651" t="s">
        <v>17</v>
      </c>
      <c r="H651" s="9">
        <v>40</v>
      </c>
      <c r="I651" s="9">
        <v>425</v>
      </c>
      <c r="J651" s="10">
        <v>106250</v>
      </c>
      <c r="K651" s="10">
        <v>38250</v>
      </c>
      <c r="L651">
        <v>42</v>
      </c>
      <c r="M651" s="8">
        <v>44105</v>
      </c>
      <c r="N651" s="23">
        <v>5.3520826653724303E-4</v>
      </c>
      <c r="O651" s="10" t="str">
        <f>IF(Sales_Data[[#This Row],[Total Profit]]&gt;0,"Profitable","Loss")</f>
        <v>Profitable</v>
      </c>
      <c r="P651" s="10" t="str">
        <f>IF(Sales_Data[[#This Row],[Total Profit]]&gt;100000,"High Value",IF(Sales_Data[[#This Row],[Total Profit]]&gt;60000,"Medium","Low"))</f>
        <v>Low</v>
      </c>
      <c r="Q651" s="11" t="str">
        <f>PROPER(Sales_Data[[#This Row],[Month Name]])</f>
        <v>Outubro</v>
      </c>
      <c r="R651" s="11" t="str">
        <f>PROPER(Sales_Data[[#This Row],[Sales Manager]])</f>
        <v>Emily White</v>
      </c>
    </row>
    <row r="652" spans="1:18" hidden="1" x14ac:dyDescent="0.25">
      <c r="A652">
        <v>10651</v>
      </c>
      <c r="B652">
        <v>2020</v>
      </c>
      <c r="C652" t="s">
        <v>75</v>
      </c>
      <c r="D652" s="8">
        <v>44116</v>
      </c>
      <c r="E652" t="s">
        <v>19</v>
      </c>
      <c r="F652" t="s">
        <v>12</v>
      </c>
      <c r="G652" t="s">
        <v>15</v>
      </c>
      <c r="H652" s="9">
        <v>32</v>
      </c>
      <c r="I652" s="9">
        <v>323</v>
      </c>
      <c r="J652" s="10">
        <v>161500</v>
      </c>
      <c r="K652" s="10">
        <v>35530</v>
      </c>
      <c r="L652">
        <v>42</v>
      </c>
      <c r="M652" s="8">
        <v>44105</v>
      </c>
      <c r="N652" s="23">
        <v>8.1351656513660897E-4</v>
      </c>
      <c r="O652" s="10" t="str">
        <f>IF(Sales_Data[[#This Row],[Total Profit]]&gt;0,"Profitable","Loss")</f>
        <v>Profitable</v>
      </c>
      <c r="P652" s="10" t="str">
        <f>IF(Sales_Data[[#This Row],[Total Profit]]&gt;100000,"High Value",IF(Sales_Data[[#This Row],[Total Profit]]&gt;60000,"Medium","Low"))</f>
        <v>Low</v>
      </c>
      <c r="Q652" s="11" t="str">
        <f>PROPER(Sales_Data[[#This Row],[Month Name]])</f>
        <v>Outubro</v>
      </c>
      <c r="R652" s="11" t="str">
        <f>PROPER(Sales_Data[[#This Row],[Sales Manager]])</f>
        <v>Emily White</v>
      </c>
    </row>
    <row r="653" spans="1:18" hidden="1" x14ac:dyDescent="0.25">
      <c r="A653">
        <v>10652</v>
      </c>
      <c r="B653">
        <v>2020</v>
      </c>
      <c r="C653" t="s">
        <v>75</v>
      </c>
      <c r="D653" s="8">
        <v>44117</v>
      </c>
      <c r="E653" t="s">
        <v>22</v>
      </c>
      <c r="F653" t="s">
        <v>18</v>
      </c>
      <c r="G653" t="s">
        <v>23</v>
      </c>
      <c r="H653" s="9">
        <v>14</v>
      </c>
      <c r="I653" s="9">
        <v>438</v>
      </c>
      <c r="J653" s="10">
        <v>153300</v>
      </c>
      <c r="K653" s="10">
        <v>64386</v>
      </c>
      <c r="L653">
        <v>42</v>
      </c>
      <c r="M653" s="8">
        <v>44105</v>
      </c>
      <c r="N653" s="23">
        <v>7.7221108009561696E-4</v>
      </c>
      <c r="O653" s="10" t="str">
        <f>IF(Sales_Data[[#This Row],[Total Profit]]&gt;0,"Profitable","Loss")</f>
        <v>Profitable</v>
      </c>
      <c r="P653" s="10" t="str">
        <f>IF(Sales_Data[[#This Row],[Total Profit]]&gt;100000,"High Value",IF(Sales_Data[[#This Row],[Total Profit]]&gt;60000,"Medium","Low"))</f>
        <v>Medium</v>
      </c>
      <c r="Q653" s="11" t="str">
        <f>PROPER(Sales_Data[[#This Row],[Month Name]])</f>
        <v>Outubro</v>
      </c>
      <c r="R653" s="11" t="str">
        <f>PROPER(Sales_Data[[#This Row],[Sales Manager]])</f>
        <v>Jane Doe</v>
      </c>
    </row>
    <row r="654" spans="1:18" hidden="1" x14ac:dyDescent="0.25">
      <c r="A654">
        <v>10653</v>
      </c>
      <c r="B654">
        <v>2020</v>
      </c>
      <c r="C654" t="s">
        <v>75</v>
      </c>
      <c r="D654" s="8">
        <v>44118</v>
      </c>
      <c r="E654" t="s">
        <v>11</v>
      </c>
      <c r="F654" t="s">
        <v>24</v>
      </c>
      <c r="G654" t="s">
        <v>20</v>
      </c>
      <c r="H654" s="9">
        <v>5</v>
      </c>
      <c r="I654" s="9">
        <v>97</v>
      </c>
      <c r="J654" s="10">
        <v>82450</v>
      </c>
      <c r="K654" s="10">
        <v>31331</v>
      </c>
      <c r="L654">
        <v>42</v>
      </c>
      <c r="M654" s="8">
        <v>44105</v>
      </c>
      <c r="N654" s="23">
        <v>4.153216148329E-4</v>
      </c>
      <c r="O654" s="10" t="str">
        <f>IF(Sales_Data[[#This Row],[Total Profit]]&gt;0,"Profitable","Loss")</f>
        <v>Profitable</v>
      </c>
      <c r="P654" s="10" t="str">
        <f>IF(Sales_Data[[#This Row],[Total Profit]]&gt;100000,"High Value",IF(Sales_Data[[#This Row],[Total Profit]]&gt;60000,"Medium","Low"))</f>
        <v>Low</v>
      </c>
      <c r="Q654" s="11" t="str">
        <f>PROPER(Sales_Data[[#This Row],[Month Name]])</f>
        <v>Outubro</v>
      </c>
      <c r="R654" s="11" t="str">
        <f>PROPER(Sales_Data[[#This Row],[Sales Manager]])</f>
        <v>Liam Lee</v>
      </c>
    </row>
    <row r="655" spans="1:18" hidden="1" x14ac:dyDescent="0.25">
      <c r="A655">
        <v>10654</v>
      </c>
      <c r="B655">
        <v>2020</v>
      </c>
      <c r="C655" t="s">
        <v>75</v>
      </c>
      <c r="D655" s="8">
        <v>44119</v>
      </c>
      <c r="E655" t="s">
        <v>19</v>
      </c>
      <c r="F655" t="s">
        <v>12</v>
      </c>
      <c r="G655" t="s">
        <v>17</v>
      </c>
      <c r="H655" s="9">
        <v>7</v>
      </c>
      <c r="I655" s="9">
        <v>110</v>
      </c>
      <c r="J655" s="10">
        <v>27500</v>
      </c>
      <c r="K655" s="10">
        <v>8525</v>
      </c>
      <c r="L655">
        <v>42</v>
      </c>
      <c r="M655" s="8">
        <v>44105</v>
      </c>
      <c r="N655" s="23">
        <v>1.38524492515522E-4</v>
      </c>
      <c r="O655" s="10" t="str">
        <f>IF(Sales_Data[[#This Row],[Total Profit]]&gt;0,"Profitable","Loss")</f>
        <v>Profitable</v>
      </c>
      <c r="P655" s="10" t="str">
        <f>IF(Sales_Data[[#This Row],[Total Profit]]&gt;100000,"High Value",IF(Sales_Data[[#This Row],[Total Profit]]&gt;60000,"Medium","Low"))</f>
        <v>Low</v>
      </c>
      <c r="Q655" s="11" t="str">
        <f>PROPER(Sales_Data[[#This Row],[Month Name]])</f>
        <v>Outubro</v>
      </c>
      <c r="R655" s="11" t="str">
        <f>PROPER(Sales_Data[[#This Row],[Sales Manager]])</f>
        <v>Emily White</v>
      </c>
    </row>
    <row r="656" spans="1:18" hidden="1" x14ac:dyDescent="0.25">
      <c r="A656">
        <v>10655</v>
      </c>
      <c r="B656">
        <v>2020</v>
      </c>
      <c r="C656" t="s">
        <v>75</v>
      </c>
      <c r="D656" s="8">
        <v>44120</v>
      </c>
      <c r="E656" t="s">
        <v>25</v>
      </c>
      <c r="F656" t="s">
        <v>16</v>
      </c>
      <c r="G656" t="s">
        <v>23</v>
      </c>
      <c r="H656" s="9">
        <v>1</v>
      </c>
      <c r="I656" s="9">
        <v>44</v>
      </c>
      <c r="J656" s="10">
        <v>15400</v>
      </c>
      <c r="K656" s="10">
        <v>4928</v>
      </c>
      <c r="L656">
        <v>42</v>
      </c>
      <c r="M656" s="8">
        <v>44105</v>
      </c>
      <c r="N656" s="23">
        <v>7.7573715808692103E-5</v>
      </c>
      <c r="O656" s="10" t="str">
        <f>IF(Sales_Data[[#This Row],[Total Profit]]&gt;0,"Profitable","Loss")</f>
        <v>Profitable</v>
      </c>
      <c r="P656" s="10" t="str">
        <f>IF(Sales_Data[[#This Row],[Total Profit]]&gt;100000,"High Value",IF(Sales_Data[[#This Row],[Total Profit]]&gt;60000,"Medium","Low"))</f>
        <v>Low</v>
      </c>
      <c r="Q656" s="11" t="str">
        <f>PROPER(Sales_Data[[#This Row],[Month Name]])</f>
        <v>Outubro</v>
      </c>
      <c r="R656" s="11" t="str">
        <f>PROPER(Sales_Data[[#This Row],[Sales Manager]])</f>
        <v>James Brown</v>
      </c>
    </row>
    <row r="657" spans="1:18" hidden="1" x14ac:dyDescent="0.25">
      <c r="A657">
        <v>10656</v>
      </c>
      <c r="B657">
        <v>2020</v>
      </c>
      <c r="C657" t="s">
        <v>75</v>
      </c>
      <c r="D657" s="8">
        <v>44121</v>
      </c>
      <c r="E657" t="s">
        <v>14</v>
      </c>
      <c r="F657" t="s">
        <v>18</v>
      </c>
      <c r="G657" t="s">
        <v>23</v>
      </c>
      <c r="H657" s="9">
        <v>5</v>
      </c>
      <c r="I657" s="9">
        <v>61</v>
      </c>
      <c r="J657" s="10">
        <v>21350</v>
      </c>
      <c r="K657" s="10">
        <v>4270</v>
      </c>
      <c r="L657">
        <v>42</v>
      </c>
      <c r="M657" s="8">
        <v>44105</v>
      </c>
      <c r="N657" s="23">
        <v>1.07545378734778E-4</v>
      </c>
      <c r="O657" s="10" t="str">
        <f>IF(Sales_Data[[#This Row],[Total Profit]]&gt;0,"Profitable","Loss")</f>
        <v>Profitable</v>
      </c>
      <c r="P657" s="10" t="str">
        <f>IF(Sales_Data[[#This Row],[Total Profit]]&gt;100000,"High Value",IF(Sales_Data[[#This Row],[Total Profit]]&gt;60000,"Medium","Low"))</f>
        <v>Low</v>
      </c>
      <c r="Q657" s="11" t="str">
        <f>PROPER(Sales_Data[[#This Row],[Month Name]])</f>
        <v>Outubro</v>
      </c>
      <c r="R657" s="11" t="str">
        <f>PROPER(Sales_Data[[#This Row],[Sales Manager]])</f>
        <v>Jane Doe</v>
      </c>
    </row>
    <row r="658" spans="1:18" hidden="1" x14ac:dyDescent="0.25">
      <c r="A658">
        <v>10657</v>
      </c>
      <c r="B658">
        <v>2020</v>
      </c>
      <c r="C658" t="s">
        <v>75</v>
      </c>
      <c r="D658" s="8">
        <v>44122</v>
      </c>
      <c r="E658" t="s">
        <v>11</v>
      </c>
      <c r="F658" t="s">
        <v>12</v>
      </c>
      <c r="G658" t="s">
        <v>23</v>
      </c>
      <c r="H658" s="9">
        <v>26</v>
      </c>
      <c r="I658" s="9">
        <v>343</v>
      </c>
      <c r="J658" s="10">
        <v>120050</v>
      </c>
      <c r="K658" s="10">
        <v>16807</v>
      </c>
      <c r="L658">
        <v>43</v>
      </c>
      <c r="M658" s="8">
        <v>44105</v>
      </c>
      <c r="N658" s="23">
        <v>6.0472237550866803E-4</v>
      </c>
      <c r="O658" s="10" t="str">
        <f>IF(Sales_Data[[#This Row],[Total Profit]]&gt;0,"Profitable","Loss")</f>
        <v>Profitable</v>
      </c>
      <c r="P658" s="10" t="str">
        <f>IF(Sales_Data[[#This Row],[Total Profit]]&gt;100000,"High Value",IF(Sales_Data[[#This Row],[Total Profit]]&gt;60000,"Medium","Low"))</f>
        <v>Low</v>
      </c>
      <c r="Q658" s="11" t="str">
        <f>PROPER(Sales_Data[[#This Row],[Month Name]])</f>
        <v>Outubro</v>
      </c>
      <c r="R658" s="11" t="str">
        <f>PROPER(Sales_Data[[#This Row],[Sales Manager]])</f>
        <v>Emily White</v>
      </c>
    </row>
    <row r="659" spans="1:18" hidden="1" x14ac:dyDescent="0.25">
      <c r="A659">
        <v>10658</v>
      </c>
      <c r="B659">
        <v>2020</v>
      </c>
      <c r="C659" t="s">
        <v>75</v>
      </c>
      <c r="D659" s="8">
        <v>44123</v>
      </c>
      <c r="E659" t="s">
        <v>19</v>
      </c>
      <c r="F659" t="s">
        <v>24</v>
      </c>
      <c r="G659" t="s">
        <v>23</v>
      </c>
      <c r="H659" s="9">
        <v>11</v>
      </c>
      <c r="I659" s="9">
        <v>247</v>
      </c>
      <c r="J659" s="10">
        <v>86450</v>
      </c>
      <c r="K659" s="10">
        <v>11238.5</v>
      </c>
      <c r="L659">
        <v>43</v>
      </c>
      <c r="M659" s="8">
        <v>44105</v>
      </c>
      <c r="N659" s="23">
        <v>4.3547063192606701E-4</v>
      </c>
      <c r="O659" s="10" t="str">
        <f>IF(Sales_Data[[#This Row],[Total Profit]]&gt;0,"Profitable","Loss")</f>
        <v>Profitable</v>
      </c>
      <c r="P659" s="10" t="str">
        <f>IF(Sales_Data[[#This Row],[Total Profit]]&gt;100000,"High Value",IF(Sales_Data[[#This Row],[Total Profit]]&gt;60000,"Medium","Low"))</f>
        <v>Low</v>
      </c>
      <c r="Q659" s="11" t="str">
        <f>PROPER(Sales_Data[[#This Row],[Month Name]])</f>
        <v>Outubro</v>
      </c>
      <c r="R659" s="11" t="str">
        <f>PROPER(Sales_Data[[#This Row],[Sales Manager]])</f>
        <v>Liam Lee</v>
      </c>
    </row>
    <row r="660" spans="1:18" hidden="1" x14ac:dyDescent="0.25">
      <c r="A660">
        <v>10659</v>
      </c>
      <c r="B660">
        <v>2020</v>
      </c>
      <c r="C660" t="s">
        <v>75</v>
      </c>
      <c r="D660" s="8">
        <v>44124</v>
      </c>
      <c r="E660" t="s">
        <v>22</v>
      </c>
      <c r="F660" t="s">
        <v>16</v>
      </c>
      <c r="G660" t="s">
        <v>17</v>
      </c>
      <c r="H660" s="9">
        <v>14</v>
      </c>
      <c r="I660" s="9">
        <v>449</v>
      </c>
      <c r="J660" s="10">
        <v>112250</v>
      </c>
      <c r="K660" s="10">
        <v>32552.499999999996</v>
      </c>
      <c r="L660">
        <v>43</v>
      </c>
      <c r="M660" s="8">
        <v>44105</v>
      </c>
      <c r="N660" s="23">
        <v>5.6543179217699298E-4</v>
      </c>
      <c r="O660" s="10" t="str">
        <f>IF(Sales_Data[[#This Row],[Total Profit]]&gt;0,"Profitable","Loss")</f>
        <v>Profitable</v>
      </c>
      <c r="P660" s="10" t="str">
        <f>IF(Sales_Data[[#This Row],[Total Profit]]&gt;100000,"High Value",IF(Sales_Data[[#This Row],[Total Profit]]&gt;60000,"Medium","Low"))</f>
        <v>Low</v>
      </c>
      <c r="Q660" s="11" t="str">
        <f>PROPER(Sales_Data[[#This Row],[Month Name]])</f>
        <v>Outubro</v>
      </c>
      <c r="R660" s="11" t="str">
        <f>PROPER(Sales_Data[[#This Row],[Sales Manager]])</f>
        <v>James Brown</v>
      </c>
    </row>
    <row r="661" spans="1:18" hidden="1" x14ac:dyDescent="0.25">
      <c r="A661">
        <v>10660</v>
      </c>
      <c r="B661">
        <v>2020</v>
      </c>
      <c r="C661" t="s">
        <v>75</v>
      </c>
      <c r="D661" s="8">
        <v>44125</v>
      </c>
      <c r="E661" t="s">
        <v>11</v>
      </c>
      <c r="F661" t="s">
        <v>24</v>
      </c>
      <c r="G661" t="s">
        <v>13</v>
      </c>
      <c r="H661" s="9">
        <v>4</v>
      </c>
      <c r="I661" s="9">
        <v>58</v>
      </c>
      <c r="J661" s="10">
        <v>43500</v>
      </c>
      <c r="K661" s="10">
        <v>13050</v>
      </c>
      <c r="L661">
        <v>43</v>
      </c>
      <c r="M661" s="8">
        <v>44105</v>
      </c>
      <c r="N661" s="23">
        <v>2.1912056088818901E-4</v>
      </c>
      <c r="O661" s="10" t="str">
        <f>IF(Sales_Data[[#This Row],[Total Profit]]&gt;0,"Profitable","Loss")</f>
        <v>Profitable</v>
      </c>
      <c r="P661" s="10" t="str">
        <f>IF(Sales_Data[[#This Row],[Total Profit]]&gt;100000,"High Value",IF(Sales_Data[[#This Row],[Total Profit]]&gt;60000,"Medium","Low"))</f>
        <v>Low</v>
      </c>
      <c r="Q661" s="11" t="str">
        <f>PROPER(Sales_Data[[#This Row],[Month Name]])</f>
        <v>Outubro</v>
      </c>
      <c r="R661" s="11" t="str">
        <f>PROPER(Sales_Data[[#This Row],[Sales Manager]])</f>
        <v>Liam Lee</v>
      </c>
    </row>
    <row r="662" spans="1:18" hidden="1" x14ac:dyDescent="0.25">
      <c r="A662">
        <v>10661</v>
      </c>
      <c r="B662">
        <v>2020</v>
      </c>
      <c r="C662" t="s">
        <v>75</v>
      </c>
      <c r="D662" s="8">
        <v>44126</v>
      </c>
      <c r="E662" t="s">
        <v>19</v>
      </c>
      <c r="F662" t="s">
        <v>21</v>
      </c>
      <c r="G662" t="s">
        <v>23</v>
      </c>
      <c r="H662" s="9">
        <v>11</v>
      </c>
      <c r="I662" s="9">
        <v>190</v>
      </c>
      <c r="J662" s="10">
        <v>66500</v>
      </c>
      <c r="K662" s="10">
        <v>11970</v>
      </c>
      <c r="L662">
        <v>43</v>
      </c>
      <c r="M662" s="8">
        <v>44105</v>
      </c>
      <c r="N662" s="23">
        <v>3.3497740917389803E-4</v>
      </c>
      <c r="O662" s="10" t="str">
        <f>IF(Sales_Data[[#This Row],[Total Profit]]&gt;0,"Profitable","Loss")</f>
        <v>Profitable</v>
      </c>
      <c r="P662" s="10" t="str">
        <f>IF(Sales_Data[[#This Row],[Total Profit]]&gt;100000,"High Value",IF(Sales_Data[[#This Row],[Total Profit]]&gt;60000,"Medium","Low"))</f>
        <v>Low</v>
      </c>
      <c r="Q662" s="11" t="str">
        <f>PROPER(Sales_Data[[#This Row],[Month Name]])</f>
        <v>Outubro</v>
      </c>
      <c r="R662" s="11" t="str">
        <f>PROPER(Sales_Data[[#This Row],[Sales Manager]])</f>
        <v>John Smith</v>
      </c>
    </row>
    <row r="663" spans="1:18" hidden="1" x14ac:dyDescent="0.25">
      <c r="A663">
        <v>10662</v>
      </c>
      <c r="B663">
        <v>2020</v>
      </c>
      <c r="C663" t="s">
        <v>75</v>
      </c>
      <c r="D663" s="8">
        <v>44127</v>
      </c>
      <c r="E663" t="s">
        <v>14</v>
      </c>
      <c r="F663" t="s">
        <v>21</v>
      </c>
      <c r="G663" t="s">
        <v>13</v>
      </c>
      <c r="H663" s="9">
        <v>12</v>
      </c>
      <c r="I663" s="9">
        <v>255</v>
      </c>
      <c r="J663" s="10">
        <v>191250</v>
      </c>
      <c r="K663" s="10">
        <v>61200</v>
      </c>
      <c r="L663">
        <v>43</v>
      </c>
      <c r="M663" s="8">
        <v>44105</v>
      </c>
      <c r="N663" s="23">
        <v>9.6337487976703702E-4</v>
      </c>
      <c r="O663" s="10" t="str">
        <f>IF(Sales_Data[[#This Row],[Total Profit]]&gt;0,"Profitable","Loss")</f>
        <v>Profitable</v>
      </c>
      <c r="P663" s="10" t="str">
        <f>IF(Sales_Data[[#This Row],[Total Profit]]&gt;100000,"High Value",IF(Sales_Data[[#This Row],[Total Profit]]&gt;60000,"Medium","Low"))</f>
        <v>Medium</v>
      </c>
      <c r="Q663" s="11" t="str">
        <f>PROPER(Sales_Data[[#This Row],[Month Name]])</f>
        <v>Outubro</v>
      </c>
      <c r="R663" s="11" t="str">
        <f>PROPER(Sales_Data[[#This Row],[Sales Manager]])</f>
        <v>John Smith</v>
      </c>
    </row>
    <row r="664" spans="1:18" hidden="1" x14ac:dyDescent="0.25">
      <c r="A664">
        <v>10663</v>
      </c>
      <c r="B664">
        <v>2020</v>
      </c>
      <c r="C664" t="s">
        <v>75</v>
      </c>
      <c r="D664" s="8">
        <v>44128</v>
      </c>
      <c r="E664" t="s">
        <v>11</v>
      </c>
      <c r="F664" t="s">
        <v>24</v>
      </c>
      <c r="G664" t="s">
        <v>23</v>
      </c>
      <c r="H664" s="9">
        <v>14</v>
      </c>
      <c r="I664" s="9">
        <v>428</v>
      </c>
      <c r="J664" s="10">
        <v>149800</v>
      </c>
      <c r="K664" s="10">
        <v>20972.000000000004</v>
      </c>
      <c r="L664">
        <v>43</v>
      </c>
      <c r="M664" s="8">
        <v>44105</v>
      </c>
      <c r="N664" s="23">
        <v>7.5458069013909597E-4</v>
      </c>
      <c r="O664" s="10" t="str">
        <f>IF(Sales_Data[[#This Row],[Total Profit]]&gt;0,"Profitable","Loss")</f>
        <v>Profitable</v>
      </c>
      <c r="P664" s="10" t="str">
        <f>IF(Sales_Data[[#This Row],[Total Profit]]&gt;100000,"High Value",IF(Sales_Data[[#This Row],[Total Profit]]&gt;60000,"Medium","Low"))</f>
        <v>Low</v>
      </c>
      <c r="Q664" s="11" t="str">
        <f>PROPER(Sales_Data[[#This Row],[Month Name]])</f>
        <v>Outubro</v>
      </c>
      <c r="R664" s="11" t="str">
        <f>PROPER(Sales_Data[[#This Row],[Sales Manager]])</f>
        <v>Liam Lee</v>
      </c>
    </row>
    <row r="665" spans="1:18" hidden="1" x14ac:dyDescent="0.25">
      <c r="A665">
        <v>10664</v>
      </c>
      <c r="B665">
        <v>2020</v>
      </c>
      <c r="C665" t="s">
        <v>75</v>
      </c>
      <c r="D665" s="8">
        <v>44129</v>
      </c>
      <c r="E665" t="s">
        <v>22</v>
      </c>
      <c r="F665" t="s">
        <v>21</v>
      </c>
      <c r="G665" t="s">
        <v>20</v>
      </c>
      <c r="H665" s="9">
        <v>8</v>
      </c>
      <c r="I665" s="9">
        <v>124</v>
      </c>
      <c r="J665" s="10">
        <v>105400</v>
      </c>
      <c r="K665" s="10">
        <v>45322</v>
      </c>
      <c r="L665">
        <v>44</v>
      </c>
      <c r="M665" s="8">
        <v>44105</v>
      </c>
      <c r="N665" s="23">
        <v>5.3092660040494498E-4</v>
      </c>
      <c r="O665" s="10" t="str">
        <f>IF(Sales_Data[[#This Row],[Total Profit]]&gt;0,"Profitable","Loss")</f>
        <v>Profitable</v>
      </c>
      <c r="P665" s="10" t="str">
        <f>IF(Sales_Data[[#This Row],[Total Profit]]&gt;100000,"High Value",IF(Sales_Data[[#This Row],[Total Profit]]&gt;60000,"Medium","Low"))</f>
        <v>Low</v>
      </c>
      <c r="Q665" s="11" t="str">
        <f>PROPER(Sales_Data[[#This Row],[Month Name]])</f>
        <v>Outubro</v>
      </c>
      <c r="R665" s="11" t="str">
        <f>PROPER(Sales_Data[[#This Row],[Sales Manager]])</f>
        <v>John Smith</v>
      </c>
    </row>
    <row r="666" spans="1:18" hidden="1" x14ac:dyDescent="0.25">
      <c r="A666">
        <v>10665</v>
      </c>
      <c r="B666">
        <v>2020</v>
      </c>
      <c r="C666" t="s">
        <v>75</v>
      </c>
      <c r="D666" s="8">
        <v>44130</v>
      </c>
      <c r="E666" t="s">
        <v>11</v>
      </c>
      <c r="F666" t="s">
        <v>24</v>
      </c>
      <c r="G666" t="s">
        <v>15</v>
      </c>
      <c r="H666" s="9">
        <v>13</v>
      </c>
      <c r="I666" s="9">
        <v>336</v>
      </c>
      <c r="J666" s="10">
        <v>168000</v>
      </c>
      <c r="K666" s="10">
        <v>25200</v>
      </c>
      <c r="L666">
        <v>44</v>
      </c>
      <c r="M666" s="8">
        <v>44105</v>
      </c>
      <c r="N666" s="23">
        <v>8.4625871791300499E-4</v>
      </c>
      <c r="O666" s="10" t="str">
        <f>IF(Sales_Data[[#This Row],[Total Profit]]&gt;0,"Profitable","Loss")</f>
        <v>Profitable</v>
      </c>
      <c r="P666" s="10" t="str">
        <f>IF(Sales_Data[[#This Row],[Total Profit]]&gt;100000,"High Value",IF(Sales_Data[[#This Row],[Total Profit]]&gt;60000,"Medium","Low"))</f>
        <v>Low</v>
      </c>
      <c r="Q666" s="11" t="str">
        <f>PROPER(Sales_Data[[#This Row],[Month Name]])</f>
        <v>Outubro</v>
      </c>
      <c r="R666" s="11" t="str">
        <f>PROPER(Sales_Data[[#This Row],[Sales Manager]])</f>
        <v>Liam Lee</v>
      </c>
    </row>
    <row r="667" spans="1:18" hidden="1" x14ac:dyDescent="0.25">
      <c r="A667">
        <v>10666</v>
      </c>
      <c r="B667">
        <v>2020</v>
      </c>
      <c r="C667" t="s">
        <v>75</v>
      </c>
      <c r="D667" s="8">
        <v>44131</v>
      </c>
      <c r="E667" t="s">
        <v>14</v>
      </c>
      <c r="F667" t="s">
        <v>16</v>
      </c>
      <c r="G667" t="s">
        <v>15</v>
      </c>
      <c r="H667" s="9">
        <v>8</v>
      </c>
      <c r="I667" s="9">
        <v>429</v>
      </c>
      <c r="J667" s="10">
        <v>214500</v>
      </c>
      <c r="K667" s="10">
        <v>32175</v>
      </c>
      <c r="L667">
        <v>44</v>
      </c>
      <c r="M667" s="8">
        <v>44105</v>
      </c>
      <c r="N667" s="23">
        <v>1.0804910416210699E-3</v>
      </c>
      <c r="O667" s="10" t="str">
        <f>IF(Sales_Data[[#This Row],[Total Profit]]&gt;0,"Profitable","Loss")</f>
        <v>Profitable</v>
      </c>
      <c r="P667" s="10" t="str">
        <f>IF(Sales_Data[[#This Row],[Total Profit]]&gt;100000,"High Value",IF(Sales_Data[[#This Row],[Total Profit]]&gt;60000,"Medium","Low"))</f>
        <v>Low</v>
      </c>
      <c r="Q667" s="11" t="str">
        <f>PROPER(Sales_Data[[#This Row],[Month Name]])</f>
        <v>Outubro</v>
      </c>
      <c r="R667" s="11" t="str">
        <f>PROPER(Sales_Data[[#This Row],[Sales Manager]])</f>
        <v>James Brown</v>
      </c>
    </row>
    <row r="668" spans="1:18" hidden="1" x14ac:dyDescent="0.25">
      <c r="A668">
        <v>10667</v>
      </c>
      <c r="B668">
        <v>2020</v>
      </c>
      <c r="C668" t="s">
        <v>75</v>
      </c>
      <c r="D668" s="8">
        <v>44132</v>
      </c>
      <c r="E668" t="s">
        <v>14</v>
      </c>
      <c r="F668" t="s">
        <v>18</v>
      </c>
      <c r="G668" t="s">
        <v>13</v>
      </c>
      <c r="H668" s="9">
        <v>32</v>
      </c>
      <c r="I668" s="9">
        <v>341</v>
      </c>
      <c r="J668" s="10">
        <v>255750</v>
      </c>
      <c r="K668" s="10">
        <v>53707.5</v>
      </c>
      <c r="L668">
        <v>44</v>
      </c>
      <c r="M668" s="8">
        <v>44105</v>
      </c>
      <c r="N668" s="23">
        <v>1.2882777803943501E-3</v>
      </c>
      <c r="O668" s="10" t="str">
        <f>IF(Sales_Data[[#This Row],[Total Profit]]&gt;0,"Profitable","Loss")</f>
        <v>Profitable</v>
      </c>
      <c r="P668" s="10" t="str">
        <f>IF(Sales_Data[[#This Row],[Total Profit]]&gt;100000,"High Value",IF(Sales_Data[[#This Row],[Total Profit]]&gt;60000,"Medium","Low"))</f>
        <v>Low</v>
      </c>
      <c r="Q668" s="11" t="str">
        <f>PROPER(Sales_Data[[#This Row],[Month Name]])</f>
        <v>Outubro</v>
      </c>
      <c r="R668" s="11" t="str">
        <f>PROPER(Sales_Data[[#This Row],[Sales Manager]])</f>
        <v>Jane Doe</v>
      </c>
    </row>
    <row r="669" spans="1:18" hidden="1" x14ac:dyDescent="0.25">
      <c r="A669">
        <v>10668</v>
      </c>
      <c r="B669">
        <v>2020</v>
      </c>
      <c r="C669" t="s">
        <v>75</v>
      </c>
      <c r="D669" s="8">
        <v>44133</v>
      </c>
      <c r="E669" t="s">
        <v>19</v>
      </c>
      <c r="F669" t="s">
        <v>24</v>
      </c>
      <c r="G669" t="s">
        <v>23</v>
      </c>
      <c r="H669" s="9">
        <v>3</v>
      </c>
      <c r="I669" s="9">
        <v>48</v>
      </c>
      <c r="J669" s="10">
        <v>16800</v>
      </c>
      <c r="K669" s="10">
        <v>2352</v>
      </c>
      <c r="L669">
        <v>44</v>
      </c>
      <c r="M669" s="8">
        <v>44105</v>
      </c>
      <c r="N669" s="23">
        <v>8.4625871791300496E-5</v>
      </c>
      <c r="O669" s="10" t="str">
        <f>IF(Sales_Data[[#This Row],[Total Profit]]&gt;0,"Profitable","Loss")</f>
        <v>Profitable</v>
      </c>
      <c r="P669" s="10" t="str">
        <f>IF(Sales_Data[[#This Row],[Total Profit]]&gt;100000,"High Value",IF(Sales_Data[[#This Row],[Total Profit]]&gt;60000,"Medium","Low"))</f>
        <v>Low</v>
      </c>
      <c r="Q669" s="11" t="str">
        <f>PROPER(Sales_Data[[#This Row],[Month Name]])</f>
        <v>Outubro</v>
      </c>
      <c r="R669" s="11" t="str">
        <f>PROPER(Sales_Data[[#This Row],[Sales Manager]])</f>
        <v>Liam Lee</v>
      </c>
    </row>
    <row r="670" spans="1:18" hidden="1" x14ac:dyDescent="0.25">
      <c r="A670">
        <v>10669</v>
      </c>
      <c r="B670">
        <v>2020</v>
      </c>
      <c r="C670" t="s">
        <v>75</v>
      </c>
      <c r="D670" s="8">
        <v>44134</v>
      </c>
      <c r="E670" t="s">
        <v>22</v>
      </c>
      <c r="F670" t="s">
        <v>24</v>
      </c>
      <c r="G670" t="s">
        <v>13</v>
      </c>
      <c r="H670" s="9">
        <v>1</v>
      </c>
      <c r="I670" s="9">
        <v>29</v>
      </c>
      <c r="J670" s="10">
        <v>21750</v>
      </c>
      <c r="K670" s="10">
        <v>9570</v>
      </c>
      <c r="L670">
        <v>44</v>
      </c>
      <c r="M670" s="8">
        <v>44105</v>
      </c>
      <c r="N670" s="23">
        <v>1.09560280444094E-4</v>
      </c>
      <c r="O670" s="10" t="str">
        <f>IF(Sales_Data[[#This Row],[Total Profit]]&gt;0,"Profitable","Loss")</f>
        <v>Profitable</v>
      </c>
      <c r="P670" s="10" t="str">
        <f>IF(Sales_Data[[#This Row],[Total Profit]]&gt;100000,"High Value",IF(Sales_Data[[#This Row],[Total Profit]]&gt;60000,"Medium","Low"))</f>
        <v>Low</v>
      </c>
      <c r="Q670" s="11" t="str">
        <f>PROPER(Sales_Data[[#This Row],[Month Name]])</f>
        <v>Outubro</v>
      </c>
      <c r="R670" s="11" t="str">
        <f>PROPER(Sales_Data[[#This Row],[Sales Manager]])</f>
        <v>Liam Lee</v>
      </c>
    </row>
    <row r="671" spans="1:18" hidden="1" x14ac:dyDescent="0.25">
      <c r="A671">
        <v>10670</v>
      </c>
      <c r="B671">
        <v>2020</v>
      </c>
      <c r="C671" t="s">
        <v>75</v>
      </c>
      <c r="D671" s="8">
        <v>44135</v>
      </c>
      <c r="E671" t="s">
        <v>25</v>
      </c>
      <c r="F671" t="s">
        <v>18</v>
      </c>
      <c r="G671" t="s">
        <v>17</v>
      </c>
      <c r="H671" s="9">
        <v>7</v>
      </c>
      <c r="I671" s="9">
        <v>105</v>
      </c>
      <c r="J671" s="10">
        <v>26250</v>
      </c>
      <c r="K671" s="10">
        <v>4462.5</v>
      </c>
      <c r="L671">
        <v>44</v>
      </c>
      <c r="M671" s="8">
        <v>44105</v>
      </c>
      <c r="N671" s="23">
        <v>1.32227924673907E-4</v>
      </c>
      <c r="O671" s="10" t="str">
        <f>IF(Sales_Data[[#This Row],[Total Profit]]&gt;0,"Profitable","Loss")</f>
        <v>Profitable</v>
      </c>
      <c r="P671" s="10" t="str">
        <f>IF(Sales_Data[[#This Row],[Total Profit]]&gt;100000,"High Value",IF(Sales_Data[[#This Row],[Total Profit]]&gt;60000,"Medium","Low"))</f>
        <v>Low</v>
      </c>
      <c r="Q671" s="11" t="str">
        <f>PROPER(Sales_Data[[#This Row],[Month Name]])</f>
        <v>Outubro</v>
      </c>
      <c r="R671" s="11" t="str">
        <f>PROPER(Sales_Data[[#This Row],[Sales Manager]])</f>
        <v>Jane Doe</v>
      </c>
    </row>
    <row r="672" spans="1:18" hidden="1" x14ac:dyDescent="0.25">
      <c r="A672">
        <v>10671</v>
      </c>
      <c r="B672">
        <v>2020</v>
      </c>
      <c r="C672" t="s">
        <v>76</v>
      </c>
      <c r="D672" s="8">
        <v>44136</v>
      </c>
      <c r="E672" t="s">
        <v>22</v>
      </c>
      <c r="F672" t="s">
        <v>24</v>
      </c>
      <c r="G672" t="s">
        <v>13</v>
      </c>
      <c r="H672" s="9">
        <v>4</v>
      </c>
      <c r="I672" s="9">
        <v>310</v>
      </c>
      <c r="J672" s="10">
        <v>232500</v>
      </c>
      <c r="K672" s="10">
        <v>41850</v>
      </c>
      <c r="L672">
        <v>45</v>
      </c>
      <c r="M672" s="8">
        <v>44105</v>
      </c>
      <c r="N672" s="23">
        <v>1.1711616185403201E-3</v>
      </c>
      <c r="O672" s="10" t="str">
        <f>IF(Sales_Data[[#This Row],[Total Profit]]&gt;0,"Profitable","Loss")</f>
        <v>Profitable</v>
      </c>
      <c r="P672" s="10" t="str">
        <f>IF(Sales_Data[[#This Row],[Total Profit]]&gt;100000,"High Value",IF(Sales_Data[[#This Row],[Total Profit]]&gt;60000,"Medium","Low"))</f>
        <v>Low</v>
      </c>
      <c r="Q672" s="11" t="str">
        <f>PROPER(Sales_Data[[#This Row],[Month Name]])</f>
        <v>Novembro</v>
      </c>
      <c r="R672" s="11" t="str">
        <f>PROPER(Sales_Data[[#This Row],[Sales Manager]])</f>
        <v>Liam Lee</v>
      </c>
    </row>
    <row r="673" spans="1:18" hidden="1" x14ac:dyDescent="0.25">
      <c r="A673">
        <v>10672</v>
      </c>
      <c r="B673">
        <v>2020</v>
      </c>
      <c r="C673" t="s">
        <v>76</v>
      </c>
      <c r="D673" s="8">
        <v>44137</v>
      </c>
      <c r="E673" t="s">
        <v>14</v>
      </c>
      <c r="F673" t="s">
        <v>21</v>
      </c>
      <c r="G673" t="s">
        <v>20</v>
      </c>
      <c r="H673" s="9">
        <v>1</v>
      </c>
      <c r="I673" s="9">
        <v>21</v>
      </c>
      <c r="J673" s="10">
        <v>17850</v>
      </c>
      <c r="K673" s="10">
        <v>4462.5</v>
      </c>
      <c r="L673">
        <v>45</v>
      </c>
      <c r="M673" s="8">
        <v>44105</v>
      </c>
      <c r="N673" s="23">
        <v>8.9914988778256802E-5</v>
      </c>
      <c r="O673" s="10" t="str">
        <f>IF(Sales_Data[[#This Row],[Total Profit]]&gt;0,"Profitable","Loss")</f>
        <v>Profitable</v>
      </c>
      <c r="P673" s="10" t="str">
        <f>IF(Sales_Data[[#This Row],[Total Profit]]&gt;100000,"High Value",IF(Sales_Data[[#This Row],[Total Profit]]&gt;60000,"Medium","Low"))</f>
        <v>Low</v>
      </c>
      <c r="Q673" s="11" t="str">
        <f>PROPER(Sales_Data[[#This Row],[Month Name]])</f>
        <v>Novembro</v>
      </c>
      <c r="R673" s="11" t="str">
        <f>PROPER(Sales_Data[[#This Row],[Sales Manager]])</f>
        <v>John Smith</v>
      </c>
    </row>
    <row r="674" spans="1:18" hidden="1" x14ac:dyDescent="0.25">
      <c r="A674">
        <v>10673</v>
      </c>
      <c r="B674">
        <v>2020</v>
      </c>
      <c r="C674" t="s">
        <v>76</v>
      </c>
      <c r="D674" s="8">
        <v>44138</v>
      </c>
      <c r="E674" t="s">
        <v>19</v>
      </c>
      <c r="F674" t="s">
        <v>18</v>
      </c>
      <c r="G674" t="s">
        <v>17</v>
      </c>
      <c r="H674" s="9">
        <v>4</v>
      </c>
      <c r="I674" s="9">
        <v>254</v>
      </c>
      <c r="J674" s="10">
        <v>63500</v>
      </c>
      <c r="K674" s="10">
        <v>12700</v>
      </c>
      <c r="L674">
        <v>45</v>
      </c>
      <c r="M674" s="8">
        <v>44105</v>
      </c>
      <c r="N674" s="23">
        <v>3.19865646354023E-4</v>
      </c>
      <c r="O674" s="10" t="str">
        <f>IF(Sales_Data[[#This Row],[Total Profit]]&gt;0,"Profitable","Loss")</f>
        <v>Profitable</v>
      </c>
      <c r="P674" s="10" t="str">
        <f>IF(Sales_Data[[#This Row],[Total Profit]]&gt;100000,"High Value",IF(Sales_Data[[#This Row],[Total Profit]]&gt;60000,"Medium","Low"))</f>
        <v>Low</v>
      </c>
      <c r="Q674" s="11" t="str">
        <f>PROPER(Sales_Data[[#This Row],[Month Name]])</f>
        <v>Novembro</v>
      </c>
      <c r="R674" s="11" t="str">
        <f>PROPER(Sales_Data[[#This Row],[Sales Manager]])</f>
        <v>Jane Doe</v>
      </c>
    </row>
    <row r="675" spans="1:18" hidden="1" x14ac:dyDescent="0.25">
      <c r="A675">
        <v>10674</v>
      </c>
      <c r="B675">
        <v>2020</v>
      </c>
      <c r="C675" t="s">
        <v>76</v>
      </c>
      <c r="D675" s="8">
        <v>44139</v>
      </c>
      <c r="E675" t="s">
        <v>11</v>
      </c>
      <c r="F675" t="s">
        <v>24</v>
      </c>
      <c r="G675" t="s">
        <v>20</v>
      </c>
      <c r="H675" s="9">
        <v>12</v>
      </c>
      <c r="I675" s="9">
        <v>335</v>
      </c>
      <c r="J675" s="10">
        <v>284750</v>
      </c>
      <c r="K675" s="10">
        <v>42712.5</v>
      </c>
      <c r="L675">
        <v>45</v>
      </c>
      <c r="M675" s="8">
        <v>44105</v>
      </c>
      <c r="N675" s="23">
        <v>1.4343581543198099E-3</v>
      </c>
      <c r="O675" s="10" t="str">
        <f>IF(Sales_Data[[#This Row],[Total Profit]]&gt;0,"Profitable","Loss")</f>
        <v>Profitable</v>
      </c>
      <c r="P675" s="10" t="str">
        <f>IF(Sales_Data[[#This Row],[Total Profit]]&gt;100000,"High Value",IF(Sales_Data[[#This Row],[Total Profit]]&gt;60000,"Medium","Low"))</f>
        <v>Low</v>
      </c>
      <c r="Q675" s="11" t="str">
        <f>PROPER(Sales_Data[[#This Row],[Month Name]])</f>
        <v>Novembro</v>
      </c>
      <c r="R675" s="11" t="str">
        <f>PROPER(Sales_Data[[#This Row],[Sales Manager]])</f>
        <v>Liam Lee</v>
      </c>
    </row>
    <row r="676" spans="1:18" hidden="1" x14ac:dyDescent="0.25">
      <c r="A676">
        <v>10675</v>
      </c>
      <c r="B676">
        <v>2020</v>
      </c>
      <c r="C676" t="s">
        <v>76</v>
      </c>
      <c r="D676" s="8">
        <v>44140</v>
      </c>
      <c r="E676" t="s">
        <v>19</v>
      </c>
      <c r="F676" t="s">
        <v>21</v>
      </c>
      <c r="G676" t="s">
        <v>20</v>
      </c>
      <c r="H676" s="9">
        <v>26</v>
      </c>
      <c r="I676" s="9">
        <v>287</v>
      </c>
      <c r="J676" s="10">
        <v>243950</v>
      </c>
      <c r="K676" s="10">
        <v>73185</v>
      </c>
      <c r="L676">
        <v>45</v>
      </c>
      <c r="M676" s="8">
        <v>44105</v>
      </c>
      <c r="N676" s="23">
        <v>1.2288381799695101E-3</v>
      </c>
      <c r="O676" s="10" t="str">
        <f>IF(Sales_Data[[#This Row],[Total Profit]]&gt;0,"Profitable","Loss")</f>
        <v>Profitable</v>
      </c>
      <c r="P676" s="10" t="str">
        <f>IF(Sales_Data[[#This Row],[Total Profit]]&gt;100000,"High Value",IF(Sales_Data[[#This Row],[Total Profit]]&gt;60000,"Medium","Low"))</f>
        <v>Medium</v>
      </c>
      <c r="Q676" s="11" t="str">
        <f>PROPER(Sales_Data[[#This Row],[Month Name]])</f>
        <v>Novembro</v>
      </c>
      <c r="R676" s="11" t="str">
        <f>PROPER(Sales_Data[[#This Row],[Sales Manager]])</f>
        <v>John Smith</v>
      </c>
    </row>
    <row r="677" spans="1:18" hidden="1" x14ac:dyDescent="0.25">
      <c r="A677">
        <v>10676</v>
      </c>
      <c r="B677">
        <v>2020</v>
      </c>
      <c r="C677" t="s">
        <v>76</v>
      </c>
      <c r="D677" s="8">
        <v>44141</v>
      </c>
      <c r="E677" t="s">
        <v>25</v>
      </c>
      <c r="F677" t="s">
        <v>18</v>
      </c>
      <c r="G677" t="s">
        <v>23</v>
      </c>
      <c r="H677" s="9">
        <v>2</v>
      </c>
      <c r="I677" s="9">
        <v>20</v>
      </c>
      <c r="J677" s="10">
        <v>7000</v>
      </c>
      <c r="K677" s="10">
        <v>1470</v>
      </c>
      <c r="L677">
        <v>45</v>
      </c>
      <c r="M677" s="8">
        <v>44105</v>
      </c>
      <c r="N677" s="23">
        <v>3.5260779913041902E-5</v>
      </c>
      <c r="O677" s="10" t="str">
        <f>IF(Sales_Data[[#This Row],[Total Profit]]&gt;0,"Profitable","Loss")</f>
        <v>Profitable</v>
      </c>
      <c r="P677" s="10" t="str">
        <f>IF(Sales_Data[[#This Row],[Total Profit]]&gt;100000,"High Value",IF(Sales_Data[[#This Row],[Total Profit]]&gt;60000,"Medium","Low"))</f>
        <v>Low</v>
      </c>
      <c r="Q677" s="11" t="str">
        <f>PROPER(Sales_Data[[#This Row],[Month Name]])</f>
        <v>Novembro</v>
      </c>
      <c r="R677" s="11" t="str">
        <f>PROPER(Sales_Data[[#This Row],[Sales Manager]])</f>
        <v>Jane Doe</v>
      </c>
    </row>
    <row r="678" spans="1:18" hidden="1" x14ac:dyDescent="0.25">
      <c r="A678">
        <v>10677</v>
      </c>
      <c r="B678">
        <v>2020</v>
      </c>
      <c r="C678" t="s">
        <v>76</v>
      </c>
      <c r="D678" s="8">
        <v>44142</v>
      </c>
      <c r="E678" t="s">
        <v>11</v>
      </c>
      <c r="F678" t="s">
        <v>21</v>
      </c>
      <c r="G678" t="s">
        <v>15</v>
      </c>
      <c r="H678" s="9">
        <v>24</v>
      </c>
      <c r="I678" s="9">
        <v>267</v>
      </c>
      <c r="J678" s="10">
        <v>133500</v>
      </c>
      <c r="K678" s="10">
        <v>40050</v>
      </c>
      <c r="L678">
        <v>45</v>
      </c>
      <c r="M678" s="8">
        <v>44105</v>
      </c>
      <c r="N678" s="23">
        <v>6.7247344548444202E-4</v>
      </c>
      <c r="O678" s="10" t="str">
        <f>IF(Sales_Data[[#This Row],[Total Profit]]&gt;0,"Profitable","Loss")</f>
        <v>Profitable</v>
      </c>
      <c r="P678" s="10" t="str">
        <f>IF(Sales_Data[[#This Row],[Total Profit]]&gt;100000,"High Value",IF(Sales_Data[[#This Row],[Total Profit]]&gt;60000,"Medium","Low"))</f>
        <v>Low</v>
      </c>
      <c r="Q678" s="11" t="str">
        <f>PROPER(Sales_Data[[#This Row],[Month Name]])</f>
        <v>Novembro</v>
      </c>
      <c r="R678" s="11" t="str">
        <f>PROPER(Sales_Data[[#This Row],[Sales Manager]])</f>
        <v>John Smith</v>
      </c>
    </row>
    <row r="679" spans="1:18" hidden="1" x14ac:dyDescent="0.25">
      <c r="A679">
        <v>10678</v>
      </c>
      <c r="B679">
        <v>2020</v>
      </c>
      <c r="C679" t="s">
        <v>76</v>
      </c>
      <c r="D679" s="8">
        <v>44143</v>
      </c>
      <c r="E679" t="s">
        <v>25</v>
      </c>
      <c r="F679" t="s">
        <v>12</v>
      </c>
      <c r="G679" t="s">
        <v>17</v>
      </c>
      <c r="H679" s="9">
        <v>29</v>
      </c>
      <c r="I679" s="9">
        <v>470</v>
      </c>
      <c r="J679" s="10">
        <v>117500</v>
      </c>
      <c r="K679" s="10">
        <v>52875</v>
      </c>
      <c r="L679">
        <v>46</v>
      </c>
      <c r="M679" s="8">
        <v>44105</v>
      </c>
      <c r="N679" s="23">
        <v>5.9187737711177398E-4</v>
      </c>
      <c r="O679" s="10" t="str">
        <f>IF(Sales_Data[[#This Row],[Total Profit]]&gt;0,"Profitable","Loss")</f>
        <v>Profitable</v>
      </c>
      <c r="P679" s="10" t="str">
        <f>IF(Sales_Data[[#This Row],[Total Profit]]&gt;100000,"High Value",IF(Sales_Data[[#This Row],[Total Profit]]&gt;60000,"Medium","Low"))</f>
        <v>Low</v>
      </c>
      <c r="Q679" s="11" t="str">
        <f>PROPER(Sales_Data[[#This Row],[Month Name]])</f>
        <v>Novembro</v>
      </c>
      <c r="R679" s="11" t="str">
        <f>PROPER(Sales_Data[[#This Row],[Sales Manager]])</f>
        <v>Emily White</v>
      </c>
    </row>
    <row r="680" spans="1:18" hidden="1" x14ac:dyDescent="0.25">
      <c r="A680">
        <v>10679</v>
      </c>
      <c r="B680">
        <v>2020</v>
      </c>
      <c r="C680" t="s">
        <v>76</v>
      </c>
      <c r="D680" s="8">
        <v>44144</v>
      </c>
      <c r="E680" t="s">
        <v>22</v>
      </c>
      <c r="F680" t="s">
        <v>21</v>
      </c>
      <c r="G680" t="s">
        <v>13</v>
      </c>
      <c r="H680" s="9">
        <v>27</v>
      </c>
      <c r="I680" s="9">
        <v>299</v>
      </c>
      <c r="J680" s="10">
        <v>224250</v>
      </c>
      <c r="K680" s="10">
        <v>94185</v>
      </c>
      <c r="L680">
        <v>46</v>
      </c>
      <c r="M680" s="8">
        <v>44105</v>
      </c>
      <c r="N680" s="23">
        <v>1.1296042707856599E-3</v>
      </c>
      <c r="O680" s="10" t="str">
        <f>IF(Sales_Data[[#This Row],[Total Profit]]&gt;0,"Profitable","Loss")</f>
        <v>Profitable</v>
      </c>
      <c r="P680" s="10" t="str">
        <f>IF(Sales_Data[[#This Row],[Total Profit]]&gt;100000,"High Value",IF(Sales_Data[[#This Row],[Total Profit]]&gt;60000,"Medium","Low"))</f>
        <v>Medium</v>
      </c>
      <c r="Q680" s="11" t="str">
        <f>PROPER(Sales_Data[[#This Row],[Month Name]])</f>
        <v>Novembro</v>
      </c>
      <c r="R680" s="11" t="str">
        <f>PROPER(Sales_Data[[#This Row],[Sales Manager]])</f>
        <v>John Smith</v>
      </c>
    </row>
    <row r="681" spans="1:18" hidden="1" x14ac:dyDescent="0.25">
      <c r="A681">
        <v>10680</v>
      </c>
      <c r="B681">
        <v>2020</v>
      </c>
      <c r="C681" t="s">
        <v>76</v>
      </c>
      <c r="D681" s="8">
        <v>44145</v>
      </c>
      <c r="E681" t="s">
        <v>25</v>
      </c>
      <c r="F681" t="s">
        <v>18</v>
      </c>
      <c r="G681" t="s">
        <v>17</v>
      </c>
      <c r="H681" s="9">
        <v>4</v>
      </c>
      <c r="I681" s="9">
        <v>225</v>
      </c>
      <c r="J681" s="10">
        <v>56250</v>
      </c>
      <c r="K681" s="10">
        <v>25312.5</v>
      </c>
      <c r="L681">
        <v>46</v>
      </c>
      <c r="M681" s="8">
        <v>44105</v>
      </c>
      <c r="N681" s="23">
        <v>2.8334555287265798E-4</v>
      </c>
      <c r="O681" s="10" t="str">
        <f>IF(Sales_Data[[#This Row],[Total Profit]]&gt;0,"Profitable","Loss")</f>
        <v>Profitable</v>
      </c>
      <c r="P681" s="10" t="str">
        <f>IF(Sales_Data[[#This Row],[Total Profit]]&gt;100000,"High Value",IF(Sales_Data[[#This Row],[Total Profit]]&gt;60000,"Medium","Low"))</f>
        <v>Low</v>
      </c>
      <c r="Q681" s="11" t="str">
        <f>PROPER(Sales_Data[[#This Row],[Month Name]])</f>
        <v>Novembro</v>
      </c>
      <c r="R681" s="11" t="str">
        <f>PROPER(Sales_Data[[#This Row],[Sales Manager]])</f>
        <v>Jane Doe</v>
      </c>
    </row>
    <row r="682" spans="1:18" hidden="1" x14ac:dyDescent="0.25">
      <c r="A682">
        <v>10681</v>
      </c>
      <c r="B682">
        <v>2020</v>
      </c>
      <c r="C682" t="s">
        <v>76</v>
      </c>
      <c r="D682" s="8">
        <v>44146</v>
      </c>
      <c r="E682" t="s">
        <v>25</v>
      </c>
      <c r="F682" t="s">
        <v>21</v>
      </c>
      <c r="G682" t="s">
        <v>17</v>
      </c>
      <c r="H682" s="9">
        <v>22</v>
      </c>
      <c r="I682" s="9">
        <v>297</v>
      </c>
      <c r="J682" s="10">
        <v>74250</v>
      </c>
      <c r="K682" s="10">
        <v>23017.5</v>
      </c>
      <c r="L682">
        <v>46</v>
      </c>
      <c r="M682" s="8">
        <v>44105</v>
      </c>
      <c r="N682" s="23">
        <v>3.7401612979190798E-4</v>
      </c>
      <c r="O682" s="10" t="str">
        <f>IF(Sales_Data[[#This Row],[Total Profit]]&gt;0,"Profitable","Loss")</f>
        <v>Profitable</v>
      </c>
      <c r="P682" s="10" t="str">
        <f>IF(Sales_Data[[#This Row],[Total Profit]]&gt;100000,"High Value",IF(Sales_Data[[#This Row],[Total Profit]]&gt;60000,"Medium","Low"))</f>
        <v>Low</v>
      </c>
      <c r="Q682" s="11" t="str">
        <f>PROPER(Sales_Data[[#This Row],[Month Name]])</f>
        <v>Novembro</v>
      </c>
      <c r="R682" s="11" t="str">
        <f>PROPER(Sales_Data[[#This Row],[Sales Manager]])</f>
        <v>John Smith</v>
      </c>
    </row>
    <row r="683" spans="1:18" hidden="1" x14ac:dyDescent="0.25">
      <c r="A683">
        <v>10682</v>
      </c>
      <c r="B683">
        <v>2020</v>
      </c>
      <c r="C683" t="s">
        <v>76</v>
      </c>
      <c r="D683" s="8">
        <v>44147</v>
      </c>
      <c r="E683" t="s">
        <v>14</v>
      </c>
      <c r="F683" t="s">
        <v>12</v>
      </c>
      <c r="G683" t="s">
        <v>23</v>
      </c>
      <c r="H683" s="9">
        <v>30</v>
      </c>
      <c r="I683" s="9">
        <v>380</v>
      </c>
      <c r="J683" s="10">
        <v>133000</v>
      </c>
      <c r="K683" s="10">
        <v>27930</v>
      </c>
      <c r="L683">
        <v>46</v>
      </c>
      <c r="M683" s="8">
        <v>44105</v>
      </c>
      <c r="N683" s="23">
        <v>6.6995481834779605E-4</v>
      </c>
      <c r="O683" s="10" t="str">
        <f>IF(Sales_Data[[#This Row],[Total Profit]]&gt;0,"Profitable","Loss")</f>
        <v>Profitable</v>
      </c>
      <c r="P683" s="10" t="str">
        <f>IF(Sales_Data[[#This Row],[Total Profit]]&gt;100000,"High Value",IF(Sales_Data[[#This Row],[Total Profit]]&gt;60000,"Medium","Low"))</f>
        <v>Low</v>
      </c>
      <c r="Q683" s="11" t="str">
        <f>PROPER(Sales_Data[[#This Row],[Month Name]])</f>
        <v>Novembro</v>
      </c>
      <c r="R683" s="11" t="str">
        <f>PROPER(Sales_Data[[#This Row],[Sales Manager]])</f>
        <v>Emily White</v>
      </c>
    </row>
    <row r="684" spans="1:18" hidden="1" x14ac:dyDescent="0.25">
      <c r="A684">
        <v>10683</v>
      </c>
      <c r="B684">
        <v>2020</v>
      </c>
      <c r="C684" t="s">
        <v>76</v>
      </c>
      <c r="D684" s="8">
        <v>44148</v>
      </c>
      <c r="E684" t="s">
        <v>14</v>
      </c>
      <c r="F684" t="s">
        <v>24</v>
      </c>
      <c r="G684" t="s">
        <v>17</v>
      </c>
      <c r="H684" s="9">
        <v>27</v>
      </c>
      <c r="I684" s="9">
        <v>304</v>
      </c>
      <c r="J684" s="10">
        <v>76000</v>
      </c>
      <c r="K684" s="10">
        <v>23560</v>
      </c>
      <c r="L684">
        <v>46</v>
      </c>
      <c r="M684" s="8">
        <v>44105</v>
      </c>
      <c r="N684" s="23">
        <v>3.8283132477016902E-4</v>
      </c>
      <c r="O684" s="10" t="str">
        <f>IF(Sales_Data[[#This Row],[Total Profit]]&gt;0,"Profitable","Loss")</f>
        <v>Profitable</v>
      </c>
      <c r="P684" s="10" t="str">
        <f>IF(Sales_Data[[#This Row],[Total Profit]]&gt;100000,"High Value",IF(Sales_Data[[#This Row],[Total Profit]]&gt;60000,"Medium","Low"))</f>
        <v>Low</v>
      </c>
      <c r="Q684" s="11" t="str">
        <f>PROPER(Sales_Data[[#This Row],[Month Name]])</f>
        <v>Novembro</v>
      </c>
      <c r="R684" s="11" t="str">
        <f>PROPER(Sales_Data[[#This Row],[Sales Manager]])</f>
        <v>Liam Lee</v>
      </c>
    </row>
    <row r="685" spans="1:18" hidden="1" x14ac:dyDescent="0.25">
      <c r="A685">
        <v>10684</v>
      </c>
      <c r="B685">
        <v>2020</v>
      </c>
      <c r="C685" t="s">
        <v>76</v>
      </c>
      <c r="D685" s="8">
        <v>44149</v>
      </c>
      <c r="E685" t="s">
        <v>25</v>
      </c>
      <c r="F685" t="s">
        <v>21</v>
      </c>
      <c r="G685" t="s">
        <v>17</v>
      </c>
      <c r="H685" s="9">
        <v>27</v>
      </c>
      <c r="I685" s="9">
        <v>356</v>
      </c>
      <c r="J685" s="10">
        <v>89000</v>
      </c>
      <c r="K685" s="10">
        <v>24920.000000000004</v>
      </c>
      <c r="L685">
        <v>46</v>
      </c>
      <c r="M685" s="8">
        <v>44105</v>
      </c>
      <c r="N685" s="23">
        <v>4.48315630322961E-4</v>
      </c>
      <c r="O685" s="10" t="str">
        <f>IF(Sales_Data[[#This Row],[Total Profit]]&gt;0,"Profitable","Loss")</f>
        <v>Profitable</v>
      </c>
      <c r="P685" s="10" t="str">
        <f>IF(Sales_Data[[#This Row],[Total Profit]]&gt;100000,"High Value",IF(Sales_Data[[#This Row],[Total Profit]]&gt;60000,"Medium","Low"))</f>
        <v>Low</v>
      </c>
      <c r="Q685" s="11" t="str">
        <f>PROPER(Sales_Data[[#This Row],[Month Name]])</f>
        <v>Novembro</v>
      </c>
      <c r="R685" s="11" t="str">
        <f>PROPER(Sales_Data[[#This Row],[Sales Manager]])</f>
        <v>John Smith</v>
      </c>
    </row>
    <row r="686" spans="1:18" hidden="1" x14ac:dyDescent="0.25">
      <c r="A686">
        <v>10685</v>
      </c>
      <c r="B686">
        <v>2020</v>
      </c>
      <c r="C686" t="s">
        <v>76</v>
      </c>
      <c r="D686" s="8">
        <v>44150</v>
      </c>
      <c r="E686" t="s">
        <v>22</v>
      </c>
      <c r="F686" t="s">
        <v>24</v>
      </c>
      <c r="G686" t="s">
        <v>17</v>
      </c>
      <c r="H686" s="9">
        <v>13</v>
      </c>
      <c r="I686" s="9">
        <v>307</v>
      </c>
      <c r="J686" s="10">
        <v>76750</v>
      </c>
      <c r="K686" s="10">
        <v>29165</v>
      </c>
      <c r="L686">
        <v>47</v>
      </c>
      <c r="M686" s="8">
        <v>44105</v>
      </c>
      <c r="N686" s="23">
        <v>3.8660926547513802E-4</v>
      </c>
      <c r="O686" s="10" t="str">
        <f>IF(Sales_Data[[#This Row],[Total Profit]]&gt;0,"Profitable","Loss")</f>
        <v>Profitable</v>
      </c>
      <c r="P686" s="10" t="str">
        <f>IF(Sales_Data[[#This Row],[Total Profit]]&gt;100000,"High Value",IF(Sales_Data[[#This Row],[Total Profit]]&gt;60000,"Medium","Low"))</f>
        <v>Low</v>
      </c>
      <c r="Q686" s="11" t="str">
        <f>PROPER(Sales_Data[[#This Row],[Month Name]])</f>
        <v>Novembro</v>
      </c>
      <c r="R686" s="11" t="str">
        <f>PROPER(Sales_Data[[#This Row],[Sales Manager]])</f>
        <v>Liam Lee</v>
      </c>
    </row>
    <row r="687" spans="1:18" hidden="1" x14ac:dyDescent="0.25">
      <c r="A687">
        <v>10686</v>
      </c>
      <c r="B687">
        <v>2020</v>
      </c>
      <c r="C687" t="s">
        <v>76</v>
      </c>
      <c r="D687" s="8">
        <v>44151</v>
      </c>
      <c r="E687" t="s">
        <v>14</v>
      </c>
      <c r="F687" t="s">
        <v>18</v>
      </c>
      <c r="G687" t="s">
        <v>23</v>
      </c>
      <c r="H687" s="9">
        <v>6</v>
      </c>
      <c r="I687" s="9">
        <v>172</v>
      </c>
      <c r="J687" s="10">
        <v>60200</v>
      </c>
      <c r="K687" s="10">
        <v>20468</v>
      </c>
      <c r="L687">
        <v>47</v>
      </c>
      <c r="M687" s="8">
        <v>44105</v>
      </c>
      <c r="N687" s="23">
        <v>3.0324270725216E-4</v>
      </c>
      <c r="O687" s="10" t="str">
        <f>IF(Sales_Data[[#This Row],[Total Profit]]&gt;0,"Profitable","Loss")</f>
        <v>Profitable</v>
      </c>
      <c r="P687" s="10" t="str">
        <f>IF(Sales_Data[[#This Row],[Total Profit]]&gt;100000,"High Value",IF(Sales_Data[[#This Row],[Total Profit]]&gt;60000,"Medium","Low"))</f>
        <v>Low</v>
      </c>
      <c r="Q687" s="11" t="str">
        <f>PROPER(Sales_Data[[#This Row],[Month Name]])</f>
        <v>Novembro</v>
      </c>
      <c r="R687" s="11" t="str">
        <f>PROPER(Sales_Data[[#This Row],[Sales Manager]])</f>
        <v>Jane Doe</v>
      </c>
    </row>
    <row r="688" spans="1:18" hidden="1" x14ac:dyDescent="0.25">
      <c r="A688">
        <v>10687</v>
      </c>
      <c r="B688">
        <v>2020</v>
      </c>
      <c r="C688" t="s">
        <v>76</v>
      </c>
      <c r="D688" s="8">
        <v>44152</v>
      </c>
      <c r="E688" t="s">
        <v>25</v>
      </c>
      <c r="F688" t="s">
        <v>24</v>
      </c>
      <c r="G688" t="s">
        <v>17</v>
      </c>
      <c r="H688" s="9">
        <v>4</v>
      </c>
      <c r="I688" s="9">
        <v>301</v>
      </c>
      <c r="J688" s="10">
        <v>75250</v>
      </c>
      <c r="K688" s="10">
        <v>32357.5</v>
      </c>
      <c r="L688">
        <v>47</v>
      </c>
      <c r="M688" s="8">
        <v>44105</v>
      </c>
      <c r="N688" s="23">
        <v>3.7905338406520002E-4</v>
      </c>
      <c r="O688" s="10" t="str">
        <f>IF(Sales_Data[[#This Row],[Total Profit]]&gt;0,"Profitable","Loss")</f>
        <v>Profitable</v>
      </c>
      <c r="P688" s="10" t="str">
        <f>IF(Sales_Data[[#This Row],[Total Profit]]&gt;100000,"High Value",IF(Sales_Data[[#This Row],[Total Profit]]&gt;60000,"Medium","Low"))</f>
        <v>Low</v>
      </c>
      <c r="Q688" s="11" t="str">
        <f>PROPER(Sales_Data[[#This Row],[Month Name]])</f>
        <v>Novembro</v>
      </c>
      <c r="R688" s="11" t="str">
        <f>PROPER(Sales_Data[[#This Row],[Sales Manager]])</f>
        <v>Liam Lee</v>
      </c>
    </row>
    <row r="689" spans="1:18" hidden="1" x14ac:dyDescent="0.25">
      <c r="A689">
        <v>10688</v>
      </c>
      <c r="B689">
        <v>2020</v>
      </c>
      <c r="C689" t="s">
        <v>76</v>
      </c>
      <c r="D689" s="8">
        <v>44153</v>
      </c>
      <c r="E689" t="s">
        <v>11</v>
      </c>
      <c r="F689" t="s">
        <v>21</v>
      </c>
      <c r="G689" t="s">
        <v>20</v>
      </c>
      <c r="H689" s="9">
        <v>29</v>
      </c>
      <c r="I689" s="9">
        <v>403</v>
      </c>
      <c r="J689" s="10">
        <v>342550</v>
      </c>
      <c r="K689" s="10">
        <v>68510</v>
      </c>
      <c r="L689">
        <v>47</v>
      </c>
      <c r="M689" s="8">
        <v>44105</v>
      </c>
      <c r="N689" s="23">
        <v>1.7255114513160699E-3</v>
      </c>
      <c r="O689" s="10" t="str">
        <f>IF(Sales_Data[[#This Row],[Total Profit]]&gt;0,"Profitable","Loss")</f>
        <v>Profitable</v>
      </c>
      <c r="P689" s="10" t="str">
        <f>IF(Sales_Data[[#This Row],[Total Profit]]&gt;100000,"High Value",IF(Sales_Data[[#This Row],[Total Profit]]&gt;60000,"Medium","Low"))</f>
        <v>Medium</v>
      </c>
      <c r="Q689" s="11" t="str">
        <f>PROPER(Sales_Data[[#This Row],[Month Name]])</f>
        <v>Novembro</v>
      </c>
      <c r="R689" s="11" t="str">
        <f>PROPER(Sales_Data[[#This Row],[Sales Manager]])</f>
        <v>John Smith</v>
      </c>
    </row>
    <row r="690" spans="1:18" hidden="1" x14ac:dyDescent="0.25">
      <c r="A690">
        <v>10689</v>
      </c>
      <c r="B690">
        <v>2020</v>
      </c>
      <c r="C690" t="s">
        <v>76</v>
      </c>
      <c r="D690" s="8">
        <v>44154</v>
      </c>
      <c r="E690" t="s">
        <v>22</v>
      </c>
      <c r="F690" t="s">
        <v>16</v>
      </c>
      <c r="G690" t="s">
        <v>13</v>
      </c>
      <c r="H690" s="9">
        <v>9</v>
      </c>
      <c r="I690" s="9">
        <v>301</v>
      </c>
      <c r="J690" s="10">
        <v>225750</v>
      </c>
      <c r="K690" s="10">
        <v>90300</v>
      </c>
      <c r="L690">
        <v>47</v>
      </c>
      <c r="M690" s="8">
        <v>44105</v>
      </c>
      <c r="N690" s="23">
        <v>1.1371601521956E-3</v>
      </c>
      <c r="O690" s="10" t="str">
        <f>IF(Sales_Data[[#This Row],[Total Profit]]&gt;0,"Profitable","Loss")</f>
        <v>Profitable</v>
      </c>
      <c r="P690" s="10" t="str">
        <f>IF(Sales_Data[[#This Row],[Total Profit]]&gt;100000,"High Value",IF(Sales_Data[[#This Row],[Total Profit]]&gt;60000,"Medium","Low"))</f>
        <v>Medium</v>
      </c>
      <c r="Q690" s="11" t="str">
        <f>PROPER(Sales_Data[[#This Row],[Month Name]])</f>
        <v>Novembro</v>
      </c>
      <c r="R690" s="11" t="str">
        <f>PROPER(Sales_Data[[#This Row],[Sales Manager]])</f>
        <v>James Brown</v>
      </c>
    </row>
    <row r="691" spans="1:18" hidden="1" x14ac:dyDescent="0.25">
      <c r="A691">
        <v>10690</v>
      </c>
      <c r="B691">
        <v>2020</v>
      </c>
      <c r="C691" t="s">
        <v>76</v>
      </c>
      <c r="D691" s="8">
        <v>44155</v>
      </c>
      <c r="E691" t="s">
        <v>25</v>
      </c>
      <c r="F691" t="s">
        <v>18</v>
      </c>
      <c r="G691" t="s">
        <v>15</v>
      </c>
      <c r="H691" s="9">
        <v>6</v>
      </c>
      <c r="I691" s="9">
        <v>187</v>
      </c>
      <c r="J691" s="10">
        <v>93500</v>
      </c>
      <c r="K691" s="10">
        <v>29920</v>
      </c>
      <c r="L691">
        <v>47</v>
      </c>
      <c r="M691" s="8">
        <v>44105</v>
      </c>
      <c r="N691" s="23">
        <v>4.7098327455277398E-4</v>
      </c>
      <c r="O691" s="10" t="str">
        <f>IF(Sales_Data[[#This Row],[Total Profit]]&gt;0,"Profitable","Loss")</f>
        <v>Profitable</v>
      </c>
      <c r="P691" s="10" t="str">
        <f>IF(Sales_Data[[#This Row],[Total Profit]]&gt;100000,"High Value",IF(Sales_Data[[#This Row],[Total Profit]]&gt;60000,"Medium","Low"))</f>
        <v>Low</v>
      </c>
      <c r="Q691" s="11" t="str">
        <f>PROPER(Sales_Data[[#This Row],[Month Name]])</f>
        <v>Novembro</v>
      </c>
      <c r="R691" s="11" t="str">
        <f>PROPER(Sales_Data[[#This Row],[Sales Manager]])</f>
        <v>Jane Doe</v>
      </c>
    </row>
    <row r="692" spans="1:18" hidden="1" x14ac:dyDescent="0.25">
      <c r="A692">
        <v>10691</v>
      </c>
      <c r="B692">
        <v>2020</v>
      </c>
      <c r="C692" t="s">
        <v>76</v>
      </c>
      <c r="D692" s="8">
        <v>44156</v>
      </c>
      <c r="E692" t="s">
        <v>25</v>
      </c>
      <c r="F692" t="s">
        <v>21</v>
      </c>
      <c r="G692" t="s">
        <v>15</v>
      </c>
      <c r="H692" s="9">
        <v>48</v>
      </c>
      <c r="I692" s="9">
        <v>494</v>
      </c>
      <c r="J692" s="10">
        <v>247000</v>
      </c>
      <c r="K692" s="10">
        <v>32110</v>
      </c>
      <c r="L692">
        <v>47</v>
      </c>
      <c r="M692" s="8">
        <v>44105</v>
      </c>
      <c r="N692" s="23">
        <v>1.24420180550305E-3</v>
      </c>
      <c r="O692" s="10" t="str">
        <f>IF(Sales_Data[[#This Row],[Total Profit]]&gt;0,"Profitable","Loss")</f>
        <v>Profitable</v>
      </c>
      <c r="P692" s="10" t="str">
        <f>IF(Sales_Data[[#This Row],[Total Profit]]&gt;100000,"High Value",IF(Sales_Data[[#This Row],[Total Profit]]&gt;60000,"Medium","Low"))</f>
        <v>Low</v>
      </c>
      <c r="Q692" s="11" t="str">
        <f>PROPER(Sales_Data[[#This Row],[Month Name]])</f>
        <v>Novembro</v>
      </c>
      <c r="R692" s="11" t="str">
        <f>PROPER(Sales_Data[[#This Row],[Sales Manager]])</f>
        <v>John Smith</v>
      </c>
    </row>
    <row r="693" spans="1:18" hidden="1" x14ac:dyDescent="0.25">
      <c r="A693">
        <v>10692</v>
      </c>
      <c r="B693">
        <v>2020</v>
      </c>
      <c r="C693" t="s">
        <v>76</v>
      </c>
      <c r="D693" s="8">
        <v>44157</v>
      </c>
      <c r="E693" t="s">
        <v>22</v>
      </c>
      <c r="F693" t="s">
        <v>24</v>
      </c>
      <c r="G693" t="s">
        <v>13</v>
      </c>
      <c r="H693" s="9">
        <v>4</v>
      </c>
      <c r="I693" s="9">
        <v>272</v>
      </c>
      <c r="J693" s="10">
        <v>204000</v>
      </c>
      <c r="K693" s="10">
        <v>53040</v>
      </c>
      <c r="L693">
        <v>48</v>
      </c>
      <c r="M693" s="8">
        <v>44105</v>
      </c>
      <c r="N693" s="23">
        <v>1.0275998717515101E-3</v>
      </c>
      <c r="O693" s="10" t="str">
        <f>IF(Sales_Data[[#This Row],[Total Profit]]&gt;0,"Profitable","Loss")</f>
        <v>Profitable</v>
      </c>
      <c r="P693" s="10" t="str">
        <f>IF(Sales_Data[[#This Row],[Total Profit]]&gt;100000,"High Value",IF(Sales_Data[[#This Row],[Total Profit]]&gt;60000,"Medium","Low"))</f>
        <v>Low</v>
      </c>
      <c r="Q693" s="11" t="str">
        <f>PROPER(Sales_Data[[#This Row],[Month Name]])</f>
        <v>Novembro</v>
      </c>
      <c r="R693" s="11" t="str">
        <f>PROPER(Sales_Data[[#This Row],[Sales Manager]])</f>
        <v>Liam Lee</v>
      </c>
    </row>
    <row r="694" spans="1:18" hidden="1" x14ac:dyDescent="0.25">
      <c r="A694">
        <v>10693</v>
      </c>
      <c r="B694">
        <v>2020</v>
      </c>
      <c r="C694" t="s">
        <v>76</v>
      </c>
      <c r="D694" s="8">
        <v>44158</v>
      </c>
      <c r="E694" t="s">
        <v>11</v>
      </c>
      <c r="F694" t="s">
        <v>18</v>
      </c>
      <c r="G694" t="s">
        <v>20</v>
      </c>
      <c r="H694" s="9">
        <v>4</v>
      </c>
      <c r="I694" s="9">
        <v>41</v>
      </c>
      <c r="J694" s="10">
        <v>34850</v>
      </c>
      <c r="K694" s="10">
        <v>13940</v>
      </c>
      <c r="L694">
        <v>48</v>
      </c>
      <c r="M694" s="8">
        <v>44105</v>
      </c>
      <c r="N694" s="23">
        <v>1.7554831142421601E-4</v>
      </c>
      <c r="O694" s="10" t="str">
        <f>IF(Sales_Data[[#This Row],[Total Profit]]&gt;0,"Profitable","Loss")</f>
        <v>Profitable</v>
      </c>
      <c r="P694" s="10" t="str">
        <f>IF(Sales_Data[[#This Row],[Total Profit]]&gt;100000,"High Value",IF(Sales_Data[[#This Row],[Total Profit]]&gt;60000,"Medium","Low"))</f>
        <v>Low</v>
      </c>
      <c r="Q694" s="11" t="str">
        <f>PROPER(Sales_Data[[#This Row],[Month Name]])</f>
        <v>Novembro</v>
      </c>
      <c r="R694" s="11" t="str">
        <f>PROPER(Sales_Data[[#This Row],[Sales Manager]])</f>
        <v>Jane Doe</v>
      </c>
    </row>
    <row r="695" spans="1:18" hidden="1" x14ac:dyDescent="0.25">
      <c r="A695">
        <v>10694</v>
      </c>
      <c r="B695">
        <v>2020</v>
      </c>
      <c r="C695" t="s">
        <v>76</v>
      </c>
      <c r="D695" s="8">
        <v>44159</v>
      </c>
      <c r="E695" t="s">
        <v>25</v>
      </c>
      <c r="F695" t="s">
        <v>24</v>
      </c>
      <c r="G695" t="s">
        <v>20</v>
      </c>
      <c r="H695" s="9">
        <v>2</v>
      </c>
      <c r="I695" s="9">
        <v>48</v>
      </c>
      <c r="J695" s="10">
        <v>40800</v>
      </c>
      <c r="K695" s="10">
        <v>15912</v>
      </c>
      <c r="L695">
        <v>48</v>
      </c>
      <c r="M695" s="8">
        <v>44105</v>
      </c>
      <c r="N695" s="23">
        <v>2.05519974350301E-4</v>
      </c>
      <c r="O695" s="10" t="str">
        <f>IF(Sales_Data[[#This Row],[Total Profit]]&gt;0,"Profitable","Loss")</f>
        <v>Profitable</v>
      </c>
      <c r="P695" s="10" t="str">
        <f>IF(Sales_Data[[#This Row],[Total Profit]]&gt;100000,"High Value",IF(Sales_Data[[#This Row],[Total Profit]]&gt;60000,"Medium","Low"))</f>
        <v>Low</v>
      </c>
      <c r="Q695" s="11" t="str">
        <f>PROPER(Sales_Data[[#This Row],[Month Name]])</f>
        <v>Novembro</v>
      </c>
      <c r="R695" s="11" t="str">
        <f>PROPER(Sales_Data[[#This Row],[Sales Manager]])</f>
        <v>Liam Lee</v>
      </c>
    </row>
    <row r="696" spans="1:18" hidden="1" x14ac:dyDescent="0.25">
      <c r="A696">
        <v>10695</v>
      </c>
      <c r="B696">
        <v>2020</v>
      </c>
      <c r="C696" t="s">
        <v>76</v>
      </c>
      <c r="D696" s="8">
        <v>44160</v>
      </c>
      <c r="E696" t="s">
        <v>19</v>
      </c>
      <c r="F696" t="s">
        <v>21</v>
      </c>
      <c r="G696" t="s">
        <v>17</v>
      </c>
      <c r="H696" s="9">
        <v>11</v>
      </c>
      <c r="I696" s="9">
        <v>243</v>
      </c>
      <c r="J696" s="10">
        <v>60750</v>
      </c>
      <c r="K696" s="10">
        <v>22477.5</v>
      </c>
      <c r="L696">
        <v>48</v>
      </c>
      <c r="M696" s="8">
        <v>44105</v>
      </c>
      <c r="N696" s="23">
        <v>3.0601319710247101E-4</v>
      </c>
      <c r="O696" s="10" t="str">
        <f>IF(Sales_Data[[#This Row],[Total Profit]]&gt;0,"Profitable","Loss")</f>
        <v>Profitable</v>
      </c>
      <c r="P696" s="10" t="str">
        <f>IF(Sales_Data[[#This Row],[Total Profit]]&gt;100000,"High Value",IF(Sales_Data[[#This Row],[Total Profit]]&gt;60000,"Medium","Low"))</f>
        <v>Low</v>
      </c>
      <c r="Q696" s="11" t="str">
        <f>PROPER(Sales_Data[[#This Row],[Month Name]])</f>
        <v>Novembro</v>
      </c>
      <c r="R696" s="11" t="str">
        <f>PROPER(Sales_Data[[#This Row],[Sales Manager]])</f>
        <v>John Smith</v>
      </c>
    </row>
    <row r="697" spans="1:18" hidden="1" x14ac:dyDescent="0.25">
      <c r="A697">
        <v>10696</v>
      </c>
      <c r="B697">
        <v>2020</v>
      </c>
      <c r="C697" t="s">
        <v>76</v>
      </c>
      <c r="D697" s="8">
        <v>44161</v>
      </c>
      <c r="E697" t="s">
        <v>22</v>
      </c>
      <c r="F697" t="s">
        <v>24</v>
      </c>
      <c r="G697" t="s">
        <v>17</v>
      </c>
      <c r="H697" s="9">
        <v>15</v>
      </c>
      <c r="I697" s="9">
        <v>206</v>
      </c>
      <c r="J697" s="10">
        <v>51500</v>
      </c>
      <c r="K697" s="10">
        <v>15450</v>
      </c>
      <c r="L697">
        <v>48</v>
      </c>
      <c r="M697" s="8">
        <v>44105</v>
      </c>
      <c r="N697" s="23">
        <v>2.5941859507452202E-4</v>
      </c>
      <c r="O697" s="10" t="str">
        <f>IF(Sales_Data[[#This Row],[Total Profit]]&gt;0,"Profitable","Loss")</f>
        <v>Profitable</v>
      </c>
      <c r="P697" s="10" t="str">
        <f>IF(Sales_Data[[#This Row],[Total Profit]]&gt;100000,"High Value",IF(Sales_Data[[#This Row],[Total Profit]]&gt;60000,"Medium","Low"))</f>
        <v>Low</v>
      </c>
      <c r="Q697" s="11" t="str">
        <f>PROPER(Sales_Data[[#This Row],[Month Name]])</f>
        <v>Novembro</v>
      </c>
      <c r="R697" s="11" t="str">
        <f>PROPER(Sales_Data[[#This Row],[Sales Manager]])</f>
        <v>Liam Lee</v>
      </c>
    </row>
    <row r="698" spans="1:18" hidden="1" x14ac:dyDescent="0.25">
      <c r="A698">
        <v>10697</v>
      </c>
      <c r="B698">
        <v>2020</v>
      </c>
      <c r="C698" t="s">
        <v>76</v>
      </c>
      <c r="D698" s="8">
        <v>44162</v>
      </c>
      <c r="E698" t="s">
        <v>19</v>
      </c>
      <c r="F698" t="s">
        <v>18</v>
      </c>
      <c r="G698" t="s">
        <v>13</v>
      </c>
      <c r="H698" s="9">
        <v>22</v>
      </c>
      <c r="I698" s="9">
        <v>220</v>
      </c>
      <c r="J698" s="10">
        <v>165000</v>
      </c>
      <c r="K698" s="10">
        <v>28050.000000000004</v>
      </c>
      <c r="L698">
        <v>48</v>
      </c>
      <c r="M698" s="8">
        <v>44105</v>
      </c>
      <c r="N698" s="23">
        <v>8.3114695509312996E-4</v>
      </c>
      <c r="O698" s="10" t="str">
        <f>IF(Sales_Data[[#This Row],[Total Profit]]&gt;0,"Profitable","Loss")</f>
        <v>Profitable</v>
      </c>
      <c r="P698" s="10" t="str">
        <f>IF(Sales_Data[[#This Row],[Total Profit]]&gt;100000,"High Value",IF(Sales_Data[[#This Row],[Total Profit]]&gt;60000,"Medium","Low"))</f>
        <v>Low</v>
      </c>
      <c r="Q698" s="11" t="str">
        <f>PROPER(Sales_Data[[#This Row],[Month Name]])</f>
        <v>Novembro</v>
      </c>
      <c r="R698" s="11" t="str">
        <f>PROPER(Sales_Data[[#This Row],[Sales Manager]])</f>
        <v>Jane Doe</v>
      </c>
    </row>
    <row r="699" spans="1:18" hidden="1" x14ac:dyDescent="0.25">
      <c r="A699">
        <v>10698</v>
      </c>
      <c r="B699">
        <v>2020</v>
      </c>
      <c r="C699" t="s">
        <v>76</v>
      </c>
      <c r="D699" s="8">
        <v>44163</v>
      </c>
      <c r="E699" t="s">
        <v>19</v>
      </c>
      <c r="F699" t="s">
        <v>16</v>
      </c>
      <c r="G699" t="s">
        <v>17</v>
      </c>
      <c r="H699" s="9">
        <v>2</v>
      </c>
      <c r="I699" s="9">
        <v>32</v>
      </c>
      <c r="J699" s="10">
        <v>8000</v>
      </c>
      <c r="K699" s="10">
        <v>2400</v>
      </c>
      <c r="L699">
        <v>48</v>
      </c>
      <c r="M699" s="8">
        <v>44105</v>
      </c>
      <c r="N699" s="23">
        <v>4.02980341863336E-5</v>
      </c>
      <c r="O699" s="10" t="str">
        <f>IF(Sales_Data[[#This Row],[Total Profit]]&gt;0,"Profitable","Loss")</f>
        <v>Profitable</v>
      </c>
      <c r="P699" s="10" t="str">
        <f>IF(Sales_Data[[#This Row],[Total Profit]]&gt;100000,"High Value",IF(Sales_Data[[#This Row],[Total Profit]]&gt;60000,"Medium","Low"))</f>
        <v>Low</v>
      </c>
      <c r="Q699" s="11" t="str">
        <f>PROPER(Sales_Data[[#This Row],[Month Name]])</f>
        <v>Novembro</v>
      </c>
      <c r="R699" s="11" t="str">
        <f>PROPER(Sales_Data[[#This Row],[Sales Manager]])</f>
        <v>James Brown</v>
      </c>
    </row>
    <row r="700" spans="1:18" hidden="1" x14ac:dyDescent="0.25">
      <c r="A700">
        <v>10699</v>
      </c>
      <c r="B700">
        <v>2020</v>
      </c>
      <c r="C700" t="s">
        <v>76</v>
      </c>
      <c r="D700" s="8">
        <v>44164</v>
      </c>
      <c r="E700" t="s">
        <v>22</v>
      </c>
      <c r="F700" t="s">
        <v>12</v>
      </c>
      <c r="G700" t="s">
        <v>20</v>
      </c>
      <c r="H700" s="9">
        <v>27</v>
      </c>
      <c r="I700" s="9">
        <v>417</v>
      </c>
      <c r="J700" s="10">
        <v>354450</v>
      </c>
      <c r="K700" s="10">
        <v>148869</v>
      </c>
      <c r="L700">
        <v>49</v>
      </c>
      <c r="M700" s="8">
        <v>44105</v>
      </c>
      <c r="N700" s="23">
        <v>1.78545477716824E-3</v>
      </c>
      <c r="O700" s="10" t="str">
        <f>IF(Sales_Data[[#This Row],[Total Profit]]&gt;0,"Profitable","Loss")</f>
        <v>Profitable</v>
      </c>
      <c r="P700" s="10" t="str">
        <f>IF(Sales_Data[[#This Row],[Total Profit]]&gt;100000,"High Value",IF(Sales_Data[[#This Row],[Total Profit]]&gt;60000,"Medium","Low"))</f>
        <v>High Value</v>
      </c>
      <c r="Q700" s="11" t="str">
        <f>PROPER(Sales_Data[[#This Row],[Month Name]])</f>
        <v>Novembro</v>
      </c>
      <c r="R700" s="11" t="str">
        <f>PROPER(Sales_Data[[#This Row],[Sales Manager]])</f>
        <v>Emily White</v>
      </c>
    </row>
    <row r="701" spans="1:18" hidden="1" x14ac:dyDescent="0.25">
      <c r="A701">
        <v>10700</v>
      </c>
      <c r="B701">
        <v>2020</v>
      </c>
      <c r="C701" t="s">
        <v>76</v>
      </c>
      <c r="D701" s="8">
        <v>44165</v>
      </c>
      <c r="E701" t="s">
        <v>11</v>
      </c>
      <c r="F701" t="s">
        <v>16</v>
      </c>
      <c r="G701" t="s">
        <v>23</v>
      </c>
      <c r="H701" s="9">
        <v>20</v>
      </c>
      <c r="I701" s="9">
        <v>322</v>
      </c>
      <c r="J701" s="10">
        <v>112700</v>
      </c>
      <c r="K701" s="10">
        <v>14651</v>
      </c>
      <c r="L701">
        <v>49</v>
      </c>
      <c r="M701" s="8">
        <v>44105</v>
      </c>
      <c r="N701" s="23">
        <v>5.6769855659997395E-4</v>
      </c>
      <c r="O701" s="10" t="str">
        <f>IF(Sales_Data[[#This Row],[Total Profit]]&gt;0,"Profitable","Loss")</f>
        <v>Profitable</v>
      </c>
      <c r="P701" s="10" t="str">
        <f>IF(Sales_Data[[#This Row],[Total Profit]]&gt;100000,"High Value",IF(Sales_Data[[#This Row],[Total Profit]]&gt;60000,"Medium","Low"))</f>
        <v>Low</v>
      </c>
      <c r="Q701" s="11" t="str">
        <f>PROPER(Sales_Data[[#This Row],[Month Name]])</f>
        <v>Novembro</v>
      </c>
      <c r="R701" s="11" t="str">
        <f>PROPER(Sales_Data[[#This Row],[Sales Manager]])</f>
        <v>James Brown</v>
      </c>
    </row>
    <row r="702" spans="1:18" hidden="1" x14ac:dyDescent="0.25">
      <c r="A702">
        <v>10701</v>
      </c>
      <c r="B702">
        <v>2020</v>
      </c>
      <c r="C702" t="s">
        <v>77</v>
      </c>
      <c r="D702" s="8">
        <v>44166</v>
      </c>
      <c r="E702" t="s">
        <v>22</v>
      </c>
      <c r="F702" t="s">
        <v>18</v>
      </c>
      <c r="G702" t="s">
        <v>20</v>
      </c>
      <c r="H702" s="9">
        <v>17</v>
      </c>
      <c r="I702" s="9">
        <v>300</v>
      </c>
      <c r="J702" s="10">
        <v>255000</v>
      </c>
      <c r="K702" s="10">
        <v>102000</v>
      </c>
      <c r="L702">
        <v>49</v>
      </c>
      <c r="M702" s="8">
        <v>44105</v>
      </c>
      <c r="N702" s="23">
        <v>1.28449983968938E-3</v>
      </c>
      <c r="O702" s="10" t="str">
        <f>IF(Sales_Data[[#This Row],[Total Profit]]&gt;0,"Profitable","Loss")</f>
        <v>Profitable</v>
      </c>
      <c r="P702" s="10" t="str">
        <f>IF(Sales_Data[[#This Row],[Total Profit]]&gt;100000,"High Value",IF(Sales_Data[[#This Row],[Total Profit]]&gt;60000,"Medium","Low"))</f>
        <v>High Value</v>
      </c>
      <c r="Q702" s="11" t="str">
        <f>PROPER(Sales_Data[[#This Row],[Month Name]])</f>
        <v>Dezembro</v>
      </c>
      <c r="R702" s="11" t="str">
        <f>PROPER(Sales_Data[[#This Row],[Sales Manager]])</f>
        <v>Jane Doe</v>
      </c>
    </row>
    <row r="703" spans="1:18" hidden="1" x14ac:dyDescent="0.25">
      <c r="A703">
        <v>10702</v>
      </c>
      <c r="B703">
        <v>2020</v>
      </c>
      <c r="C703" t="s">
        <v>77</v>
      </c>
      <c r="D703" s="8">
        <v>44167</v>
      </c>
      <c r="E703" t="s">
        <v>25</v>
      </c>
      <c r="F703" t="s">
        <v>12</v>
      </c>
      <c r="G703" t="s">
        <v>15</v>
      </c>
      <c r="H703" s="9">
        <v>26</v>
      </c>
      <c r="I703" s="9">
        <v>469</v>
      </c>
      <c r="J703" s="10">
        <v>234500</v>
      </c>
      <c r="K703" s="10">
        <v>65660</v>
      </c>
      <c r="L703">
        <v>49</v>
      </c>
      <c r="M703" s="8">
        <v>44105</v>
      </c>
      <c r="N703" s="23">
        <v>1.1812361270869E-3</v>
      </c>
      <c r="O703" s="10" t="str">
        <f>IF(Sales_Data[[#This Row],[Total Profit]]&gt;0,"Profitable","Loss")</f>
        <v>Profitable</v>
      </c>
      <c r="P703" s="10" t="str">
        <f>IF(Sales_Data[[#This Row],[Total Profit]]&gt;100000,"High Value",IF(Sales_Data[[#This Row],[Total Profit]]&gt;60000,"Medium","Low"))</f>
        <v>Medium</v>
      </c>
      <c r="Q703" s="11" t="str">
        <f>PROPER(Sales_Data[[#This Row],[Month Name]])</f>
        <v>Dezembro</v>
      </c>
      <c r="R703" s="11" t="str">
        <f>PROPER(Sales_Data[[#This Row],[Sales Manager]])</f>
        <v>Emily White</v>
      </c>
    </row>
    <row r="704" spans="1:18" hidden="1" x14ac:dyDescent="0.25">
      <c r="A704">
        <v>10703</v>
      </c>
      <c r="B704">
        <v>2020</v>
      </c>
      <c r="C704" t="s">
        <v>77</v>
      </c>
      <c r="D704" s="8">
        <v>44168</v>
      </c>
      <c r="E704" t="s">
        <v>14</v>
      </c>
      <c r="F704" t="s">
        <v>16</v>
      </c>
      <c r="G704" t="s">
        <v>23</v>
      </c>
      <c r="H704" s="9">
        <v>6</v>
      </c>
      <c r="I704" s="9">
        <v>163</v>
      </c>
      <c r="J704" s="10">
        <v>57050</v>
      </c>
      <c r="K704" s="10">
        <v>22249.5</v>
      </c>
      <c r="L704">
        <v>49</v>
      </c>
      <c r="M704" s="8">
        <v>44105</v>
      </c>
      <c r="N704" s="23">
        <v>2.8737535629129099E-4</v>
      </c>
      <c r="O704" s="10" t="str">
        <f>IF(Sales_Data[[#This Row],[Total Profit]]&gt;0,"Profitable","Loss")</f>
        <v>Profitable</v>
      </c>
      <c r="P704" s="10" t="str">
        <f>IF(Sales_Data[[#This Row],[Total Profit]]&gt;100000,"High Value",IF(Sales_Data[[#This Row],[Total Profit]]&gt;60000,"Medium","Low"))</f>
        <v>Low</v>
      </c>
      <c r="Q704" s="11" t="str">
        <f>PROPER(Sales_Data[[#This Row],[Month Name]])</f>
        <v>Dezembro</v>
      </c>
      <c r="R704" s="11" t="str">
        <f>PROPER(Sales_Data[[#This Row],[Sales Manager]])</f>
        <v>James Brown</v>
      </c>
    </row>
    <row r="705" spans="1:18" hidden="1" x14ac:dyDescent="0.25">
      <c r="A705">
        <v>10704</v>
      </c>
      <c r="B705">
        <v>2020</v>
      </c>
      <c r="C705" t="s">
        <v>77</v>
      </c>
      <c r="D705" s="8">
        <v>44169</v>
      </c>
      <c r="E705" t="s">
        <v>25</v>
      </c>
      <c r="F705" t="s">
        <v>24</v>
      </c>
      <c r="G705" t="s">
        <v>15</v>
      </c>
      <c r="H705" s="9">
        <v>4</v>
      </c>
      <c r="I705" s="9">
        <v>138</v>
      </c>
      <c r="J705" s="10">
        <v>69000</v>
      </c>
      <c r="K705" s="10">
        <v>17940</v>
      </c>
      <c r="L705">
        <v>49</v>
      </c>
      <c r="M705" s="8">
        <v>44105</v>
      </c>
      <c r="N705" s="23">
        <v>3.4757054485712698E-4</v>
      </c>
      <c r="O705" s="10" t="str">
        <f>IF(Sales_Data[[#This Row],[Total Profit]]&gt;0,"Profitable","Loss")</f>
        <v>Profitable</v>
      </c>
      <c r="P705" s="10" t="str">
        <f>IF(Sales_Data[[#This Row],[Total Profit]]&gt;100000,"High Value",IF(Sales_Data[[#This Row],[Total Profit]]&gt;60000,"Medium","Low"))</f>
        <v>Low</v>
      </c>
      <c r="Q705" s="11" t="str">
        <f>PROPER(Sales_Data[[#This Row],[Month Name]])</f>
        <v>Dezembro</v>
      </c>
      <c r="R705" s="11" t="str">
        <f>PROPER(Sales_Data[[#This Row],[Sales Manager]])</f>
        <v>Liam Lee</v>
      </c>
    </row>
    <row r="706" spans="1:18" hidden="1" x14ac:dyDescent="0.25">
      <c r="A706">
        <v>10705</v>
      </c>
      <c r="B706">
        <v>2020</v>
      </c>
      <c r="C706" t="s">
        <v>77</v>
      </c>
      <c r="D706" s="8">
        <v>44170</v>
      </c>
      <c r="E706" t="s">
        <v>11</v>
      </c>
      <c r="F706" t="s">
        <v>12</v>
      </c>
      <c r="G706" t="s">
        <v>23</v>
      </c>
      <c r="H706" s="9">
        <v>14</v>
      </c>
      <c r="I706" s="9">
        <v>199</v>
      </c>
      <c r="J706" s="10">
        <v>69650</v>
      </c>
      <c r="K706" s="10">
        <v>29253</v>
      </c>
      <c r="L706">
        <v>49</v>
      </c>
      <c r="M706" s="8">
        <v>44105</v>
      </c>
      <c r="N706" s="23">
        <v>3.5084476013476698E-4</v>
      </c>
      <c r="O706" s="10" t="str">
        <f>IF(Sales_Data[[#This Row],[Total Profit]]&gt;0,"Profitable","Loss")</f>
        <v>Profitable</v>
      </c>
      <c r="P706" s="10" t="str">
        <f>IF(Sales_Data[[#This Row],[Total Profit]]&gt;100000,"High Value",IF(Sales_Data[[#This Row],[Total Profit]]&gt;60000,"Medium","Low"))</f>
        <v>Low</v>
      </c>
      <c r="Q706" s="11" t="str">
        <f>PROPER(Sales_Data[[#This Row],[Month Name]])</f>
        <v>Dezembro</v>
      </c>
      <c r="R706" s="11" t="str">
        <f>PROPER(Sales_Data[[#This Row],[Sales Manager]])</f>
        <v>Emily White</v>
      </c>
    </row>
    <row r="707" spans="1:18" hidden="1" x14ac:dyDescent="0.25">
      <c r="A707">
        <v>10706</v>
      </c>
      <c r="B707">
        <v>2020</v>
      </c>
      <c r="C707" t="s">
        <v>77</v>
      </c>
      <c r="D707" s="8">
        <v>44171</v>
      </c>
      <c r="E707" t="s">
        <v>25</v>
      </c>
      <c r="F707" t="s">
        <v>18</v>
      </c>
      <c r="G707" t="s">
        <v>15</v>
      </c>
      <c r="H707" s="9">
        <v>7</v>
      </c>
      <c r="I707" s="9">
        <v>290</v>
      </c>
      <c r="J707" s="10">
        <v>145000</v>
      </c>
      <c r="K707" s="10">
        <v>44950</v>
      </c>
      <c r="L707">
        <v>50</v>
      </c>
      <c r="M707" s="8">
        <v>44105</v>
      </c>
      <c r="N707" s="23">
        <v>7.3040186962729605E-4</v>
      </c>
      <c r="O707" s="10" t="str">
        <f>IF(Sales_Data[[#This Row],[Total Profit]]&gt;0,"Profitable","Loss")</f>
        <v>Profitable</v>
      </c>
      <c r="P707" s="10" t="str">
        <f>IF(Sales_Data[[#This Row],[Total Profit]]&gt;100000,"High Value",IF(Sales_Data[[#This Row],[Total Profit]]&gt;60000,"Medium","Low"))</f>
        <v>Low</v>
      </c>
      <c r="Q707" s="11" t="str">
        <f>PROPER(Sales_Data[[#This Row],[Month Name]])</f>
        <v>Dezembro</v>
      </c>
      <c r="R707" s="11" t="str">
        <f>PROPER(Sales_Data[[#This Row],[Sales Manager]])</f>
        <v>Jane Doe</v>
      </c>
    </row>
    <row r="708" spans="1:18" hidden="1" x14ac:dyDescent="0.25">
      <c r="A708">
        <v>10707</v>
      </c>
      <c r="B708">
        <v>2020</v>
      </c>
      <c r="C708" t="s">
        <v>77</v>
      </c>
      <c r="D708" s="8">
        <v>44172</v>
      </c>
      <c r="E708" t="s">
        <v>14</v>
      </c>
      <c r="F708" t="s">
        <v>18</v>
      </c>
      <c r="G708" t="s">
        <v>13</v>
      </c>
      <c r="H708" s="9">
        <v>2</v>
      </c>
      <c r="I708" s="9">
        <v>72</v>
      </c>
      <c r="J708" s="10">
        <v>54000</v>
      </c>
      <c r="K708" s="10">
        <v>7020</v>
      </c>
      <c r="L708">
        <v>50</v>
      </c>
      <c r="M708" s="8">
        <v>44105</v>
      </c>
      <c r="N708" s="23">
        <v>2.7201173075775201E-4</v>
      </c>
      <c r="O708" s="10" t="str">
        <f>IF(Sales_Data[[#This Row],[Total Profit]]&gt;0,"Profitable","Loss")</f>
        <v>Profitable</v>
      </c>
      <c r="P708" s="10" t="str">
        <f>IF(Sales_Data[[#This Row],[Total Profit]]&gt;100000,"High Value",IF(Sales_Data[[#This Row],[Total Profit]]&gt;60000,"Medium","Low"))</f>
        <v>Low</v>
      </c>
      <c r="Q708" s="11" t="str">
        <f>PROPER(Sales_Data[[#This Row],[Month Name]])</f>
        <v>Dezembro</v>
      </c>
      <c r="R708" s="11" t="str">
        <f>PROPER(Sales_Data[[#This Row],[Sales Manager]])</f>
        <v>Jane Doe</v>
      </c>
    </row>
    <row r="709" spans="1:18" hidden="1" x14ac:dyDescent="0.25">
      <c r="A709">
        <v>10708</v>
      </c>
      <c r="B709">
        <v>2020</v>
      </c>
      <c r="C709" t="s">
        <v>77</v>
      </c>
      <c r="D709" s="8">
        <v>44173</v>
      </c>
      <c r="E709" t="s">
        <v>22</v>
      </c>
      <c r="F709" t="s">
        <v>24</v>
      </c>
      <c r="G709" t="s">
        <v>13</v>
      </c>
      <c r="H709" s="9">
        <v>36</v>
      </c>
      <c r="I709" s="9">
        <v>448</v>
      </c>
      <c r="J709" s="10">
        <v>336000</v>
      </c>
      <c r="K709" s="10">
        <v>151200</v>
      </c>
      <c r="L709">
        <v>50</v>
      </c>
      <c r="M709" s="8">
        <v>44105</v>
      </c>
      <c r="N709" s="23">
        <v>1.69251743582601E-3</v>
      </c>
      <c r="O709" s="10" t="str">
        <f>IF(Sales_Data[[#This Row],[Total Profit]]&gt;0,"Profitable","Loss")</f>
        <v>Profitable</v>
      </c>
      <c r="P709" s="10" t="str">
        <f>IF(Sales_Data[[#This Row],[Total Profit]]&gt;100000,"High Value",IF(Sales_Data[[#This Row],[Total Profit]]&gt;60000,"Medium","Low"))</f>
        <v>High Value</v>
      </c>
      <c r="Q709" s="11" t="str">
        <f>PROPER(Sales_Data[[#This Row],[Month Name]])</f>
        <v>Dezembro</v>
      </c>
      <c r="R709" s="11" t="str">
        <f>PROPER(Sales_Data[[#This Row],[Sales Manager]])</f>
        <v>Liam Lee</v>
      </c>
    </row>
    <row r="710" spans="1:18" hidden="1" x14ac:dyDescent="0.25">
      <c r="A710">
        <v>10709</v>
      </c>
      <c r="B710">
        <v>2020</v>
      </c>
      <c r="C710" t="s">
        <v>77</v>
      </c>
      <c r="D710" s="8">
        <v>44174</v>
      </c>
      <c r="E710" t="s">
        <v>19</v>
      </c>
      <c r="F710" t="s">
        <v>16</v>
      </c>
      <c r="G710" t="s">
        <v>13</v>
      </c>
      <c r="H710" s="9">
        <v>1</v>
      </c>
      <c r="I710" s="9">
        <v>65</v>
      </c>
      <c r="J710" s="10">
        <v>48750</v>
      </c>
      <c r="K710" s="10">
        <v>6337.5</v>
      </c>
      <c r="L710">
        <v>50</v>
      </c>
      <c r="M710" s="8">
        <v>44105</v>
      </c>
      <c r="N710" s="23">
        <v>2.4556614582296998E-4</v>
      </c>
      <c r="O710" s="10" t="str">
        <f>IF(Sales_Data[[#This Row],[Total Profit]]&gt;0,"Profitable","Loss")</f>
        <v>Profitable</v>
      </c>
      <c r="P710" s="10" t="str">
        <f>IF(Sales_Data[[#This Row],[Total Profit]]&gt;100000,"High Value",IF(Sales_Data[[#This Row],[Total Profit]]&gt;60000,"Medium","Low"))</f>
        <v>Low</v>
      </c>
      <c r="Q710" s="11" t="str">
        <f>PROPER(Sales_Data[[#This Row],[Month Name]])</f>
        <v>Dezembro</v>
      </c>
      <c r="R710" s="11" t="str">
        <f>PROPER(Sales_Data[[#This Row],[Sales Manager]])</f>
        <v>James Brown</v>
      </c>
    </row>
    <row r="711" spans="1:18" hidden="1" x14ac:dyDescent="0.25">
      <c r="A711">
        <v>10710</v>
      </c>
      <c r="B711">
        <v>2020</v>
      </c>
      <c r="C711" t="s">
        <v>77</v>
      </c>
      <c r="D711" s="8">
        <v>44175</v>
      </c>
      <c r="E711" t="s">
        <v>22</v>
      </c>
      <c r="F711" t="s">
        <v>24</v>
      </c>
      <c r="G711" t="s">
        <v>17</v>
      </c>
      <c r="H711" s="9">
        <v>3</v>
      </c>
      <c r="I711" s="9">
        <v>165</v>
      </c>
      <c r="J711" s="10">
        <v>41250</v>
      </c>
      <c r="K711" s="10">
        <v>17325</v>
      </c>
      <c r="L711">
        <v>50</v>
      </c>
      <c r="M711" s="8">
        <v>44105</v>
      </c>
      <c r="N711" s="23">
        <v>2.07786738773282E-4</v>
      </c>
      <c r="O711" s="10" t="str">
        <f>IF(Sales_Data[[#This Row],[Total Profit]]&gt;0,"Profitable","Loss")</f>
        <v>Profitable</v>
      </c>
      <c r="P711" s="10" t="str">
        <f>IF(Sales_Data[[#This Row],[Total Profit]]&gt;100000,"High Value",IF(Sales_Data[[#This Row],[Total Profit]]&gt;60000,"Medium","Low"))</f>
        <v>Low</v>
      </c>
      <c r="Q711" s="11" t="str">
        <f>PROPER(Sales_Data[[#This Row],[Month Name]])</f>
        <v>Dezembro</v>
      </c>
      <c r="R711" s="11" t="str">
        <f>PROPER(Sales_Data[[#This Row],[Sales Manager]])</f>
        <v>Liam Lee</v>
      </c>
    </row>
    <row r="712" spans="1:18" hidden="1" x14ac:dyDescent="0.25">
      <c r="A712">
        <v>10711</v>
      </c>
      <c r="B712">
        <v>2020</v>
      </c>
      <c r="C712" t="s">
        <v>77</v>
      </c>
      <c r="D712" s="8">
        <v>44176</v>
      </c>
      <c r="E712" t="s">
        <v>11</v>
      </c>
      <c r="F712" t="s">
        <v>12</v>
      </c>
      <c r="G712" t="s">
        <v>15</v>
      </c>
      <c r="H712" s="9">
        <v>18</v>
      </c>
      <c r="I712" s="9">
        <v>192</v>
      </c>
      <c r="J712" s="10">
        <v>96000</v>
      </c>
      <c r="K712" s="10">
        <v>29760</v>
      </c>
      <c r="L712">
        <v>50</v>
      </c>
      <c r="M712" s="8">
        <v>44105</v>
      </c>
      <c r="N712" s="23">
        <v>4.8357641023600298E-4</v>
      </c>
      <c r="O712" s="10" t="str">
        <f>IF(Sales_Data[[#This Row],[Total Profit]]&gt;0,"Profitable","Loss")</f>
        <v>Profitable</v>
      </c>
      <c r="P712" s="10" t="str">
        <f>IF(Sales_Data[[#This Row],[Total Profit]]&gt;100000,"High Value",IF(Sales_Data[[#This Row],[Total Profit]]&gt;60000,"Medium","Low"))</f>
        <v>Low</v>
      </c>
      <c r="Q712" s="11" t="str">
        <f>PROPER(Sales_Data[[#This Row],[Month Name]])</f>
        <v>Dezembro</v>
      </c>
      <c r="R712" s="11" t="str">
        <f>PROPER(Sales_Data[[#This Row],[Sales Manager]])</f>
        <v>Emily White</v>
      </c>
    </row>
    <row r="713" spans="1:18" hidden="1" x14ac:dyDescent="0.25">
      <c r="A713">
        <v>10712</v>
      </c>
      <c r="B713">
        <v>2020</v>
      </c>
      <c r="C713" t="s">
        <v>77</v>
      </c>
      <c r="D713" s="8">
        <v>44177</v>
      </c>
      <c r="E713" t="s">
        <v>19</v>
      </c>
      <c r="F713" t="s">
        <v>21</v>
      </c>
      <c r="G713" t="s">
        <v>20</v>
      </c>
      <c r="H713" s="9">
        <v>16</v>
      </c>
      <c r="I713" s="9">
        <v>200</v>
      </c>
      <c r="J713" s="10">
        <v>170000</v>
      </c>
      <c r="K713" s="10">
        <v>71400</v>
      </c>
      <c r="L713">
        <v>50</v>
      </c>
      <c r="M713" s="8">
        <v>44105</v>
      </c>
      <c r="N713" s="23">
        <v>8.5633322645958798E-4</v>
      </c>
      <c r="O713" s="10" t="str">
        <f>IF(Sales_Data[[#This Row],[Total Profit]]&gt;0,"Profitable","Loss")</f>
        <v>Profitable</v>
      </c>
      <c r="P713" s="10" t="str">
        <f>IF(Sales_Data[[#This Row],[Total Profit]]&gt;100000,"High Value",IF(Sales_Data[[#This Row],[Total Profit]]&gt;60000,"Medium","Low"))</f>
        <v>Medium</v>
      </c>
      <c r="Q713" s="11" t="str">
        <f>PROPER(Sales_Data[[#This Row],[Month Name]])</f>
        <v>Dezembro</v>
      </c>
      <c r="R713" s="11" t="str">
        <f>PROPER(Sales_Data[[#This Row],[Sales Manager]])</f>
        <v>John Smith</v>
      </c>
    </row>
    <row r="714" spans="1:18" hidden="1" x14ac:dyDescent="0.25">
      <c r="A714">
        <v>10713</v>
      </c>
      <c r="B714">
        <v>2020</v>
      </c>
      <c r="C714" t="s">
        <v>77</v>
      </c>
      <c r="D714" s="8">
        <v>44178</v>
      </c>
      <c r="E714" t="s">
        <v>19</v>
      </c>
      <c r="F714" t="s">
        <v>21</v>
      </c>
      <c r="G714" t="s">
        <v>23</v>
      </c>
      <c r="H714" s="9">
        <v>6</v>
      </c>
      <c r="I714" s="9">
        <v>321</v>
      </c>
      <c r="J714" s="10">
        <v>112350</v>
      </c>
      <c r="K714" s="10">
        <v>43816.5</v>
      </c>
      <c r="L714">
        <v>51</v>
      </c>
      <c r="M714" s="8">
        <v>44105</v>
      </c>
      <c r="N714" s="23">
        <v>5.6593551760432197E-4</v>
      </c>
      <c r="O714" s="10" t="str">
        <f>IF(Sales_Data[[#This Row],[Total Profit]]&gt;0,"Profitable","Loss")</f>
        <v>Profitable</v>
      </c>
      <c r="P714" s="10" t="str">
        <f>IF(Sales_Data[[#This Row],[Total Profit]]&gt;100000,"High Value",IF(Sales_Data[[#This Row],[Total Profit]]&gt;60000,"Medium","Low"))</f>
        <v>Low</v>
      </c>
      <c r="Q714" s="11" t="str">
        <f>PROPER(Sales_Data[[#This Row],[Month Name]])</f>
        <v>Dezembro</v>
      </c>
      <c r="R714" s="11" t="str">
        <f>PROPER(Sales_Data[[#This Row],[Sales Manager]])</f>
        <v>John Smith</v>
      </c>
    </row>
    <row r="715" spans="1:18" hidden="1" x14ac:dyDescent="0.25">
      <c r="A715">
        <v>10714</v>
      </c>
      <c r="B715">
        <v>2020</v>
      </c>
      <c r="C715" t="s">
        <v>77</v>
      </c>
      <c r="D715" s="8">
        <v>44179</v>
      </c>
      <c r="E715" t="s">
        <v>11</v>
      </c>
      <c r="F715" t="s">
        <v>21</v>
      </c>
      <c r="G715" t="s">
        <v>17</v>
      </c>
      <c r="H715" s="9">
        <v>15</v>
      </c>
      <c r="I715" s="9">
        <v>391</v>
      </c>
      <c r="J715" s="10">
        <v>97750</v>
      </c>
      <c r="K715" s="10">
        <v>26392.5</v>
      </c>
      <c r="L715">
        <v>51</v>
      </c>
      <c r="M715" s="8">
        <v>44105</v>
      </c>
      <c r="N715" s="23">
        <v>4.9239160521426305E-4</v>
      </c>
      <c r="O715" s="10" t="str">
        <f>IF(Sales_Data[[#This Row],[Total Profit]]&gt;0,"Profitable","Loss")</f>
        <v>Profitable</v>
      </c>
      <c r="P715" s="10" t="str">
        <f>IF(Sales_Data[[#This Row],[Total Profit]]&gt;100000,"High Value",IF(Sales_Data[[#This Row],[Total Profit]]&gt;60000,"Medium","Low"))</f>
        <v>Low</v>
      </c>
      <c r="Q715" s="11" t="str">
        <f>PROPER(Sales_Data[[#This Row],[Month Name]])</f>
        <v>Dezembro</v>
      </c>
      <c r="R715" s="11" t="str">
        <f>PROPER(Sales_Data[[#This Row],[Sales Manager]])</f>
        <v>John Smith</v>
      </c>
    </row>
    <row r="716" spans="1:18" hidden="1" x14ac:dyDescent="0.25">
      <c r="A716">
        <v>10715</v>
      </c>
      <c r="B716">
        <v>2020</v>
      </c>
      <c r="C716" t="s">
        <v>77</v>
      </c>
      <c r="D716" s="8">
        <v>44180</v>
      </c>
      <c r="E716" t="s">
        <v>22</v>
      </c>
      <c r="F716" t="s">
        <v>21</v>
      </c>
      <c r="G716" t="s">
        <v>23</v>
      </c>
      <c r="H716" s="9">
        <v>9</v>
      </c>
      <c r="I716" s="9">
        <v>115</v>
      </c>
      <c r="J716" s="10">
        <v>40250</v>
      </c>
      <c r="K716" s="10">
        <v>14490</v>
      </c>
      <c r="L716">
        <v>51</v>
      </c>
      <c r="M716" s="8">
        <v>44105</v>
      </c>
      <c r="N716" s="23">
        <v>2.02749484499991E-4</v>
      </c>
      <c r="O716" s="10" t="str">
        <f>IF(Sales_Data[[#This Row],[Total Profit]]&gt;0,"Profitable","Loss")</f>
        <v>Profitable</v>
      </c>
      <c r="P716" s="10" t="str">
        <f>IF(Sales_Data[[#This Row],[Total Profit]]&gt;100000,"High Value",IF(Sales_Data[[#This Row],[Total Profit]]&gt;60000,"Medium","Low"))</f>
        <v>Low</v>
      </c>
      <c r="Q716" s="11" t="str">
        <f>PROPER(Sales_Data[[#This Row],[Month Name]])</f>
        <v>Dezembro</v>
      </c>
      <c r="R716" s="11" t="str">
        <f>PROPER(Sales_Data[[#This Row],[Sales Manager]])</f>
        <v>John Smith</v>
      </c>
    </row>
    <row r="717" spans="1:18" hidden="1" x14ac:dyDescent="0.25">
      <c r="A717">
        <v>10716</v>
      </c>
      <c r="B717">
        <v>2020</v>
      </c>
      <c r="C717" t="s">
        <v>77</v>
      </c>
      <c r="D717" s="8">
        <v>44181</v>
      </c>
      <c r="E717" t="s">
        <v>11</v>
      </c>
      <c r="F717" t="s">
        <v>21</v>
      </c>
      <c r="G717" t="s">
        <v>23</v>
      </c>
      <c r="H717" s="9">
        <v>4</v>
      </c>
      <c r="I717" s="9">
        <v>128</v>
      </c>
      <c r="J717" s="10">
        <v>44800</v>
      </c>
      <c r="K717" s="10">
        <v>20160</v>
      </c>
      <c r="L717">
        <v>51</v>
      </c>
      <c r="M717" s="8">
        <v>44105</v>
      </c>
      <c r="N717" s="23">
        <v>2.2566899144346801E-4</v>
      </c>
      <c r="O717" s="10" t="str">
        <f>IF(Sales_Data[[#This Row],[Total Profit]]&gt;0,"Profitable","Loss")</f>
        <v>Profitable</v>
      </c>
      <c r="P717" s="10" t="str">
        <f>IF(Sales_Data[[#This Row],[Total Profit]]&gt;100000,"High Value",IF(Sales_Data[[#This Row],[Total Profit]]&gt;60000,"Medium","Low"))</f>
        <v>Low</v>
      </c>
      <c r="Q717" s="11" t="str">
        <f>PROPER(Sales_Data[[#This Row],[Month Name]])</f>
        <v>Dezembro</v>
      </c>
      <c r="R717" s="11" t="str">
        <f>PROPER(Sales_Data[[#This Row],[Sales Manager]])</f>
        <v>John Smith</v>
      </c>
    </row>
    <row r="718" spans="1:18" hidden="1" x14ac:dyDescent="0.25">
      <c r="A718">
        <v>10717</v>
      </c>
      <c r="B718">
        <v>2020</v>
      </c>
      <c r="C718" t="s">
        <v>77</v>
      </c>
      <c r="D718" s="8">
        <v>44182</v>
      </c>
      <c r="E718" t="s">
        <v>22</v>
      </c>
      <c r="F718" t="s">
        <v>12</v>
      </c>
      <c r="G718" t="s">
        <v>20</v>
      </c>
      <c r="H718" s="9">
        <v>2</v>
      </c>
      <c r="I718" s="9">
        <v>78</v>
      </c>
      <c r="J718" s="10">
        <v>66300</v>
      </c>
      <c r="K718" s="10">
        <v>11271</v>
      </c>
      <c r="L718">
        <v>51</v>
      </c>
      <c r="M718" s="8">
        <v>44105</v>
      </c>
      <c r="N718" s="23">
        <v>3.3396995831923998E-4</v>
      </c>
      <c r="O718" s="10" t="str">
        <f>IF(Sales_Data[[#This Row],[Total Profit]]&gt;0,"Profitable","Loss")</f>
        <v>Profitable</v>
      </c>
      <c r="P718" s="10" t="str">
        <f>IF(Sales_Data[[#This Row],[Total Profit]]&gt;100000,"High Value",IF(Sales_Data[[#This Row],[Total Profit]]&gt;60000,"Medium","Low"))</f>
        <v>Low</v>
      </c>
      <c r="Q718" s="11" t="str">
        <f>PROPER(Sales_Data[[#This Row],[Month Name]])</f>
        <v>Dezembro</v>
      </c>
      <c r="R718" s="11" t="str">
        <f>PROPER(Sales_Data[[#This Row],[Sales Manager]])</f>
        <v>Emily White</v>
      </c>
    </row>
    <row r="719" spans="1:18" hidden="1" x14ac:dyDescent="0.25">
      <c r="A719">
        <v>10718</v>
      </c>
      <c r="B719">
        <v>2020</v>
      </c>
      <c r="C719" t="s">
        <v>77</v>
      </c>
      <c r="D719" s="8">
        <v>44183</v>
      </c>
      <c r="E719" t="s">
        <v>25</v>
      </c>
      <c r="F719" t="s">
        <v>21</v>
      </c>
      <c r="G719" t="s">
        <v>20</v>
      </c>
      <c r="H719" s="9">
        <v>20</v>
      </c>
      <c r="I719" s="9">
        <v>368</v>
      </c>
      <c r="J719" s="10">
        <v>312800</v>
      </c>
      <c r="K719" s="10">
        <v>78200</v>
      </c>
      <c r="L719">
        <v>51</v>
      </c>
      <c r="M719" s="8">
        <v>44105</v>
      </c>
      <c r="N719" s="23">
        <v>1.57565313668564E-3</v>
      </c>
      <c r="O719" s="10" t="str">
        <f>IF(Sales_Data[[#This Row],[Total Profit]]&gt;0,"Profitable","Loss")</f>
        <v>Profitable</v>
      </c>
      <c r="P719" s="10" t="str">
        <f>IF(Sales_Data[[#This Row],[Total Profit]]&gt;100000,"High Value",IF(Sales_Data[[#This Row],[Total Profit]]&gt;60000,"Medium","Low"))</f>
        <v>Medium</v>
      </c>
      <c r="Q719" s="11" t="str">
        <f>PROPER(Sales_Data[[#This Row],[Month Name]])</f>
        <v>Dezembro</v>
      </c>
      <c r="R719" s="11" t="str">
        <f>PROPER(Sales_Data[[#This Row],[Sales Manager]])</f>
        <v>John Smith</v>
      </c>
    </row>
    <row r="720" spans="1:18" hidden="1" x14ac:dyDescent="0.25">
      <c r="A720">
        <v>10719</v>
      </c>
      <c r="B720">
        <v>2020</v>
      </c>
      <c r="C720" t="s">
        <v>77</v>
      </c>
      <c r="D720" s="8">
        <v>44184</v>
      </c>
      <c r="E720" t="s">
        <v>14</v>
      </c>
      <c r="F720" t="s">
        <v>21</v>
      </c>
      <c r="G720" t="s">
        <v>20</v>
      </c>
      <c r="H720" s="9">
        <v>28</v>
      </c>
      <c r="I720" s="9">
        <v>340</v>
      </c>
      <c r="J720" s="10">
        <v>289000</v>
      </c>
      <c r="K720" s="10">
        <v>95370</v>
      </c>
      <c r="L720">
        <v>51</v>
      </c>
      <c r="M720" s="8">
        <v>44105</v>
      </c>
      <c r="N720" s="23">
        <v>1.4557664849813E-3</v>
      </c>
      <c r="O720" s="10" t="str">
        <f>IF(Sales_Data[[#This Row],[Total Profit]]&gt;0,"Profitable","Loss")</f>
        <v>Profitable</v>
      </c>
      <c r="P720" s="10" t="str">
        <f>IF(Sales_Data[[#This Row],[Total Profit]]&gt;100000,"High Value",IF(Sales_Data[[#This Row],[Total Profit]]&gt;60000,"Medium","Low"))</f>
        <v>Medium</v>
      </c>
      <c r="Q720" s="11" t="str">
        <f>PROPER(Sales_Data[[#This Row],[Month Name]])</f>
        <v>Dezembro</v>
      </c>
      <c r="R720" s="11" t="str">
        <f>PROPER(Sales_Data[[#This Row],[Sales Manager]])</f>
        <v>John Smith</v>
      </c>
    </row>
    <row r="721" spans="1:18" hidden="1" x14ac:dyDescent="0.25">
      <c r="A721">
        <v>10720</v>
      </c>
      <c r="B721">
        <v>2020</v>
      </c>
      <c r="C721" t="s">
        <v>77</v>
      </c>
      <c r="D721" s="8">
        <v>44185</v>
      </c>
      <c r="E721" t="s">
        <v>14</v>
      </c>
      <c r="F721" t="s">
        <v>16</v>
      </c>
      <c r="G721" t="s">
        <v>20</v>
      </c>
      <c r="H721" s="9">
        <v>10</v>
      </c>
      <c r="I721" s="9">
        <v>122</v>
      </c>
      <c r="J721" s="10">
        <v>103700</v>
      </c>
      <c r="K721" s="10">
        <v>41480</v>
      </c>
      <c r="L721">
        <v>52</v>
      </c>
      <c r="M721" s="8">
        <v>44105</v>
      </c>
      <c r="N721" s="23">
        <v>5.2236326814034898E-4</v>
      </c>
      <c r="O721" s="10" t="str">
        <f>IF(Sales_Data[[#This Row],[Total Profit]]&gt;0,"Profitable","Loss")</f>
        <v>Profitable</v>
      </c>
      <c r="P721" s="10" t="str">
        <f>IF(Sales_Data[[#This Row],[Total Profit]]&gt;100000,"High Value",IF(Sales_Data[[#This Row],[Total Profit]]&gt;60000,"Medium","Low"))</f>
        <v>Low</v>
      </c>
      <c r="Q721" s="11" t="str">
        <f>PROPER(Sales_Data[[#This Row],[Month Name]])</f>
        <v>Dezembro</v>
      </c>
      <c r="R721" s="11" t="str">
        <f>PROPER(Sales_Data[[#This Row],[Sales Manager]])</f>
        <v>James Brown</v>
      </c>
    </row>
    <row r="722" spans="1:18" hidden="1" x14ac:dyDescent="0.25">
      <c r="A722">
        <v>10721</v>
      </c>
      <c r="B722">
        <v>2020</v>
      </c>
      <c r="C722" t="s">
        <v>77</v>
      </c>
      <c r="D722" s="8">
        <v>44186</v>
      </c>
      <c r="E722" t="s">
        <v>11</v>
      </c>
      <c r="F722" t="s">
        <v>12</v>
      </c>
      <c r="G722" t="s">
        <v>13</v>
      </c>
      <c r="H722" s="9">
        <v>15</v>
      </c>
      <c r="I722" s="9">
        <v>235</v>
      </c>
      <c r="J722" s="10">
        <v>176250</v>
      </c>
      <c r="K722" s="10">
        <v>31725</v>
      </c>
      <c r="L722">
        <v>52</v>
      </c>
      <c r="M722" s="8">
        <v>44105</v>
      </c>
      <c r="N722" s="23">
        <v>8.8781606566766199E-4</v>
      </c>
      <c r="O722" s="10" t="str">
        <f>IF(Sales_Data[[#This Row],[Total Profit]]&gt;0,"Profitable","Loss")</f>
        <v>Profitable</v>
      </c>
      <c r="P722" s="10" t="str">
        <f>IF(Sales_Data[[#This Row],[Total Profit]]&gt;100000,"High Value",IF(Sales_Data[[#This Row],[Total Profit]]&gt;60000,"Medium","Low"))</f>
        <v>Low</v>
      </c>
      <c r="Q722" s="11" t="str">
        <f>PROPER(Sales_Data[[#This Row],[Month Name]])</f>
        <v>Dezembro</v>
      </c>
      <c r="R722" s="11" t="str">
        <f>PROPER(Sales_Data[[#This Row],[Sales Manager]])</f>
        <v>Emily White</v>
      </c>
    </row>
    <row r="723" spans="1:18" hidden="1" x14ac:dyDescent="0.25">
      <c r="A723">
        <v>10722</v>
      </c>
      <c r="B723">
        <v>2020</v>
      </c>
      <c r="C723" t="s">
        <v>77</v>
      </c>
      <c r="D723" s="8">
        <v>44187</v>
      </c>
      <c r="E723" t="s">
        <v>14</v>
      </c>
      <c r="F723" t="s">
        <v>21</v>
      </c>
      <c r="G723" t="s">
        <v>13</v>
      </c>
      <c r="H723" s="9">
        <v>9</v>
      </c>
      <c r="I723" s="9">
        <v>273</v>
      </c>
      <c r="J723" s="10">
        <v>204750</v>
      </c>
      <c r="K723" s="10">
        <v>85995</v>
      </c>
      <c r="L723">
        <v>52</v>
      </c>
      <c r="M723" s="8">
        <v>44105</v>
      </c>
      <c r="N723" s="23">
        <v>1.0313778124564699E-3</v>
      </c>
      <c r="O723" s="10" t="str">
        <f>IF(Sales_Data[[#This Row],[Total Profit]]&gt;0,"Profitable","Loss")</f>
        <v>Profitable</v>
      </c>
      <c r="P723" s="10" t="str">
        <f>IF(Sales_Data[[#This Row],[Total Profit]]&gt;100000,"High Value",IF(Sales_Data[[#This Row],[Total Profit]]&gt;60000,"Medium","Low"))</f>
        <v>Medium</v>
      </c>
      <c r="Q723" s="11" t="str">
        <f>PROPER(Sales_Data[[#This Row],[Month Name]])</f>
        <v>Dezembro</v>
      </c>
      <c r="R723" s="11" t="str">
        <f>PROPER(Sales_Data[[#This Row],[Sales Manager]])</f>
        <v>John Smith</v>
      </c>
    </row>
    <row r="724" spans="1:18" hidden="1" x14ac:dyDescent="0.25">
      <c r="A724">
        <v>10723</v>
      </c>
      <c r="B724">
        <v>2020</v>
      </c>
      <c r="C724" t="s">
        <v>77</v>
      </c>
      <c r="D724" s="8">
        <v>44188</v>
      </c>
      <c r="E724" t="s">
        <v>14</v>
      </c>
      <c r="F724" t="s">
        <v>18</v>
      </c>
      <c r="G724" t="s">
        <v>20</v>
      </c>
      <c r="H724" s="9">
        <v>5</v>
      </c>
      <c r="I724" s="9">
        <v>92</v>
      </c>
      <c r="J724" s="10">
        <v>78200</v>
      </c>
      <c r="K724" s="10">
        <v>15640</v>
      </c>
      <c r="L724">
        <v>52</v>
      </c>
      <c r="M724" s="8">
        <v>44105</v>
      </c>
      <c r="N724" s="23">
        <v>3.9391328417141098E-4</v>
      </c>
      <c r="O724" s="10" t="str">
        <f>IF(Sales_Data[[#This Row],[Total Profit]]&gt;0,"Profitable","Loss")</f>
        <v>Profitable</v>
      </c>
      <c r="P724" s="10" t="str">
        <f>IF(Sales_Data[[#This Row],[Total Profit]]&gt;100000,"High Value",IF(Sales_Data[[#This Row],[Total Profit]]&gt;60000,"Medium","Low"))</f>
        <v>Low</v>
      </c>
      <c r="Q724" s="11" t="str">
        <f>PROPER(Sales_Data[[#This Row],[Month Name]])</f>
        <v>Dezembro</v>
      </c>
      <c r="R724" s="11" t="str">
        <f>PROPER(Sales_Data[[#This Row],[Sales Manager]])</f>
        <v>Jane Doe</v>
      </c>
    </row>
    <row r="725" spans="1:18" hidden="1" x14ac:dyDescent="0.25">
      <c r="A725">
        <v>10724</v>
      </c>
      <c r="B725">
        <v>2020</v>
      </c>
      <c r="C725" t="s">
        <v>77</v>
      </c>
      <c r="D725" s="8">
        <v>44189</v>
      </c>
      <c r="E725" t="s">
        <v>22</v>
      </c>
      <c r="F725" t="s">
        <v>21</v>
      </c>
      <c r="G725" t="s">
        <v>23</v>
      </c>
      <c r="H725" s="9">
        <v>6</v>
      </c>
      <c r="I725" s="9">
        <v>79</v>
      </c>
      <c r="J725" s="10">
        <v>27650</v>
      </c>
      <c r="K725" s="10">
        <v>9124.5</v>
      </c>
      <c r="L725">
        <v>52</v>
      </c>
      <c r="M725" s="8">
        <v>44105</v>
      </c>
      <c r="N725" s="23">
        <v>1.39280080656515E-4</v>
      </c>
      <c r="O725" s="10" t="str">
        <f>IF(Sales_Data[[#This Row],[Total Profit]]&gt;0,"Profitable","Loss")</f>
        <v>Profitable</v>
      </c>
      <c r="P725" s="10" t="str">
        <f>IF(Sales_Data[[#This Row],[Total Profit]]&gt;100000,"High Value",IF(Sales_Data[[#This Row],[Total Profit]]&gt;60000,"Medium","Low"))</f>
        <v>Low</v>
      </c>
      <c r="Q725" s="11" t="str">
        <f>PROPER(Sales_Data[[#This Row],[Month Name]])</f>
        <v>Dezembro</v>
      </c>
      <c r="R725" s="11" t="str">
        <f>PROPER(Sales_Data[[#This Row],[Sales Manager]])</f>
        <v>John Smith</v>
      </c>
    </row>
    <row r="726" spans="1:18" hidden="1" x14ac:dyDescent="0.25">
      <c r="A726">
        <v>10725</v>
      </c>
      <c r="B726">
        <v>2020</v>
      </c>
      <c r="C726" t="s">
        <v>77</v>
      </c>
      <c r="D726" s="8">
        <v>44190</v>
      </c>
      <c r="E726" t="s">
        <v>19</v>
      </c>
      <c r="F726" t="s">
        <v>18</v>
      </c>
      <c r="G726" t="s">
        <v>20</v>
      </c>
      <c r="H726" s="9">
        <v>22</v>
      </c>
      <c r="I726" s="9">
        <v>452</v>
      </c>
      <c r="J726" s="10">
        <v>384200</v>
      </c>
      <c r="K726" s="10">
        <v>149838</v>
      </c>
      <c r="L726">
        <v>52</v>
      </c>
      <c r="M726" s="8">
        <v>44105</v>
      </c>
      <c r="N726" s="23">
        <v>1.9353130917986699E-3</v>
      </c>
      <c r="O726" s="10" t="str">
        <f>IF(Sales_Data[[#This Row],[Total Profit]]&gt;0,"Profitable","Loss")</f>
        <v>Profitable</v>
      </c>
      <c r="P726" s="10" t="str">
        <f>IF(Sales_Data[[#This Row],[Total Profit]]&gt;100000,"High Value",IF(Sales_Data[[#This Row],[Total Profit]]&gt;60000,"Medium","Low"))</f>
        <v>High Value</v>
      </c>
      <c r="Q726" s="11" t="str">
        <f>PROPER(Sales_Data[[#This Row],[Month Name]])</f>
        <v>Dezembro</v>
      </c>
      <c r="R726" s="11" t="str">
        <f>PROPER(Sales_Data[[#This Row],[Sales Manager]])</f>
        <v>Jane Doe</v>
      </c>
    </row>
    <row r="727" spans="1:18" hidden="1" x14ac:dyDescent="0.25">
      <c r="A727">
        <v>10726</v>
      </c>
      <c r="B727">
        <v>2020</v>
      </c>
      <c r="C727" t="s">
        <v>77</v>
      </c>
      <c r="D727" s="8">
        <v>44191</v>
      </c>
      <c r="E727" t="s">
        <v>14</v>
      </c>
      <c r="F727" t="s">
        <v>12</v>
      </c>
      <c r="G727" t="s">
        <v>13</v>
      </c>
      <c r="H727" s="9">
        <v>19</v>
      </c>
      <c r="I727" s="9">
        <v>392</v>
      </c>
      <c r="J727" s="10">
        <v>294000</v>
      </c>
      <c r="K727" s="10">
        <v>94080</v>
      </c>
      <c r="L727">
        <v>52</v>
      </c>
      <c r="M727" s="8">
        <v>44105</v>
      </c>
      <c r="N727" s="23">
        <v>1.48095275634776E-3</v>
      </c>
      <c r="O727" s="10" t="str">
        <f>IF(Sales_Data[[#This Row],[Total Profit]]&gt;0,"Profitable","Loss")</f>
        <v>Profitable</v>
      </c>
      <c r="P727" s="10" t="str">
        <f>IF(Sales_Data[[#This Row],[Total Profit]]&gt;100000,"High Value",IF(Sales_Data[[#This Row],[Total Profit]]&gt;60000,"Medium","Low"))</f>
        <v>Medium</v>
      </c>
      <c r="Q727" s="11" t="str">
        <f>PROPER(Sales_Data[[#This Row],[Month Name]])</f>
        <v>Dezembro</v>
      </c>
      <c r="R727" s="11" t="str">
        <f>PROPER(Sales_Data[[#This Row],[Sales Manager]])</f>
        <v>Emily White</v>
      </c>
    </row>
    <row r="728" spans="1:18" hidden="1" x14ac:dyDescent="0.25">
      <c r="A728">
        <v>10727</v>
      </c>
      <c r="B728">
        <v>2020</v>
      </c>
      <c r="C728" t="s">
        <v>77</v>
      </c>
      <c r="D728" s="8">
        <v>44192</v>
      </c>
      <c r="E728" t="s">
        <v>25</v>
      </c>
      <c r="F728" t="s">
        <v>12</v>
      </c>
      <c r="G728" t="s">
        <v>13</v>
      </c>
      <c r="H728" s="9">
        <v>5</v>
      </c>
      <c r="I728" s="9">
        <v>91</v>
      </c>
      <c r="J728" s="10">
        <v>68250</v>
      </c>
      <c r="K728" s="10">
        <v>9555</v>
      </c>
      <c r="L728">
        <v>53</v>
      </c>
      <c r="M728" s="8">
        <v>44105</v>
      </c>
      <c r="N728" s="23">
        <v>3.4379260415215798E-4</v>
      </c>
      <c r="O728" s="10" t="str">
        <f>IF(Sales_Data[[#This Row],[Total Profit]]&gt;0,"Profitable","Loss")</f>
        <v>Profitable</v>
      </c>
      <c r="P728" s="10" t="str">
        <f>IF(Sales_Data[[#This Row],[Total Profit]]&gt;100000,"High Value",IF(Sales_Data[[#This Row],[Total Profit]]&gt;60000,"Medium","Low"))</f>
        <v>Low</v>
      </c>
      <c r="Q728" s="11" t="str">
        <f>PROPER(Sales_Data[[#This Row],[Month Name]])</f>
        <v>Dezembro</v>
      </c>
      <c r="R728" s="11" t="str">
        <f>PROPER(Sales_Data[[#This Row],[Sales Manager]])</f>
        <v>Emily White</v>
      </c>
    </row>
    <row r="729" spans="1:18" hidden="1" x14ac:dyDescent="0.25">
      <c r="A729">
        <v>10728</v>
      </c>
      <c r="B729">
        <v>2020</v>
      </c>
      <c r="C729" t="s">
        <v>77</v>
      </c>
      <c r="D729" s="8">
        <v>44193</v>
      </c>
      <c r="E729" t="s">
        <v>11</v>
      </c>
      <c r="F729" t="s">
        <v>21</v>
      </c>
      <c r="G729" t="s">
        <v>23</v>
      </c>
      <c r="H729" s="9">
        <v>10</v>
      </c>
      <c r="I729" s="9">
        <v>110</v>
      </c>
      <c r="J729" s="10">
        <v>38500</v>
      </c>
      <c r="K729" s="10">
        <v>3850</v>
      </c>
      <c r="L729">
        <v>53</v>
      </c>
      <c r="M729" s="8">
        <v>44105</v>
      </c>
      <c r="N729" s="23">
        <v>1.9393428952173001E-4</v>
      </c>
      <c r="O729" s="10" t="str">
        <f>IF(Sales_Data[[#This Row],[Total Profit]]&gt;0,"Profitable","Loss")</f>
        <v>Profitable</v>
      </c>
      <c r="P729" s="10" t="str">
        <f>IF(Sales_Data[[#This Row],[Total Profit]]&gt;100000,"High Value",IF(Sales_Data[[#This Row],[Total Profit]]&gt;60000,"Medium","Low"))</f>
        <v>Low</v>
      </c>
      <c r="Q729" s="11" t="str">
        <f>PROPER(Sales_Data[[#This Row],[Month Name]])</f>
        <v>Dezembro</v>
      </c>
      <c r="R729" s="11" t="str">
        <f>PROPER(Sales_Data[[#This Row],[Sales Manager]])</f>
        <v>John Smith</v>
      </c>
    </row>
    <row r="730" spans="1:18" hidden="1" x14ac:dyDescent="0.25">
      <c r="A730">
        <v>10729</v>
      </c>
      <c r="B730">
        <v>2020</v>
      </c>
      <c r="C730" t="s">
        <v>77</v>
      </c>
      <c r="D730" s="8">
        <v>44194</v>
      </c>
      <c r="E730" t="s">
        <v>14</v>
      </c>
      <c r="F730" t="s">
        <v>18</v>
      </c>
      <c r="G730" t="s">
        <v>17</v>
      </c>
      <c r="H730" s="9">
        <v>3</v>
      </c>
      <c r="I730" s="9">
        <v>186</v>
      </c>
      <c r="J730" s="10">
        <v>46500</v>
      </c>
      <c r="K730" s="10">
        <v>9300</v>
      </c>
      <c r="L730">
        <v>53</v>
      </c>
      <c r="M730" s="8">
        <v>44105</v>
      </c>
      <c r="N730" s="23">
        <v>2.3423232370806401E-4</v>
      </c>
      <c r="O730" s="10" t="str">
        <f>IF(Sales_Data[[#This Row],[Total Profit]]&gt;0,"Profitable","Loss")</f>
        <v>Profitable</v>
      </c>
      <c r="P730" s="10" t="str">
        <f>IF(Sales_Data[[#This Row],[Total Profit]]&gt;100000,"High Value",IF(Sales_Data[[#This Row],[Total Profit]]&gt;60000,"Medium","Low"))</f>
        <v>Low</v>
      </c>
      <c r="Q730" s="11" t="str">
        <f>PROPER(Sales_Data[[#This Row],[Month Name]])</f>
        <v>Dezembro</v>
      </c>
      <c r="R730" s="11" t="str">
        <f>PROPER(Sales_Data[[#This Row],[Sales Manager]])</f>
        <v>Jane Doe</v>
      </c>
    </row>
    <row r="731" spans="1:18" hidden="1" x14ac:dyDescent="0.25">
      <c r="A731">
        <v>10730</v>
      </c>
      <c r="B731">
        <v>2020</v>
      </c>
      <c r="C731" t="s">
        <v>77</v>
      </c>
      <c r="D731" s="8">
        <v>44195</v>
      </c>
      <c r="E731" t="s">
        <v>11</v>
      </c>
      <c r="F731" t="s">
        <v>21</v>
      </c>
      <c r="G731" t="s">
        <v>20</v>
      </c>
      <c r="H731" s="9">
        <v>26</v>
      </c>
      <c r="I731" s="9">
        <v>296</v>
      </c>
      <c r="J731" s="10">
        <v>251600</v>
      </c>
      <c r="K731" s="10">
        <v>60384</v>
      </c>
      <c r="L731">
        <v>53</v>
      </c>
      <c r="M731" s="8">
        <v>44105</v>
      </c>
      <c r="N731" s="23">
        <v>1.26737317516019E-3</v>
      </c>
      <c r="O731" s="10" t="str">
        <f>IF(Sales_Data[[#This Row],[Total Profit]]&gt;0,"Profitable","Loss")</f>
        <v>Profitable</v>
      </c>
      <c r="P731" s="10" t="str">
        <f>IF(Sales_Data[[#This Row],[Total Profit]]&gt;100000,"High Value",IF(Sales_Data[[#This Row],[Total Profit]]&gt;60000,"Medium","Low"))</f>
        <v>Medium</v>
      </c>
      <c r="Q731" s="11" t="str">
        <f>PROPER(Sales_Data[[#This Row],[Month Name]])</f>
        <v>Dezembro</v>
      </c>
      <c r="R731" s="11" t="str">
        <f>PROPER(Sales_Data[[#This Row],[Sales Manager]])</f>
        <v>John Smith</v>
      </c>
    </row>
    <row r="732" spans="1:18" hidden="1" x14ac:dyDescent="0.25">
      <c r="A732">
        <v>10731</v>
      </c>
      <c r="B732">
        <v>2020</v>
      </c>
      <c r="C732" t="s">
        <v>77</v>
      </c>
      <c r="D732" s="8">
        <v>44196</v>
      </c>
      <c r="E732" t="s">
        <v>22</v>
      </c>
      <c r="F732" t="s">
        <v>18</v>
      </c>
      <c r="G732" t="s">
        <v>13</v>
      </c>
      <c r="H732" s="9">
        <v>27</v>
      </c>
      <c r="I732" s="9">
        <v>491</v>
      </c>
      <c r="J732" s="10">
        <v>368250</v>
      </c>
      <c r="K732" s="10">
        <v>81015</v>
      </c>
      <c r="L732">
        <v>53</v>
      </c>
      <c r="M732" s="8">
        <v>44105</v>
      </c>
      <c r="N732" s="23">
        <v>1.8549688861396699E-3</v>
      </c>
      <c r="O732" s="10" t="str">
        <f>IF(Sales_Data[[#This Row],[Total Profit]]&gt;0,"Profitable","Loss")</f>
        <v>Profitable</v>
      </c>
      <c r="P732" s="10" t="str">
        <f>IF(Sales_Data[[#This Row],[Total Profit]]&gt;100000,"High Value",IF(Sales_Data[[#This Row],[Total Profit]]&gt;60000,"Medium","Low"))</f>
        <v>Medium</v>
      </c>
      <c r="Q732" s="11" t="str">
        <f>PROPER(Sales_Data[[#This Row],[Month Name]])</f>
        <v>Dezembro</v>
      </c>
      <c r="R732" s="11" t="str">
        <f>PROPER(Sales_Data[[#This Row],[Sales Manager]])</f>
        <v>Jane Doe</v>
      </c>
    </row>
    <row r="733" spans="1:18" hidden="1" x14ac:dyDescent="0.25">
      <c r="A733">
        <v>10732</v>
      </c>
      <c r="B733">
        <v>2021</v>
      </c>
      <c r="C733" t="s">
        <v>66</v>
      </c>
      <c r="D733" s="8">
        <v>44197</v>
      </c>
      <c r="E733" t="s">
        <v>19</v>
      </c>
      <c r="F733" t="s">
        <v>21</v>
      </c>
      <c r="G733" t="s">
        <v>13</v>
      </c>
      <c r="H733" s="9">
        <v>2</v>
      </c>
      <c r="I733" s="9">
        <v>25</v>
      </c>
      <c r="J733" s="10">
        <v>18750</v>
      </c>
      <c r="K733" s="10">
        <v>3937.5</v>
      </c>
      <c r="L733">
        <v>1</v>
      </c>
      <c r="M733" s="8">
        <v>44197</v>
      </c>
      <c r="N733" s="23">
        <v>9.4448517624219299E-5</v>
      </c>
      <c r="O733" s="10" t="str">
        <f>IF(Sales_Data[[#This Row],[Total Profit]]&gt;0,"Profitable","Loss")</f>
        <v>Profitable</v>
      </c>
      <c r="P733" s="10" t="str">
        <f>IF(Sales_Data[[#This Row],[Total Profit]]&gt;100000,"High Value",IF(Sales_Data[[#This Row],[Total Profit]]&gt;60000,"Medium","Low"))</f>
        <v>Low</v>
      </c>
      <c r="Q733" s="11" t="str">
        <f>PROPER(Sales_Data[[#This Row],[Month Name]])</f>
        <v>Janeiro</v>
      </c>
      <c r="R733" s="11" t="str">
        <f>PROPER(Sales_Data[[#This Row],[Sales Manager]])</f>
        <v>John Smith</v>
      </c>
    </row>
    <row r="734" spans="1:18" hidden="1" x14ac:dyDescent="0.25">
      <c r="A734">
        <v>10733</v>
      </c>
      <c r="B734">
        <v>2021</v>
      </c>
      <c r="C734" t="s">
        <v>66</v>
      </c>
      <c r="D734" s="8">
        <v>44198</v>
      </c>
      <c r="E734" t="s">
        <v>11</v>
      </c>
      <c r="F734" t="s">
        <v>16</v>
      </c>
      <c r="G734" t="s">
        <v>13</v>
      </c>
      <c r="H734" s="9">
        <v>10</v>
      </c>
      <c r="I734" s="9">
        <v>190</v>
      </c>
      <c r="J734" s="10">
        <v>142500</v>
      </c>
      <c r="K734" s="10">
        <v>48450</v>
      </c>
      <c r="L734">
        <v>1</v>
      </c>
      <c r="M734" s="8">
        <v>44197</v>
      </c>
      <c r="N734" s="23">
        <v>7.1780873394406699E-4</v>
      </c>
      <c r="O734" s="10" t="str">
        <f>IF(Sales_Data[[#This Row],[Total Profit]]&gt;0,"Profitable","Loss")</f>
        <v>Profitable</v>
      </c>
      <c r="P734" s="10" t="str">
        <f>IF(Sales_Data[[#This Row],[Total Profit]]&gt;100000,"High Value",IF(Sales_Data[[#This Row],[Total Profit]]&gt;60000,"Medium","Low"))</f>
        <v>Low</v>
      </c>
      <c r="Q734" s="11" t="str">
        <f>PROPER(Sales_Data[[#This Row],[Month Name]])</f>
        <v>Janeiro</v>
      </c>
      <c r="R734" s="11" t="str">
        <f>PROPER(Sales_Data[[#This Row],[Sales Manager]])</f>
        <v>James Brown</v>
      </c>
    </row>
    <row r="735" spans="1:18" hidden="1" x14ac:dyDescent="0.25">
      <c r="A735">
        <v>10734</v>
      </c>
      <c r="B735">
        <v>2021</v>
      </c>
      <c r="C735" t="s">
        <v>66</v>
      </c>
      <c r="D735" s="8">
        <v>44199</v>
      </c>
      <c r="E735" t="s">
        <v>14</v>
      </c>
      <c r="F735" t="s">
        <v>18</v>
      </c>
      <c r="G735" t="s">
        <v>20</v>
      </c>
      <c r="H735" s="9">
        <v>24</v>
      </c>
      <c r="I735" s="9">
        <v>267</v>
      </c>
      <c r="J735" s="10">
        <v>226950</v>
      </c>
      <c r="K735" s="10">
        <v>38581.5</v>
      </c>
      <c r="L735">
        <v>2</v>
      </c>
      <c r="M735" s="8">
        <v>44197</v>
      </c>
      <c r="N735" s="23">
        <v>1.1432048573235499E-3</v>
      </c>
      <c r="O735" s="10" t="str">
        <f>IF(Sales_Data[[#This Row],[Total Profit]]&gt;0,"Profitable","Loss")</f>
        <v>Profitable</v>
      </c>
      <c r="P735" s="10" t="str">
        <f>IF(Sales_Data[[#This Row],[Total Profit]]&gt;100000,"High Value",IF(Sales_Data[[#This Row],[Total Profit]]&gt;60000,"Medium","Low"))</f>
        <v>Low</v>
      </c>
      <c r="Q735" s="11" t="str">
        <f>PROPER(Sales_Data[[#This Row],[Month Name]])</f>
        <v>Janeiro</v>
      </c>
      <c r="R735" s="11" t="str">
        <f>PROPER(Sales_Data[[#This Row],[Sales Manager]])</f>
        <v>Jane Doe</v>
      </c>
    </row>
    <row r="736" spans="1:18" hidden="1" x14ac:dyDescent="0.25">
      <c r="A736">
        <v>10735</v>
      </c>
      <c r="B736">
        <v>2021</v>
      </c>
      <c r="C736" t="s">
        <v>66</v>
      </c>
      <c r="D736" s="8">
        <v>44200</v>
      </c>
      <c r="E736" t="s">
        <v>14</v>
      </c>
      <c r="F736" t="s">
        <v>18</v>
      </c>
      <c r="G736" t="s">
        <v>17</v>
      </c>
      <c r="H736" s="9">
        <v>21</v>
      </c>
      <c r="I736" s="9">
        <v>468</v>
      </c>
      <c r="J736" s="10">
        <v>117000</v>
      </c>
      <c r="K736" s="10">
        <v>46800</v>
      </c>
      <c r="L736">
        <v>2</v>
      </c>
      <c r="M736" s="8">
        <v>44197</v>
      </c>
      <c r="N736" s="23">
        <v>5.8935874997512801E-4</v>
      </c>
      <c r="O736" s="10" t="str">
        <f>IF(Sales_Data[[#This Row],[Total Profit]]&gt;0,"Profitable","Loss")</f>
        <v>Profitable</v>
      </c>
      <c r="P736" s="10" t="str">
        <f>IF(Sales_Data[[#This Row],[Total Profit]]&gt;100000,"High Value",IF(Sales_Data[[#This Row],[Total Profit]]&gt;60000,"Medium","Low"))</f>
        <v>Low</v>
      </c>
      <c r="Q736" s="11" t="str">
        <f>PROPER(Sales_Data[[#This Row],[Month Name]])</f>
        <v>Janeiro</v>
      </c>
      <c r="R736" s="11" t="str">
        <f>PROPER(Sales_Data[[#This Row],[Sales Manager]])</f>
        <v>Jane Doe</v>
      </c>
    </row>
    <row r="737" spans="1:18" hidden="1" x14ac:dyDescent="0.25">
      <c r="A737">
        <v>10736</v>
      </c>
      <c r="B737">
        <v>2021</v>
      </c>
      <c r="C737" t="s">
        <v>66</v>
      </c>
      <c r="D737" s="8">
        <v>44201</v>
      </c>
      <c r="E737" t="s">
        <v>11</v>
      </c>
      <c r="F737" t="s">
        <v>21</v>
      </c>
      <c r="G737" t="s">
        <v>15</v>
      </c>
      <c r="H737" s="9">
        <v>9</v>
      </c>
      <c r="I737" s="9">
        <v>178</v>
      </c>
      <c r="J737" s="10">
        <v>89000</v>
      </c>
      <c r="K737" s="10">
        <v>14240</v>
      </c>
      <c r="L737">
        <v>2</v>
      </c>
      <c r="M737" s="8">
        <v>44197</v>
      </c>
      <c r="N737" s="23">
        <v>4.48315630322961E-4</v>
      </c>
      <c r="O737" s="10" t="str">
        <f>IF(Sales_Data[[#This Row],[Total Profit]]&gt;0,"Profitable","Loss")</f>
        <v>Profitable</v>
      </c>
      <c r="P737" s="10" t="str">
        <f>IF(Sales_Data[[#This Row],[Total Profit]]&gt;100000,"High Value",IF(Sales_Data[[#This Row],[Total Profit]]&gt;60000,"Medium","Low"))</f>
        <v>Low</v>
      </c>
      <c r="Q737" s="11" t="str">
        <f>PROPER(Sales_Data[[#This Row],[Month Name]])</f>
        <v>Janeiro</v>
      </c>
      <c r="R737" s="11" t="str">
        <f>PROPER(Sales_Data[[#This Row],[Sales Manager]])</f>
        <v>John Smith</v>
      </c>
    </row>
    <row r="738" spans="1:18" hidden="1" x14ac:dyDescent="0.25">
      <c r="A738">
        <v>10737</v>
      </c>
      <c r="B738">
        <v>2021</v>
      </c>
      <c r="C738" t="s">
        <v>66</v>
      </c>
      <c r="D738" s="8">
        <v>44202</v>
      </c>
      <c r="E738" t="s">
        <v>14</v>
      </c>
      <c r="F738" t="s">
        <v>21</v>
      </c>
      <c r="G738" t="s">
        <v>13</v>
      </c>
      <c r="H738" s="9">
        <v>4</v>
      </c>
      <c r="I738" s="9">
        <v>66</v>
      </c>
      <c r="J738" s="10">
        <v>49500</v>
      </c>
      <c r="K738" s="10">
        <v>9405</v>
      </c>
      <c r="L738">
        <v>2</v>
      </c>
      <c r="M738" s="8">
        <v>44197</v>
      </c>
      <c r="N738" s="23">
        <v>2.4934408652793898E-4</v>
      </c>
      <c r="O738" s="10" t="str">
        <f>IF(Sales_Data[[#This Row],[Total Profit]]&gt;0,"Profitable","Loss")</f>
        <v>Profitable</v>
      </c>
      <c r="P738" s="10" t="str">
        <f>IF(Sales_Data[[#This Row],[Total Profit]]&gt;100000,"High Value",IF(Sales_Data[[#This Row],[Total Profit]]&gt;60000,"Medium","Low"))</f>
        <v>Low</v>
      </c>
      <c r="Q738" s="11" t="str">
        <f>PROPER(Sales_Data[[#This Row],[Month Name]])</f>
        <v>Janeiro</v>
      </c>
      <c r="R738" s="11" t="str">
        <f>PROPER(Sales_Data[[#This Row],[Sales Manager]])</f>
        <v>John Smith</v>
      </c>
    </row>
    <row r="739" spans="1:18" hidden="1" x14ac:dyDescent="0.25">
      <c r="A739">
        <v>10738</v>
      </c>
      <c r="B739">
        <v>2021</v>
      </c>
      <c r="C739" t="s">
        <v>66</v>
      </c>
      <c r="D739" s="8">
        <v>44203</v>
      </c>
      <c r="E739" t="s">
        <v>19</v>
      </c>
      <c r="F739" t="s">
        <v>24</v>
      </c>
      <c r="G739" t="s">
        <v>20</v>
      </c>
      <c r="H739" s="9">
        <v>7</v>
      </c>
      <c r="I739" s="9">
        <v>160</v>
      </c>
      <c r="J739" s="10">
        <v>136000</v>
      </c>
      <c r="K739" s="10">
        <v>20400</v>
      </c>
      <c r="L739">
        <v>2</v>
      </c>
      <c r="M739" s="8">
        <v>44197</v>
      </c>
      <c r="N739" s="23">
        <v>6.8506658116767097E-4</v>
      </c>
      <c r="O739" s="10" t="str">
        <f>IF(Sales_Data[[#This Row],[Total Profit]]&gt;0,"Profitable","Loss")</f>
        <v>Profitable</v>
      </c>
      <c r="P739" s="10" t="str">
        <f>IF(Sales_Data[[#This Row],[Total Profit]]&gt;100000,"High Value",IF(Sales_Data[[#This Row],[Total Profit]]&gt;60000,"Medium","Low"))</f>
        <v>Low</v>
      </c>
      <c r="Q739" s="11" t="str">
        <f>PROPER(Sales_Data[[#This Row],[Month Name]])</f>
        <v>Janeiro</v>
      </c>
      <c r="R739" s="11" t="str">
        <f>PROPER(Sales_Data[[#This Row],[Sales Manager]])</f>
        <v>Liam Lee</v>
      </c>
    </row>
    <row r="740" spans="1:18" hidden="1" x14ac:dyDescent="0.25">
      <c r="A740">
        <v>10739</v>
      </c>
      <c r="B740">
        <v>2021</v>
      </c>
      <c r="C740" t="s">
        <v>66</v>
      </c>
      <c r="D740" s="8">
        <v>44204</v>
      </c>
      <c r="E740" t="s">
        <v>19</v>
      </c>
      <c r="F740" t="s">
        <v>18</v>
      </c>
      <c r="G740" t="s">
        <v>15</v>
      </c>
      <c r="H740" s="9">
        <v>11</v>
      </c>
      <c r="I740" s="9">
        <v>144</v>
      </c>
      <c r="J740" s="10">
        <v>72000</v>
      </c>
      <c r="K740" s="10">
        <v>20880</v>
      </c>
      <c r="L740">
        <v>2</v>
      </c>
      <c r="M740" s="8">
        <v>44197</v>
      </c>
      <c r="N740" s="23">
        <v>3.6268230767700201E-4</v>
      </c>
      <c r="O740" s="10" t="str">
        <f>IF(Sales_Data[[#This Row],[Total Profit]]&gt;0,"Profitable","Loss")</f>
        <v>Profitable</v>
      </c>
      <c r="P740" s="10" t="str">
        <f>IF(Sales_Data[[#This Row],[Total Profit]]&gt;100000,"High Value",IF(Sales_Data[[#This Row],[Total Profit]]&gt;60000,"Medium","Low"))</f>
        <v>Low</v>
      </c>
      <c r="Q740" s="11" t="str">
        <f>PROPER(Sales_Data[[#This Row],[Month Name]])</f>
        <v>Janeiro</v>
      </c>
      <c r="R740" s="11" t="str">
        <f>PROPER(Sales_Data[[#This Row],[Sales Manager]])</f>
        <v>Jane Doe</v>
      </c>
    </row>
    <row r="741" spans="1:18" hidden="1" x14ac:dyDescent="0.25">
      <c r="A741">
        <v>10740</v>
      </c>
      <c r="B741">
        <v>2021</v>
      </c>
      <c r="C741" t="s">
        <v>66</v>
      </c>
      <c r="D741" s="8">
        <v>44205</v>
      </c>
      <c r="E741" t="s">
        <v>11</v>
      </c>
      <c r="F741" t="s">
        <v>18</v>
      </c>
      <c r="G741" t="s">
        <v>23</v>
      </c>
      <c r="H741" s="9">
        <v>6</v>
      </c>
      <c r="I741" s="9">
        <v>383</v>
      </c>
      <c r="J741" s="10">
        <v>134050</v>
      </c>
      <c r="K741" s="10">
        <v>53620</v>
      </c>
      <c r="L741">
        <v>2</v>
      </c>
      <c r="M741" s="8">
        <v>44197</v>
      </c>
      <c r="N741" s="23">
        <v>6.7524393533475199E-4</v>
      </c>
      <c r="O741" s="10" t="str">
        <f>IF(Sales_Data[[#This Row],[Total Profit]]&gt;0,"Profitable","Loss")</f>
        <v>Profitable</v>
      </c>
      <c r="P741" s="10" t="str">
        <f>IF(Sales_Data[[#This Row],[Total Profit]]&gt;100000,"High Value",IF(Sales_Data[[#This Row],[Total Profit]]&gt;60000,"Medium","Low"))</f>
        <v>Low</v>
      </c>
      <c r="Q741" s="11" t="str">
        <f>PROPER(Sales_Data[[#This Row],[Month Name]])</f>
        <v>Janeiro</v>
      </c>
      <c r="R741" s="11" t="str">
        <f>PROPER(Sales_Data[[#This Row],[Sales Manager]])</f>
        <v>Jane Doe</v>
      </c>
    </row>
    <row r="742" spans="1:18" hidden="1" x14ac:dyDescent="0.25">
      <c r="A742">
        <v>10741</v>
      </c>
      <c r="B742">
        <v>2021</v>
      </c>
      <c r="C742" t="s">
        <v>66</v>
      </c>
      <c r="D742" s="8">
        <v>44206</v>
      </c>
      <c r="E742" t="s">
        <v>14</v>
      </c>
      <c r="F742" t="s">
        <v>16</v>
      </c>
      <c r="G742" t="s">
        <v>23</v>
      </c>
      <c r="H742" s="9">
        <v>14</v>
      </c>
      <c r="I742" s="9">
        <v>338</v>
      </c>
      <c r="J742" s="10">
        <v>118300</v>
      </c>
      <c r="K742" s="10">
        <v>22477</v>
      </c>
      <c r="L742">
        <v>3</v>
      </c>
      <c r="M742" s="8">
        <v>44197</v>
      </c>
      <c r="N742" s="23">
        <v>5.9590718053040802E-4</v>
      </c>
      <c r="O742" s="10" t="str">
        <f>IF(Sales_Data[[#This Row],[Total Profit]]&gt;0,"Profitable","Loss")</f>
        <v>Profitable</v>
      </c>
      <c r="P742" s="10" t="str">
        <f>IF(Sales_Data[[#This Row],[Total Profit]]&gt;100000,"High Value",IF(Sales_Data[[#This Row],[Total Profit]]&gt;60000,"Medium","Low"))</f>
        <v>Low</v>
      </c>
      <c r="Q742" s="11" t="str">
        <f>PROPER(Sales_Data[[#This Row],[Month Name]])</f>
        <v>Janeiro</v>
      </c>
      <c r="R742" s="11" t="str">
        <f>PROPER(Sales_Data[[#This Row],[Sales Manager]])</f>
        <v>James Brown</v>
      </c>
    </row>
    <row r="743" spans="1:18" hidden="1" x14ac:dyDescent="0.25">
      <c r="A743">
        <v>10742</v>
      </c>
      <c r="B743">
        <v>2021</v>
      </c>
      <c r="C743" t="s">
        <v>66</v>
      </c>
      <c r="D743" s="8">
        <v>44207</v>
      </c>
      <c r="E743" t="s">
        <v>14</v>
      </c>
      <c r="F743" t="s">
        <v>18</v>
      </c>
      <c r="G743" t="s">
        <v>15</v>
      </c>
      <c r="H743" s="9">
        <v>17</v>
      </c>
      <c r="I743" s="9">
        <v>186</v>
      </c>
      <c r="J743" s="10">
        <v>93000</v>
      </c>
      <c r="K743" s="10">
        <v>21390</v>
      </c>
      <c r="L743">
        <v>3</v>
      </c>
      <c r="M743" s="8">
        <v>44197</v>
      </c>
      <c r="N743" s="23">
        <v>4.6846464741612801E-4</v>
      </c>
      <c r="O743" s="10" t="str">
        <f>IF(Sales_Data[[#This Row],[Total Profit]]&gt;0,"Profitable","Loss")</f>
        <v>Profitable</v>
      </c>
      <c r="P743" s="10" t="str">
        <f>IF(Sales_Data[[#This Row],[Total Profit]]&gt;100000,"High Value",IF(Sales_Data[[#This Row],[Total Profit]]&gt;60000,"Medium","Low"))</f>
        <v>Low</v>
      </c>
      <c r="Q743" s="11" t="str">
        <f>PROPER(Sales_Data[[#This Row],[Month Name]])</f>
        <v>Janeiro</v>
      </c>
      <c r="R743" s="11" t="str">
        <f>PROPER(Sales_Data[[#This Row],[Sales Manager]])</f>
        <v>Jane Doe</v>
      </c>
    </row>
    <row r="744" spans="1:18" hidden="1" x14ac:dyDescent="0.25">
      <c r="A744">
        <v>10743</v>
      </c>
      <c r="B744">
        <v>2021</v>
      </c>
      <c r="C744" t="s">
        <v>66</v>
      </c>
      <c r="D744" s="8">
        <v>44208</v>
      </c>
      <c r="E744" t="s">
        <v>11</v>
      </c>
      <c r="F744" t="s">
        <v>21</v>
      </c>
      <c r="G744" t="s">
        <v>13</v>
      </c>
      <c r="H744" s="9">
        <v>48</v>
      </c>
      <c r="I744" s="9">
        <v>493</v>
      </c>
      <c r="J744" s="10">
        <v>369750</v>
      </c>
      <c r="K744" s="10">
        <v>59160</v>
      </c>
      <c r="L744">
        <v>3</v>
      </c>
      <c r="M744" s="8">
        <v>44197</v>
      </c>
      <c r="N744" s="23">
        <v>1.8625247675496E-3</v>
      </c>
      <c r="O744" s="10" t="str">
        <f>IF(Sales_Data[[#This Row],[Total Profit]]&gt;0,"Profitable","Loss")</f>
        <v>Profitable</v>
      </c>
      <c r="P744" s="10" t="str">
        <f>IF(Sales_Data[[#This Row],[Total Profit]]&gt;100000,"High Value",IF(Sales_Data[[#This Row],[Total Profit]]&gt;60000,"Medium","Low"))</f>
        <v>Low</v>
      </c>
      <c r="Q744" s="11" t="str">
        <f>PROPER(Sales_Data[[#This Row],[Month Name]])</f>
        <v>Janeiro</v>
      </c>
      <c r="R744" s="11" t="str">
        <f>PROPER(Sales_Data[[#This Row],[Sales Manager]])</f>
        <v>John Smith</v>
      </c>
    </row>
    <row r="745" spans="1:18" hidden="1" x14ac:dyDescent="0.25">
      <c r="A745">
        <v>10744</v>
      </c>
      <c r="B745">
        <v>2021</v>
      </c>
      <c r="C745" t="s">
        <v>66</v>
      </c>
      <c r="D745" s="8">
        <v>44209</v>
      </c>
      <c r="E745" t="s">
        <v>19</v>
      </c>
      <c r="F745" t="s">
        <v>24</v>
      </c>
      <c r="G745" t="s">
        <v>13</v>
      </c>
      <c r="H745" s="9">
        <v>8</v>
      </c>
      <c r="I745" s="9">
        <v>157</v>
      </c>
      <c r="J745" s="10">
        <v>117750</v>
      </c>
      <c r="K745" s="10">
        <v>47100</v>
      </c>
      <c r="L745">
        <v>3</v>
      </c>
      <c r="M745" s="8">
        <v>44197</v>
      </c>
      <c r="N745" s="23">
        <v>5.9313669068009696E-4</v>
      </c>
      <c r="O745" s="10" t="str">
        <f>IF(Sales_Data[[#This Row],[Total Profit]]&gt;0,"Profitable","Loss")</f>
        <v>Profitable</v>
      </c>
      <c r="P745" s="10" t="str">
        <f>IF(Sales_Data[[#This Row],[Total Profit]]&gt;100000,"High Value",IF(Sales_Data[[#This Row],[Total Profit]]&gt;60000,"Medium","Low"))</f>
        <v>Low</v>
      </c>
      <c r="Q745" s="11" t="str">
        <f>PROPER(Sales_Data[[#This Row],[Month Name]])</f>
        <v>Janeiro</v>
      </c>
      <c r="R745" s="11" t="str">
        <f>PROPER(Sales_Data[[#This Row],[Sales Manager]])</f>
        <v>Liam Lee</v>
      </c>
    </row>
    <row r="746" spans="1:18" hidden="1" x14ac:dyDescent="0.25">
      <c r="A746">
        <v>10745</v>
      </c>
      <c r="B746">
        <v>2021</v>
      </c>
      <c r="C746" t="s">
        <v>66</v>
      </c>
      <c r="D746" s="8">
        <v>44210</v>
      </c>
      <c r="E746" t="s">
        <v>19</v>
      </c>
      <c r="F746" t="s">
        <v>18</v>
      </c>
      <c r="G746" t="s">
        <v>20</v>
      </c>
      <c r="H746" s="9">
        <v>1</v>
      </c>
      <c r="I746" s="9">
        <v>51</v>
      </c>
      <c r="J746" s="10">
        <v>43350</v>
      </c>
      <c r="K746" s="10">
        <v>12138.000000000002</v>
      </c>
      <c r="L746">
        <v>3</v>
      </c>
      <c r="M746" s="8">
        <v>44197</v>
      </c>
      <c r="N746" s="23">
        <v>2.1836497274719499E-4</v>
      </c>
      <c r="O746" s="10" t="str">
        <f>IF(Sales_Data[[#This Row],[Total Profit]]&gt;0,"Profitable","Loss")</f>
        <v>Profitable</v>
      </c>
      <c r="P746" s="10" t="str">
        <f>IF(Sales_Data[[#This Row],[Total Profit]]&gt;100000,"High Value",IF(Sales_Data[[#This Row],[Total Profit]]&gt;60000,"Medium","Low"))</f>
        <v>Low</v>
      </c>
      <c r="Q746" s="11" t="str">
        <f>PROPER(Sales_Data[[#This Row],[Month Name]])</f>
        <v>Janeiro</v>
      </c>
      <c r="R746" s="11" t="str">
        <f>PROPER(Sales_Data[[#This Row],[Sales Manager]])</f>
        <v>Jane Doe</v>
      </c>
    </row>
    <row r="747" spans="1:18" hidden="1" x14ac:dyDescent="0.25">
      <c r="A747">
        <v>10746</v>
      </c>
      <c r="B747">
        <v>2021</v>
      </c>
      <c r="C747" t="s">
        <v>66</v>
      </c>
      <c r="D747" s="8">
        <v>44211</v>
      </c>
      <c r="E747" t="s">
        <v>11</v>
      </c>
      <c r="F747" t="s">
        <v>24</v>
      </c>
      <c r="G747" t="s">
        <v>20</v>
      </c>
      <c r="H747" s="9">
        <v>8</v>
      </c>
      <c r="I747" s="9">
        <v>139</v>
      </c>
      <c r="J747" s="10">
        <v>118150</v>
      </c>
      <c r="K747" s="10">
        <v>12996.5</v>
      </c>
      <c r="L747">
        <v>3</v>
      </c>
      <c r="M747" s="8">
        <v>44197</v>
      </c>
      <c r="N747" s="23">
        <v>5.9515159238941403E-4</v>
      </c>
      <c r="O747" s="10" t="str">
        <f>IF(Sales_Data[[#This Row],[Total Profit]]&gt;0,"Profitable","Loss")</f>
        <v>Profitable</v>
      </c>
      <c r="P747" s="10" t="str">
        <f>IF(Sales_Data[[#This Row],[Total Profit]]&gt;100000,"High Value",IF(Sales_Data[[#This Row],[Total Profit]]&gt;60000,"Medium","Low"))</f>
        <v>Low</v>
      </c>
      <c r="Q747" s="11" t="str">
        <f>PROPER(Sales_Data[[#This Row],[Month Name]])</f>
        <v>Janeiro</v>
      </c>
      <c r="R747" s="11" t="str">
        <f>PROPER(Sales_Data[[#This Row],[Sales Manager]])</f>
        <v>Liam Lee</v>
      </c>
    </row>
    <row r="748" spans="1:18" hidden="1" x14ac:dyDescent="0.25">
      <c r="A748">
        <v>10747</v>
      </c>
      <c r="B748">
        <v>2021</v>
      </c>
      <c r="C748" t="s">
        <v>66</v>
      </c>
      <c r="D748" s="8">
        <v>44212</v>
      </c>
      <c r="E748" t="s">
        <v>19</v>
      </c>
      <c r="F748" t="s">
        <v>12</v>
      </c>
      <c r="G748" t="s">
        <v>20</v>
      </c>
      <c r="H748" s="9">
        <v>6</v>
      </c>
      <c r="I748" s="9">
        <v>222</v>
      </c>
      <c r="J748" s="10">
        <v>188700</v>
      </c>
      <c r="K748" s="10">
        <v>35853</v>
      </c>
      <c r="L748">
        <v>3</v>
      </c>
      <c r="M748" s="8">
        <v>44197</v>
      </c>
      <c r="N748" s="23">
        <v>9.5052988137014297E-4</v>
      </c>
      <c r="O748" s="10" t="str">
        <f>IF(Sales_Data[[#This Row],[Total Profit]]&gt;0,"Profitable","Loss")</f>
        <v>Profitable</v>
      </c>
      <c r="P748" s="10" t="str">
        <f>IF(Sales_Data[[#This Row],[Total Profit]]&gt;100000,"High Value",IF(Sales_Data[[#This Row],[Total Profit]]&gt;60000,"Medium","Low"))</f>
        <v>Low</v>
      </c>
      <c r="Q748" s="11" t="str">
        <f>PROPER(Sales_Data[[#This Row],[Month Name]])</f>
        <v>Janeiro</v>
      </c>
      <c r="R748" s="11" t="str">
        <f>PROPER(Sales_Data[[#This Row],[Sales Manager]])</f>
        <v>Emily White</v>
      </c>
    </row>
    <row r="749" spans="1:18" hidden="1" x14ac:dyDescent="0.25">
      <c r="A749">
        <v>10748</v>
      </c>
      <c r="B749">
        <v>2021</v>
      </c>
      <c r="C749" t="s">
        <v>66</v>
      </c>
      <c r="D749" s="8">
        <v>44213</v>
      </c>
      <c r="E749" t="s">
        <v>11</v>
      </c>
      <c r="F749" t="s">
        <v>21</v>
      </c>
      <c r="G749" t="s">
        <v>15</v>
      </c>
      <c r="H749" s="9">
        <v>15</v>
      </c>
      <c r="I749" s="9">
        <v>226</v>
      </c>
      <c r="J749" s="10">
        <v>113000</v>
      </c>
      <c r="K749" s="10">
        <v>15820.000000000002</v>
      </c>
      <c r="L749">
        <v>4</v>
      </c>
      <c r="M749" s="8">
        <v>44197</v>
      </c>
      <c r="N749" s="23">
        <v>5.6920973288196203E-4</v>
      </c>
      <c r="O749" s="10" t="str">
        <f>IF(Sales_Data[[#This Row],[Total Profit]]&gt;0,"Profitable","Loss")</f>
        <v>Profitable</v>
      </c>
      <c r="P749" s="10" t="str">
        <f>IF(Sales_Data[[#This Row],[Total Profit]]&gt;100000,"High Value",IF(Sales_Data[[#This Row],[Total Profit]]&gt;60000,"Medium","Low"))</f>
        <v>Low</v>
      </c>
      <c r="Q749" s="11" t="str">
        <f>PROPER(Sales_Data[[#This Row],[Month Name]])</f>
        <v>Janeiro</v>
      </c>
      <c r="R749" s="11" t="str">
        <f>PROPER(Sales_Data[[#This Row],[Sales Manager]])</f>
        <v>John Smith</v>
      </c>
    </row>
    <row r="750" spans="1:18" hidden="1" x14ac:dyDescent="0.25">
      <c r="A750">
        <v>10749</v>
      </c>
      <c r="B750">
        <v>2021</v>
      </c>
      <c r="C750" t="s">
        <v>66</v>
      </c>
      <c r="D750" s="8">
        <v>44214</v>
      </c>
      <c r="E750" t="s">
        <v>11</v>
      </c>
      <c r="F750" t="s">
        <v>24</v>
      </c>
      <c r="G750" t="s">
        <v>13</v>
      </c>
      <c r="H750" s="9">
        <v>12</v>
      </c>
      <c r="I750" s="9">
        <v>221</v>
      </c>
      <c r="J750" s="10">
        <v>165750</v>
      </c>
      <c r="K750" s="10">
        <v>71272.5</v>
      </c>
      <c r="L750">
        <v>4</v>
      </c>
      <c r="M750" s="8">
        <v>44197</v>
      </c>
      <c r="N750" s="23">
        <v>8.3492489579809902E-4</v>
      </c>
      <c r="O750" s="10" t="str">
        <f>IF(Sales_Data[[#This Row],[Total Profit]]&gt;0,"Profitable","Loss")</f>
        <v>Profitable</v>
      </c>
      <c r="P750" s="10" t="str">
        <f>IF(Sales_Data[[#This Row],[Total Profit]]&gt;100000,"High Value",IF(Sales_Data[[#This Row],[Total Profit]]&gt;60000,"Medium","Low"))</f>
        <v>Medium</v>
      </c>
      <c r="Q750" s="11" t="str">
        <f>PROPER(Sales_Data[[#This Row],[Month Name]])</f>
        <v>Janeiro</v>
      </c>
      <c r="R750" s="11" t="str">
        <f>PROPER(Sales_Data[[#This Row],[Sales Manager]])</f>
        <v>Liam Lee</v>
      </c>
    </row>
    <row r="751" spans="1:18" hidden="1" x14ac:dyDescent="0.25">
      <c r="A751">
        <v>10750</v>
      </c>
      <c r="B751">
        <v>2021</v>
      </c>
      <c r="C751" t="s">
        <v>66</v>
      </c>
      <c r="D751" s="8">
        <v>44215</v>
      </c>
      <c r="E751" t="s">
        <v>19</v>
      </c>
      <c r="F751" t="s">
        <v>24</v>
      </c>
      <c r="G751" t="s">
        <v>17</v>
      </c>
      <c r="H751" s="9">
        <v>5</v>
      </c>
      <c r="I751" s="9">
        <v>380</v>
      </c>
      <c r="J751" s="10">
        <v>95000</v>
      </c>
      <c r="K751" s="10">
        <v>37050</v>
      </c>
      <c r="L751">
        <v>4</v>
      </c>
      <c r="M751" s="8">
        <v>44197</v>
      </c>
      <c r="N751" s="23">
        <v>4.78539155962711E-4</v>
      </c>
      <c r="O751" s="10" t="str">
        <f>IF(Sales_Data[[#This Row],[Total Profit]]&gt;0,"Profitable","Loss")</f>
        <v>Profitable</v>
      </c>
      <c r="P751" s="10" t="str">
        <f>IF(Sales_Data[[#This Row],[Total Profit]]&gt;100000,"High Value",IF(Sales_Data[[#This Row],[Total Profit]]&gt;60000,"Medium","Low"))</f>
        <v>Low</v>
      </c>
      <c r="Q751" s="11" t="str">
        <f>PROPER(Sales_Data[[#This Row],[Month Name]])</f>
        <v>Janeiro</v>
      </c>
      <c r="R751" s="11" t="str">
        <f>PROPER(Sales_Data[[#This Row],[Sales Manager]])</f>
        <v>Liam Lee</v>
      </c>
    </row>
    <row r="752" spans="1:18" hidden="1" x14ac:dyDescent="0.25">
      <c r="A752">
        <v>10751</v>
      </c>
      <c r="B752">
        <v>2021</v>
      </c>
      <c r="C752" t="s">
        <v>66</v>
      </c>
      <c r="D752" s="8">
        <v>44216</v>
      </c>
      <c r="E752" t="s">
        <v>25</v>
      </c>
      <c r="F752" t="s">
        <v>21</v>
      </c>
      <c r="G752" t="s">
        <v>17</v>
      </c>
      <c r="H752" s="9">
        <v>17</v>
      </c>
      <c r="I752" s="9">
        <v>415</v>
      </c>
      <c r="J752" s="10">
        <v>103750</v>
      </c>
      <c r="K752" s="10">
        <v>33200</v>
      </c>
      <c r="L752">
        <v>4</v>
      </c>
      <c r="M752" s="8">
        <v>44197</v>
      </c>
      <c r="N752" s="23">
        <v>5.2261513085401397E-4</v>
      </c>
      <c r="O752" s="10" t="str">
        <f>IF(Sales_Data[[#This Row],[Total Profit]]&gt;0,"Profitable","Loss")</f>
        <v>Profitable</v>
      </c>
      <c r="P752" s="10" t="str">
        <f>IF(Sales_Data[[#This Row],[Total Profit]]&gt;100000,"High Value",IF(Sales_Data[[#This Row],[Total Profit]]&gt;60000,"Medium","Low"))</f>
        <v>Low</v>
      </c>
      <c r="Q752" s="11" t="str">
        <f>PROPER(Sales_Data[[#This Row],[Month Name]])</f>
        <v>Janeiro</v>
      </c>
      <c r="R752" s="11" t="str">
        <f>PROPER(Sales_Data[[#This Row],[Sales Manager]])</f>
        <v>John Smith</v>
      </c>
    </row>
    <row r="753" spans="1:18" hidden="1" x14ac:dyDescent="0.25">
      <c r="A753">
        <v>10752</v>
      </c>
      <c r="B753">
        <v>2021</v>
      </c>
      <c r="C753" t="s">
        <v>66</v>
      </c>
      <c r="D753" s="8">
        <v>44217</v>
      </c>
      <c r="E753" t="s">
        <v>22</v>
      </c>
      <c r="F753" t="s">
        <v>12</v>
      </c>
      <c r="G753" t="s">
        <v>17</v>
      </c>
      <c r="H753" s="9">
        <v>7</v>
      </c>
      <c r="I753" s="9">
        <v>151</v>
      </c>
      <c r="J753" s="10">
        <v>37750</v>
      </c>
      <c r="K753" s="10">
        <v>3775</v>
      </c>
      <c r="L753">
        <v>4</v>
      </c>
      <c r="M753" s="8">
        <v>44197</v>
      </c>
      <c r="N753" s="23">
        <v>1.9015634881676199E-4</v>
      </c>
      <c r="O753" s="10" t="str">
        <f>IF(Sales_Data[[#This Row],[Total Profit]]&gt;0,"Profitable","Loss")</f>
        <v>Profitable</v>
      </c>
      <c r="P753" s="10" t="str">
        <f>IF(Sales_Data[[#This Row],[Total Profit]]&gt;100000,"High Value",IF(Sales_Data[[#This Row],[Total Profit]]&gt;60000,"Medium","Low"))</f>
        <v>Low</v>
      </c>
      <c r="Q753" s="11" t="str">
        <f>PROPER(Sales_Data[[#This Row],[Month Name]])</f>
        <v>Janeiro</v>
      </c>
      <c r="R753" s="11" t="str">
        <f>PROPER(Sales_Data[[#This Row],[Sales Manager]])</f>
        <v>Emily White</v>
      </c>
    </row>
    <row r="754" spans="1:18" hidden="1" x14ac:dyDescent="0.25">
      <c r="A754">
        <v>10753</v>
      </c>
      <c r="B754">
        <v>2021</v>
      </c>
      <c r="C754" t="s">
        <v>66</v>
      </c>
      <c r="D754" s="8">
        <v>44218</v>
      </c>
      <c r="E754" t="s">
        <v>22</v>
      </c>
      <c r="F754" t="s">
        <v>12</v>
      </c>
      <c r="G754" t="s">
        <v>13</v>
      </c>
      <c r="H754" s="9">
        <v>5</v>
      </c>
      <c r="I754" s="9">
        <v>127</v>
      </c>
      <c r="J754" s="10">
        <v>95250</v>
      </c>
      <c r="K754" s="10">
        <v>32385.000000000004</v>
      </c>
      <c r="L754">
        <v>4</v>
      </c>
      <c r="M754" s="8">
        <v>44197</v>
      </c>
      <c r="N754" s="23">
        <v>4.7979846953103398E-4</v>
      </c>
      <c r="O754" s="10" t="str">
        <f>IF(Sales_Data[[#This Row],[Total Profit]]&gt;0,"Profitable","Loss")</f>
        <v>Profitable</v>
      </c>
      <c r="P754" s="10" t="str">
        <f>IF(Sales_Data[[#This Row],[Total Profit]]&gt;100000,"High Value",IF(Sales_Data[[#This Row],[Total Profit]]&gt;60000,"Medium","Low"))</f>
        <v>Low</v>
      </c>
      <c r="Q754" s="11" t="str">
        <f>PROPER(Sales_Data[[#This Row],[Month Name]])</f>
        <v>Janeiro</v>
      </c>
      <c r="R754" s="11" t="str">
        <f>PROPER(Sales_Data[[#This Row],[Sales Manager]])</f>
        <v>Emily White</v>
      </c>
    </row>
    <row r="755" spans="1:18" hidden="1" x14ac:dyDescent="0.25">
      <c r="A755">
        <v>10754</v>
      </c>
      <c r="B755">
        <v>2021</v>
      </c>
      <c r="C755" t="s">
        <v>66</v>
      </c>
      <c r="D755" s="8">
        <v>44219</v>
      </c>
      <c r="E755" t="s">
        <v>14</v>
      </c>
      <c r="F755" t="s">
        <v>21</v>
      </c>
      <c r="G755" t="s">
        <v>23</v>
      </c>
      <c r="H755" s="9">
        <v>21</v>
      </c>
      <c r="I755" s="9">
        <v>314</v>
      </c>
      <c r="J755" s="10">
        <v>109900</v>
      </c>
      <c r="K755" s="10">
        <v>12089</v>
      </c>
      <c r="L755">
        <v>4</v>
      </c>
      <c r="M755" s="8">
        <v>44197</v>
      </c>
      <c r="N755" s="23">
        <v>5.5359424463475703E-4</v>
      </c>
      <c r="O755" s="10" t="str">
        <f>IF(Sales_Data[[#This Row],[Total Profit]]&gt;0,"Profitable","Loss")</f>
        <v>Profitable</v>
      </c>
      <c r="P755" s="10" t="str">
        <f>IF(Sales_Data[[#This Row],[Total Profit]]&gt;100000,"High Value",IF(Sales_Data[[#This Row],[Total Profit]]&gt;60000,"Medium","Low"))</f>
        <v>Low</v>
      </c>
      <c r="Q755" s="11" t="str">
        <f>PROPER(Sales_Data[[#This Row],[Month Name]])</f>
        <v>Janeiro</v>
      </c>
      <c r="R755" s="11" t="str">
        <f>PROPER(Sales_Data[[#This Row],[Sales Manager]])</f>
        <v>John Smith</v>
      </c>
    </row>
    <row r="756" spans="1:18" hidden="1" x14ac:dyDescent="0.25">
      <c r="A756">
        <v>10755</v>
      </c>
      <c r="B756">
        <v>2021</v>
      </c>
      <c r="C756" t="s">
        <v>66</v>
      </c>
      <c r="D756" s="8">
        <v>44220</v>
      </c>
      <c r="E756" t="s">
        <v>22</v>
      </c>
      <c r="F756" t="s">
        <v>24</v>
      </c>
      <c r="G756" t="s">
        <v>20</v>
      </c>
      <c r="H756" s="9">
        <v>36</v>
      </c>
      <c r="I756" s="9">
        <v>401</v>
      </c>
      <c r="J756" s="10">
        <v>340850</v>
      </c>
      <c r="K756" s="10">
        <v>78395.5</v>
      </c>
      <c r="L756">
        <v>5</v>
      </c>
      <c r="M756" s="8">
        <v>44197</v>
      </c>
      <c r="N756" s="23">
        <v>1.7169481190514801E-3</v>
      </c>
      <c r="O756" s="10" t="str">
        <f>IF(Sales_Data[[#This Row],[Total Profit]]&gt;0,"Profitable","Loss")</f>
        <v>Profitable</v>
      </c>
      <c r="P756" s="10" t="str">
        <f>IF(Sales_Data[[#This Row],[Total Profit]]&gt;100000,"High Value",IF(Sales_Data[[#This Row],[Total Profit]]&gt;60000,"Medium","Low"))</f>
        <v>Medium</v>
      </c>
      <c r="Q756" s="11" t="str">
        <f>PROPER(Sales_Data[[#This Row],[Month Name]])</f>
        <v>Janeiro</v>
      </c>
      <c r="R756" s="11" t="str">
        <f>PROPER(Sales_Data[[#This Row],[Sales Manager]])</f>
        <v>Liam Lee</v>
      </c>
    </row>
    <row r="757" spans="1:18" hidden="1" x14ac:dyDescent="0.25">
      <c r="A757">
        <v>10756</v>
      </c>
      <c r="B757">
        <v>2021</v>
      </c>
      <c r="C757" t="s">
        <v>66</v>
      </c>
      <c r="D757" s="8">
        <v>44221</v>
      </c>
      <c r="E757" t="s">
        <v>14</v>
      </c>
      <c r="F757" t="s">
        <v>18</v>
      </c>
      <c r="G757" t="s">
        <v>23</v>
      </c>
      <c r="H757" s="9">
        <v>16</v>
      </c>
      <c r="I757" s="9">
        <v>202</v>
      </c>
      <c r="J757" s="10">
        <v>70700</v>
      </c>
      <c r="K757" s="10">
        <v>22624</v>
      </c>
      <c r="L757">
        <v>5</v>
      </c>
      <c r="M757" s="8">
        <v>44197</v>
      </c>
      <c r="N757" s="23">
        <v>3.5613387712172298E-4</v>
      </c>
      <c r="O757" s="10" t="str">
        <f>IF(Sales_Data[[#This Row],[Total Profit]]&gt;0,"Profitable","Loss")</f>
        <v>Profitable</v>
      </c>
      <c r="P757" s="10" t="str">
        <f>IF(Sales_Data[[#This Row],[Total Profit]]&gt;100000,"High Value",IF(Sales_Data[[#This Row],[Total Profit]]&gt;60000,"Medium","Low"))</f>
        <v>Low</v>
      </c>
      <c r="Q757" s="11" t="str">
        <f>PROPER(Sales_Data[[#This Row],[Month Name]])</f>
        <v>Janeiro</v>
      </c>
      <c r="R757" s="11" t="str">
        <f>PROPER(Sales_Data[[#This Row],[Sales Manager]])</f>
        <v>Jane Doe</v>
      </c>
    </row>
    <row r="758" spans="1:18" hidden="1" x14ac:dyDescent="0.25">
      <c r="A758">
        <v>10757</v>
      </c>
      <c r="B758">
        <v>2021</v>
      </c>
      <c r="C758" t="s">
        <v>66</v>
      </c>
      <c r="D758" s="8">
        <v>44222</v>
      </c>
      <c r="E758" t="s">
        <v>11</v>
      </c>
      <c r="F758" t="s">
        <v>16</v>
      </c>
      <c r="G758" t="s">
        <v>15</v>
      </c>
      <c r="H758" s="9">
        <v>34</v>
      </c>
      <c r="I758" s="9">
        <v>382</v>
      </c>
      <c r="J758" s="10">
        <v>191000</v>
      </c>
      <c r="K758" s="10">
        <v>38200</v>
      </c>
      <c r="L758">
        <v>5</v>
      </c>
      <c r="M758" s="8">
        <v>44197</v>
      </c>
      <c r="N758" s="23">
        <v>9.6211556619871404E-4</v>
      </c>
      <c r="O758" s="10" t="str">
        <f>IF(Sales_Data[[#This Row],[Total Profit]]&gt;0,"Profitable","Loss")</f>
        <v>Profitable</v>
      </c>
      <c r="P758" s="10" t="str">
        <f>IF(Sales_Data[[#This Row],[Total Profit]]&gt;100000,"High Value",IF(Sales_Data[[#This Row],[Total Profit]]&gt;60000,"Medium","Low"))</f>
        <v>Low</v>
      </c>
      <c r="Q758" s="11" t="str">
        <f>PROPER(Sales_Data[[#This Row],[Month Name]])</f>
        <v>Janeiro</v>
      </c>
      <c r="R758" s="11" t="str">
        <f>PROPER(Sales_Data[[#This Row],[Sales Manager]])</f>
        <v>James Brown</v>
      </c>
    </row>
    <row r="759" spans="1:18" hidden="1" x14ac:dyDescent="0.25">
      <c r="A759">
        <v>10758</v>
      </c>
      <c r="B759">
        <v>2021</v>
      </c>
      <c r="C759" t="s">
        <v>66</v>
      </c>
      <c r="D759" s="8">
        <v>44223</v>
      </c>
      <c r="E759" t="s">
        <v>22</v>
      </c>
      <c r="F759" t="s">
        <v>18</v>
      </c>
      <c r="G759" t="s">
        <v>20</v>
      </c>
      <c r="H759" s="9">
        <v>13</v>
      </c>
      <c r="I759" s="9">
        <v>456</v>
      </c>
      <c r="J759" s="10">
        <v>387600</v>
      </c>
      <c r="K759" s="10">
        <v>73644</v>
      </c>
      <c r="L759">
        <v>5</v>
      </c>
      <c r="M759" s="8">
        <v>44197</v>
      </c>
      <c r="N759" s="23">
        <v>1.95243975632786E-3</v>
      </c>
      <c r="O759" s="10" t="str">
        <f>IF(Sales_Data[[#This Row],[Total Profit]]&gt;0,"Profitable","Loss")</f>
        <v>Profitable</v>
      </c>
      <c r="P759" s="10" t="str">
        <f>IF(Sales_Data[[#This Row],[Total Profit]]&gt;100000,"High Value",IF(Sales_Data[[#This Row],[Total Profit]]&gt;60000,"Medium","Low"))</f>
        <v>Medium</v>
      </c>
      <c r="Q759" s="11" t="str">
        <f>PROPER(Sales_Data[[#This Row],[Month Name]])</f>
        <v>Janeiro</v>
      </c>
      <c r="R759" s="11" t="str">
        <f>PROPER(Sales_Data[[#This Row],[Sales Manager]])</f>
        <v>Jane Doe</v>
      </c>
    </row>
    <row r="760" spans="1:18" hidden="1" x14ac:dyDescent="0.25">
      <c r="A760">
        <v>10759</v>
      </c>
      <c r="B760">
        <v>2021</v>
      </c>
      <c r="C760" t="s">
        <v>66</v>
      </c>
      <c r="D760" s="8">
        <v>44224</v>
      </c>
      <c r="E760" t="s">
        <v>14</v>
      </c>
      <c r="F760" t="s">
        <v>21</v>
      </c>
      <c r="G760" t="s">
        <v>15</v>
      </c>
      <c r="H760" s="9">
        <v>3</v>
      </c>
      <c r="I760" s="9">
        <v>215</v>
      </c>
      <c r="J760" s="10">
        <v>107500</v>
      </c>
      <c r="K760" s="10">
        <v>39775</v>
      </c>
      <c r="L760">
        <v>5</v>
      </c>
      <c r="M760" s="8">
        <v>44197</v>
      </c>
      <c r="N760" s="23">
        <v>5.4150483437885697E-4</v>
      </c>
      <c r="O760" s="10" t="str">
        <f>IF(Sales_Data[[#This Row],[Total Profit]]&gt;0,"Profitable","Loss")</f>
        <v>Profitable</v>
      </c>
      <c r="P760" s="10" t="str">
        <f>IF(Sales_Data[[#This Row],[Total Profit]]&gt;100000,"High Value",IF(Sales_Data[[#This Row],[Total Profit]]&gt;60000,"Medium","Low"))</f>
        <v>Low</v>
      </c>
      <c r="Q760" s="11" t="str">
        <f>PROPER(Sales_Data[[#This Row],[Month Name]])</f>
        <v>Janeiro</v>
      </c>
      <c r="R760" s="11" t="str">
        <f>PROPER(Sales_Data[[#This Row],[Sales Manager]])</f>
        <v>John Smith</v>
      </c>
    </row>
    <row r="761" spans="1:18" hidden="1" x14ac:dyDescent="0.25">
      <c r="A761">
        <v>10760</v>
      </c>
      <c r="B761">
        <v>2021</v>
      </c>
      <c r="C761" t="s">
        <v>66</v>
      </c>
      <c r="D761" s="8">
        <v>44225</v>
      </c>
      <c r="E761" t="s">
        <v>14</v>
      </c>
      <c r="F761" t="s">
        <v>16</v>
      </c>
      <c r="G761" t="s">
        <v>15</v>
      </c>
      <c r="H761" s="9">
        <v>36</v>
      </c>
      <c r="I761" s="9">
        <v>378</v>
      </c>
      <c r="J761" s="10">
        <v>189000</v>
      </c>
      <c r="K761" s="10">
        <v>83160</v>
      </c>
      <c r="L761">
        <v>5</v>
      </c>
      <c r="M761" s="8">
        <v>44197</v>
      </c>
      <c r="N761" s="23">
        <v>9.5204105765213105E-4</v>
      </c>
      <c r="O761" s="10" t="str">
        <f>IF(Sales_Data[[#This Row],[Total Profit]]&gt;0,"Profitable","Loss")</f>
        <v>Profitable</v>
      </c>
      <c r="P761" s="10" t="str">
        <f>IF(Sales_Data[[#This Row],[Total Profit]]&gt;100000,"High Value",IF(Sales_Data[[#This Row],[Total Profit]]&gt;60000,"Medium","Low"))</f>
        <v>Medium</v>
      </c>
      <c r="Q761" s="11" t="str">
        <f>PROPER(Sales_Data[[#This Row],[Month Name]])</f>
        <v>Janeiro</v>
      </c>
      <c r="R761" s="11" t="str">
        <f>PROPER(Sales_Data[[#This Row],[Sales Manager]])</f>
        <v>James Brown</v>
      </c>
    </row>
    <row r="762" spans="1:18" hidden="1" x14ac:dyDescent="0.25">
      <c r="A762">
        <v>10761</v>
      </c>
      <c r="B762">
        <v>2021</v>
      </c>
      <c r="C762" t="s">
        <v>66</v>
      </c>
      <c r="D762" s="8">
        <v>44226</v>
      </c>
      <c r="E762" t="s">
        <v>11</v>
      </c>
      <c r="F762" t="s">
        <v>12</v>
      </c>
      <c r="G762" t="s">
        <v>23</v>
      </c>
      <c r="H762" s="9">
        <v>16</v>
      </c>
      <c r="I762" s="9">
        <v>495</v>
      </c>
      <c r="J762" s="10">
        <v>173250</v>
      </c>
      <c r="K762" s="10">
        <v>32917.5</v>
      </c>
      <c r="L762">
        <v>5</v>
      </c>
      <c r="M762" s="8">
        <v>44197</v>
      </c>
      <c r="N762" s="23">
        <v>8.7270430284778599E-4</v>
      </c>
      <c r="O762" s="10" t="str">
        <f>IF(Sales_Data[[#This Row],[Total Profit]]&gt;0,"Profitable","Loss")</f>
        <v>Profitable</v>
      </c>
      <c r="P762" s="10" t="str">
        <f>IF(Sales_Data[[#This Row],[Total Profit]]&gt;100000,"High Value",IF(Sales_Data[[#This Row],[Total Profit]]&gt;60000,"Medium","Low"))</f>
        <v>Low</v>
      </c>
      <c r="Q762" s="11" t="str">
        <f>PROPER(Sales_Data[[#This Row],[Month Name]])</f>
        <v>Janeiro</v>
      </c>
      <c r="R762" s="11" t="str">
        <f>PROPER(Sales_Data[[#This Row],[Sales Manager]])</f>
        <v>Emily White</v>
      </c>
    </row>
    <row r="763" spans="1:18" hidden="1" x14ac:dyDescent="0.25">
      <c r="A763">
        <v>10762</v>
      </c>
      <c r="B763">
        <v>2021</v>
      </c>
      <c r="C763" t="s">
        <v>66</v>
      </c>
      <c r="D763" s="8">
        <v>44227</v>
      </c>
      <c r="E763" t="s">
        <v>14</v>
      </c>
      <c r="F763" t="s">
        <v>21</v>
      </c>
      <c r="G763" t="s">
        <v>23</v>
      </c>
      <c r="H763" s="9">
        <v>4</v>
      </c>
      <c r="I763" s="9">
        <v>128</v>
      </c>
      <c r="J763" s="10">
        <v>44800</v>
      </c>
      <c r="K763" s="10">
        <v>17024</v>
      </c>
      <c r="L763">
        <v>6</v>
      </c>
      <c r="M763" s="8">
        <v>44197</v>
      </c>
      <c r="N763" s="23">
        <v>2.2566899144346801E-4</v>
      </c>
      <c r="O763" s="10" t="str">
        <f>IF(Sales_Data[[#This Row],[Total Profit]]&gt;0,"Profitable","Loss")</f>
        <v>Profitable</v>
      </c>
      <c r="P763" s="10" t="str">
        <f>IF(Sales_Data[[#This Row],[Total Profit]]&gt;100000,"High Value",IF(Sales_Data[[#This Row],[Total Profit]]&gt;60000,"Medium","Low"))</f>
        <v>Low</v>
      </c>
      <c r="Q763" s="11" t="str">
        <f>PROPER(Sales_Data[[#This Row],[Month Name]])</f>
        <v>Janeiro</v>
      </c>
      <c r="R763" s="11" t="str">
        <f>PROPER(Sales_Data[[#This Row],[Sales Manager]])</f>
        <v>John Smith</v>
      </c>
    </row>
    <row r="764" spans="1:18" hidden="1" x14ac:dyDescent="0.25">
      <c r="A764">
        <v>10763</v>
      </c>
      <c r="B764">
        <v>2021</v>
      </c>
      <c r="C764" t="s">
        <v>67</v>
      </c>
      <c r="D764" s="8">
        <v>44228</v>
      </c>
      <c r="E764" t="s">
        <v>25</v>
      </c>
      <c r="F764" t="s">
        <v>24</v>
      </c>
      <c r="G764" t="s">
        <v>17</v>
      </c>
      <c r="H764" s="9">
        <v>19</v>
      </c>
      <c r="I764" s="9">
        <v>458</v>
      </c>
      <c r="J764" s="10">
        <v>114500</v>
      </c>
      <c r="K764" s="10">
        <v>42365</v>
      </c>
      <c r="L764">
        <v>6</v>
      </c>
      <c r="M764" s="8">
        <v>44197</v>
      </c>
      <c r="N764" s="23">
        <v>5.7676561429189895E-4</v>
      </c>
      <c r="O764" s="10" t="str">
        <f>IF(Sales_Data[[#This Row],[Total Profit]]&gt;0,"Profitable","Loss")</f>
        <v>Profitable</v>
      </c>
      <c r="P764" s="10" t="str">
        <f>IF(Sales_Data[[#This Row],[Total Profit]]&gt;100000,"High Value",IF(Sales_Data[[#This Row],[Total Profit]]&gt;60000,"Medium","Low"))</f>
        <v>Low</v>
      </c>
      <c r="Q764" s="11" t="str">
        <f>PROPER(Sales_Data[[#This Row],[Month Name]])</f>
        <v>Fevereiro</v>
      </c>
      <c r="R764" s="11" t="str">
        <f>PROPER(Sales_Data[[#This Row],[Sales Manager]])</f>
        <v>Liam Lee</v>
      </c>
    </row>
    <row r="765" spans="1:18" hidden="1" x14ac:dyDescent="0.25">
      <c r="A765">
        <v>10764</v>
      </c>
      <c r="B765">
        <v>2021</v>
      </c>
      <c r="C765" t="s">
        <v>67</v>
      </c>
      <c r="D765" s="8">
        <v>44229</v>
      </c>
      <c r="E765" t="s">
        <v>14</v>
      </c>
      <c r="F765" t="s">
        <v>12</v>
      </c>
      <c r="G765" t="s">
        <v>13</v>
      </c>
      <c r="H765" s="9">
        <v>7</v>
      </c>
      <c r="I765" s="9">
        <v>457</v>
      </c>
      <c r="J765" s="10">
        <v>342750</v>
      </c>
      <c r="K765" s="10">
        <v>78832.5</v>
      </c>
      <c r="L765">
        <v>6</v>
      </c>
      <c r="M765" s="8">
        <v>44197</v>
      </c>
      <c r="N765" s="23">
        <v>1.7265189021707301E-3</v>
      </c>
      <c r="O765" s="10" t="str">
        <f>IF(Sales_Data[[#This Row],[Total Profit]]&gt;0,"Profitable","Loss")</f>
        <v>Profitable</v>
      </c>
      <c r="P765" s="10" t="str">
        <f>IF(Sales_Data[[#This Row],[Total Profit]]&gt;100000,"High Value",IF(Sales_Data[[#This Row],[Total Profit]]&gt;60000,"Medium","Low"))</f>
        <v>Medium</v>
      </c>
      <c r="Q765" s="11" t="str">
        <f>PROPER(Sales_Data[[#This Row],[Month Name]])</f>
        <v>Fevereiro</v>
      </c>
      <c r="R765" s="11" t="str">
        <f>PROPER(Sales_Data[[#This Row],[Sales Manager]])</f>
        <v>Emily White</v>
      </c>
    </row>
    <row r="766" spans="1:18" hidden="1" x14ac:dyDescent="0.25">
      <c r="A766">
        <v>10765</v>
      </c>
      <c r="B766">
        <v>2021</v>
      </c>
      <c r="C766" t="s">
        <v>67</v>
      </c>
      <c r="D766" s="8">
        <v>44230</v>
      </c>
      <c r="E766" t="s">
        <v>25</v>
      </c>
      <c r="F766" t="s">
        <v>16</v>
      </c>
      <c r="G766" t="s">
        <v>23</v>
      </c>
      <c r="H766" s="9">
        <v>3</v>
      </c>
      <c r="I766" s="9">
        <v>200</v>
      </c>
      <c r="J766" s="10">
        <v>70000</v>
      </c>
      <c r="K766" s="10">
        <v>7000</v>
      </c>
      <c r="L766">
        <v>6</v>
      </c>
      <c r="M766" s="8">
        <v>44197</v>
      </c>
      <c r="N766" s="23">
        <v>3.5260779913041902E-4</v>
      </c>
      <c r="O766" s="10" t="str">
        <f>IF(Sales_Data[[#This Row],[Total Profit]]&gt;0,"Profitable","Loss")</f>
        <v>Profitable</v>
      </c>
      <c r="P766" s="10" t="str">
        <f>IF(Sales_Data[[#This Row],[Total Profit]]&gt;100000,"High Value",IF(Sales_Data[[#This Row],[Total Profit]]&gt;60000,"Medium","Low"))</f>
        <v>Low</v>
      </c>
      <c r="Q766" s="11" t="str">
        <f>PROPER(Sales_Data[[#This Row],[Month Name]])</f>
        <v>Fevereiro</v>
      </c>
      <c r="R766" s="11" t="str">
        <f>PROPER(Sales_Data[[#This Row],[Sales Manager]])</f>
        <v>James Brown</v>
      </c>
    </row>
    <row r="767" spans="1:18" hidden="1" x14ac:dyDescent="0.25">
      <c r="A767">
        <v>10766</v>
      </c>
      <c r="B767">
        <v>2021</v>
      </c>
      <c r="C767" t="s">
        <v>67</v>
      </c>
      <c r="D767" s="8">
        <v>44231</v>
      </c>
      <c r="E767" t="s">
        <v>11</v>
      </c>
      <c r="F767" t="s">
        <v>24</v>
      </c>
      <c r="G767" t="s">
        <v>20</v>
      </c>
      <c r="H767" s="9">
        <v>1</v>
      </c>
      <c r="I767" s="9">
        <v>75</v>
      </c>
      <c r="J767" s="10">
        <v>63750</v>
      </c>
      <c r="K767" s="10">
        <v>6375</v>
      </c>
      <c r="L767">
        <v>6</v>
      </c>
      <c r="M767" s="8">
        <v>44197</v>
      </c>
      <c r="N767" s="23">
        <v>3.2112495992234598E-4</v>
      </c>
      <c r="O767" s="10" t="str">
        <f>IF(Sales_Data[[#This Row],[Total Profit]]&gt;0,"Profitable","Loss")</f>
        <v>Profitable</v>
      </c>
      <c r="P767" s="10" t="str">
        <f>IF(Sales_Data[[#This Row],[Total Profit]]&gt;100000,"High Value",IF(Sales_Data[[#This Row],[Total Profit]]&gt;60000,"Medium","Low"))</f>
        <v>Low</v>
      </c>
      <c r="Q767" s="11" t="str">
        <f>PROPER(Sales_Data[[#This Row],[Month Name]])</f>
        <v>Fevereiro</v>
      </c>
      <c r="R767" s="11" t="str">
        <f>PROPER(Sales_Data[[#This Row],[Sales Manager]])</f>
        <v>Liam Lee</v>
      </c>
    </row>
    <row r="768" spans="1:18" hidden="1" x14ac:dyDescent="0.25">
      <c r="A768">
        <v>10767</v>
      </c>
      <c r="B768">
        <v>2021</v>
      </c>
      <c r="C768" t="s">
        <v>67</v>
      </c>
      <c r="D768" s="8">
        <v>44232</v>
      </c>
      <c r="E768" t="s">
        <v>19</v>
      </c>
      <c r="F768" t="s">
        <v>21</v>
      </c>
      <c r="G768" t="s">
        <v>20</v>
      </c>
      <c r="H768" s="9">
        <v>4</v>
      </c>
      <c r="I768" s="9">
        <v>57</v>
      </c>
      <c r="J768" s="10">
        <v>48450</v>
      </c>
      <c r="K768" s="10">
        <v>14050.499999999998</v>
      </c>
      <c r="L768">
        <v>6</v>
      </c>
      <c r="M768" s="8">
        <v>44197</v>
      </c>
      <c r="N768" s="23">
        <v>2.4405496954098301E-4</v>
      </c>
      <c r="O768" s="10" t="str">
        <f>IF(Sales_Data[[#This Row],[Total Profit]]&gt;0,"Profitable","Loss")</f>
        <v>Profitable</v>
      </c>
      <c r="P768" s="10" t="str">
        <f>IF(Sales_Data[[#This Row],[Total Profit]]&gt;100000,"High Value",IF(Sales_Data[[#This Row],[Total Profit]]&gt;60000,"Medium","Low"))</f>
        <v>Low</v>
      </c>
      <c r="Q768" s="11" t="str">
        <f>PROPER(Sales_Data[[#This Row],[Month Name]])</f>
        <v>Fevereiro</v>
      </c>
      <c r="R768" s="11" t="str">
        <f>PROPER(Sales_Data[[#This Row],[Sales Manager]])</f>
        <v>John Smith</v>
      </c>
    </row>
    <row r="769" spans="1:18" hidden="1" x14ac:dyDescent="0.25">
      <c r="A769">
        <v>10768</v>
      </c>
      <c r="B769">
        <v>2021</v>
      </c>
      <c r="C769" t="s">
        <v>67</v>
      </c>
      <c r="D769" s="8">
        <v>44233</v>
      </c>
      <c r="E769" t="s">
        <v>19</v>
      </c>
      <c r="F769" t="s">
        <v>24</v>
      </c>
      <c r="G769" t="s">
        <v>13</v>
      </c>
      <c r="H769" s="9">
        <v>35</v>
      </c>
      <c r="I769" s="9">
        <v>383</v>
      </c>
      <c r="J769" s="10">
        <v>287250</v>
      </c>
      <c r="K769" s="10">
        <v>37342.5</v>
      </c>
      <c r="L769">
        <v>6</v>
      </c>
      <c r="M769" s="8">
        <v>44197</v>
      </c>
      <c r="N769" s="23">
        <v>1.44695129000304E-3</v>
      </c>
      <c r="O769" s="10" t="str">
        <f>IF(Sales_Data[[#This Row],[Total Profit]]&gt;0,"Profitable","Loss")</f>
        <v>Profitable</v>
      </c>
      <c r="P769" s="10" t="str">
        <f>IF(Sales_Data[[#This Row],[Total Profit]]&gt;100000,"High Value",IF(Sales_Data[[#This Row],[Total Profit]]&gt;60000,"Medium","Low"))</f>
        <v>Low</v>
      </c>
      <c r="Q769" s="11" t="str">
        <f>PROPER(Sales_Data[[#This Row],[Month Name]])</f>
        <v>Fevereiro</v>
      </c>
      <c r="R769" s="11" t="str">
        <f>PROPER(Sales_Data[[#This Row],[Sales Manager]])</f>
        <v>Liam Lee</v>
      </c>
    </row>
    <row r="770" spans="1:18" hidden="1" x14ac:dyDescent="0.25">
      <c r="A770">
        <v>10769</v>
      </c>
      <c r="B770">
        <v>2021</v>
      </c>
      <c r="C770" t="s">
        <v>67</v>
      </c>
      <c r="D770" s="8">
        <v>44234</v>
      </c>
      <c r="E770" t="s">
        <v>11</v>
      </c>
      <c r="F770" t="s">
        <v>21</v>
      </c>
      <c r="G770" t="s">
        <v>13</v>
      </c>
      <c r="H770" s="9">
        <v>25</v>
      </c>
      <c r="I770" s="9">
        <v>286</v>
      </c>
      <c r="J770" s="10">
        <v>214500</v>
      </c>
      <c r="K770" s="10">
        <v>96525</v>
      </c>
      <c r="L770">
        <v>7</v>
      </c>
      <c r="M770" s="8">
        <v>44197</v>
      </c>
      <c r="N770" s="23">
        <v>1.0804910416210699E-3</v>
      </c>
      <c r="O770" s="10" t="str">
        <f>IF(Sales_Data[[#This Row],[Total Profit]]&gt;0,"Profitable","Loss")</f>
        <v>Profitable</v>
      </c>
      <c r="P770" s="10" t="str">
        <f>IF(Sales_Data[[#This Row],[Total Profit]]&gt;100000,"High Value",IF(Sales_Data[[#This Row],[Total Profit]]&gt;60000,"Medium","Low"))</f>
        <v>Medium</v>
      </c>
      <c r="Q770" s="11" t="str">
        <f>PROPER(Sales_Data[[#This Row],[Month Name]])</f>
        <v>Fevereiro</v>
      </c>
      <c r="R770" s="11" t="str">
        <f>PROPER(Sales_Data[[#This Row],[Sales Manager]])</f>
        <v>John Smith</v>
      </c>
    </row>
    <row r="771" spans="1:18" hidden="1" x14ac:dyDescent="0.25">
      <c r="A771">
        <v>10770</v>
      </c>
      <c r="B771">
        <v>2021</v>
      </c>
      <c r="C771" t="s">
        <v>67</v>
      </c>
      <c r="D771" s="8">
        <v>44235</v>
      </c>
      <c r="E771" t="s">
        <v>22</v>
      </c>
      <c r="F771" t="s">
        <v>21</v>
      </c>
      <c r="G771" t="s">
        <v>20</v>
      </c>
      <c r="H771" s="9">
        <v>24</v>
      </c>
      <c r="I771" s="9">
        <v>322</v>
      </c>
      <c r="J771" s="10">
        <v>273700</v>
      </c>
      <c r="K771" s="10">
        <v>30107</v>
      </c>
      <c r="L771">
        <v>7</v>
      </c>
      <c r="M771" s="8">
        <v>44197</v>
      </c>
      <c r="N771" s="23">
        <v>1.37869649459994E-3</v>
      </c>
      <c r="O771" s="10" t="str">
        <f>IF(Sales_Data[[#This Row],[Total Profit]]&gt;0,"Profitable","Loss")</f>
        <v>Profitable</v>
      </c>
      <c r="P771" s="10" t="str">
        <f>IF(Sales_Data[[#This Row],[Total Profit]]&gt;100000,"High Value",IF(Sales_Data[[#This Row],[Total Profit]]&gt;60000,"Medium","Low"))</f>
        <v>Low</v>
      </c>
      <c r="Q771" s="11" t="str">
        <f>PROPER(Sales_Data[[#This Row],[Month Name]])</f>
        <v>Fevereiro</v>
      </c>
      <c r="R771" s="11" t="str">
        <f>PROPER(Sales_Data[[#This Row],[Sales Manager]])</f>
        <v>John Smith</v>
      </c>
    </row>
    <row r="772" spans="1:18" hidden="1" x14ac:dyDescent="0.25">
      <c r="A772">
        <v>10771</v>
      </c>
      <c r="B772">
        <v>2021</v>
      </c>
      <c r="C772" t="s">
        <v>67</v>
      </c>
      <c r="D772" s="8">
        <v>44236</v>
      </c>
      <c r="E772" t="s">
        <v>11</v>
      </c>
      <c r="F772" t="s">
        <v>12</v>
      </c>
      <c r="G772" t="s">
        <v>20</v>
      </c>
      <c r="H772" s="9">
        <v>12</v>
      </c>
      <c r="I772" s="9">
        <v>340</v>
      </c>
      <c r="J772" s="10">
        <v>289000</v>
      </c>
      <c r="K772" s="10">
        <v>112710</v>
      </c>
      <c r="L772">
        <v>7</v>
      </c>
      <c r="M772" s="8">
        <v>44197</v>
      </c>
      <c r="N772" s="23">
        <v>1.4557664849813E-3</v>
      </c>
      <c r="O772" s="10" t="str">
        <f>IF(Sales_Data[[#This Row],[Total Profit]]&gt;0,"Profitable","Loss")</f>
        <v>Profitable</v>
      </c>
      <c r="P772" s="10" t="str">
        <f>IF(Sales_Data[[#This Row],[Total Profit]]&gt;100000,"High Value",IF(Sales_Data[[#This Row],[Total Profit]]&gt;60000,"Medium","Low"))</f>
        <v>High Value</v>
      </c>
      <c r="Q772" s="11" t="str">
        <f>PROPER(Sales_Data[[#This Row],[Month Name]])</f>
        <v>Fevereiro</v>
      </c>
      <c r="R772" s="11" t="str">
        <f>PROPER(Sales_Data[[#This Row],[Sales Manager]])</f>
        <v>Emily White</v>
      </c>
    </row>
    <row r="773" spans="1:18" hidden="1" x14ac:dyDescent="0.25">
      <c r="A773">
        <v>10772</v>
      </c>
      <c r="B773">
        <v>2021</v>
      </c>
      <c r="C773" t="s">
        <v>67</v>
      </c>
      <c r="D773" s="8">
        <v>44237</v>
      </c>
      <c r="E773" t="s">
        <v>14</v>
      </c>
      <c r="F773" t="s">
        <v>24</v>
      </c>
      <c r="G773" t="s">
        <v>15</v>
      </c>
      <c r="H773" s="9">
        <v>6</v>
      </c>
      <c r="I773" s="9">
        <v>490</v>
      </c>
      <c r="J773" s="10">
        <v>245000</v>
      </c>
      <c r="K773" s="10">
        <v>53900</v>
      </c>
      <c r="L773">
        <v>7</v>
      </c>
      <c r="M773" s="8">
        <v>44197</v>
      </c>
      <c r="N773" s="23">
        <v>1.2341272969564701E-3</v>
      </c>
      <c r="O773" s="10" t="str">
        <f>IF(Sales_Data[[#This Row],[Total Profit]]&gt;0,"Profitable","Loss")</f>
        <v>Profitable</v>
      </c>
      <c r="P773" s="10" t="str">
        <f>IF(Sales_Data[[#This Row],[Total Profit]]&gt;100000,"High Value",IF(Sales_Data[[#This Row],[Total Profit]]&gt;60000,"Medium","Low"))</f>
        <v>Low</v>
      </c>
      <c r="Q773" s="11" t="str">
        <f>PROPER(Sales_Data[[#This Row],[Month Name]])</f>
        <v>Fevereiro</v>
      </c>
      <c r="R773" s="11" t="str">
        <f>PROPER(Sales_Data[[#This Row],[Sales Manager]])</f>
        <v>Liam Lee</v>
      </c>
    </row>
    <row r="774" spans="1:18" hidden="1" x14ac:dyDescent="0.25">
      <c r="A774">
        <v>10773</v>
      </c>
      <c r="B774">
        <v>2021</v>
      </c>
      <c r="C774" t="s">
        <v>67</v>
      </c>
      <c r="D774" s="8">
        <v>44238</v>
      </c>
      <c r="E774" t="s">
        <v>11</v>
      </c>
      <c r="F774" t="s">
        <v>18</v>
      </c>
      <c r="G774" t="s">
        <v>20</v>
      </c>
      <c r="H774" s="9">
        <v>10</v>
      </c>
      <c r="I774" s="9">
        <v>146</v>
      </c>
      <c r="J774" s="10">
        <v>124100</v>
      </c>
      <c r="K774" s="10">
        <v>31025</v>
      </c>
      <c r="L774">
        <v>7</v>
      </c>
      <c r="M774" s="8">
        <v>44197</v>
      </c>
      <c r="N774" s="23">
        <v>6.2512325531549997E-4</v>
      </c>
      <c r="O774" s="10" t="str">
        <f>IF(Sales_Data[[#This Row],[Total Profit]]&gt;0,"Profitable","Loss")</f>
        <v>Profitable</v>
      </c>
      <c r="P774" s="10" t="str">
        <f>IF(Sales_Data[[#This Row],[Total Profit]]&gt;100000,"High Value",IF(Sales_Data[[#This Row],[Total Profit]]&gt;60000,"Medium","Low"))</f>
        <v>Low</v>
      </c>
      <c r="Q774" s="11" t="str">
        <f>PROPER(Sales_Data[[#This Row],[Month Name]])</f>
        <v>Fevereiro</v>
      </c>
      <c r="R774" s="11" t="str">
        <f>PROPER(Sales_Data[[#This Row],[Sales Manager]])</f>
        <v>Jane Doe</v>
      </c>
    </row>
    <row r="775" spans="1:18" hidden="1" x14ac:dyDescent="0.25">
      <c r="A775">
        <v>10774</v>
      </c>
      <c r="B775">
        <v>2021</v>
      </c>
      <c r="C775" t="s">
        <v>67</v>
      </c>
      <c r="D775" s="8">
        <v>44239</v>
      </c>
      <c r="E775" t="s">
        <v>22</v>
      </c>
      <c r="F775" t="s">
        <v>18</v>
      </c>
      <c r="G775" t="s">
        <v>23</v>
      </c>
      <c r="H775" s="9">
        <v>3</v>
      </c>
      <c r="I775" s="9">
        <v>213</v>
      </c>
      <c r="J775" s="10">
        <v>74550</v>
      </c>
      <c r="K775" s="10">
        <v>28329</v>
      </c>
      <c r="L775">
        <v>7</v>
      </c>
      <c r="M775" s="8">
        <v>44197</v>
      </c>
      <c r="N775" s="23">
        <v>3.75527306073896E-4</v>
      </c>
      <c r="O775" s="10" t="str">
        <f>IF(Sales_Data[[#This Row],[Total Profit]]&gt;0,"Profitable","Loss")</f>
        <v>Profitable</v>
      </c>
      <c r="P775" s="10" t="str">
        <f>IF(Sales_Data[[#This Row],[Total Profit]]&gt;100000,"High Value",IF(Sales_Data[[#This Row],[Total Profit]]&gt;60000,"Medium","Low"))</f>
        <v>Low</v>
      </c>
      <c r="Q775" s="11" t="str">
        <f>PROPER(Sales_Data[[#This Row],[Month Name]])</f>
        <v>Fevereiro</v>
      </c>
      <c r="R775" s="11" t="str">
        <f>PROPER(Sales_Data[[#This Row],[Sales Manager]])</f>
        <v>Jane Doe</v>
      </c>
    </row>
    <row r="776" spans="1:18" hidden="1" x14ac:dyDescent="0.25">
      <c r="A776">
        <v>10775</v>
      </c>
      <c r="B776">
        <v>2021</v>
      </c>
      <c r="C776" t="s">
        <v>67</v>
      </c>
      <c r="D776" s="8">
        <v>44240</v>
      </c>
      <c r="E776" t="s">
        <v>11</v>
      </c>
      <c r="F776" t="s">
        <v>18</v>
      </c>
      <c r="G776" t="s">
        <v>20</v>
      </c>
      <c r="H776" s="9">
        <v>3</v>
      </c>
      <c r="I776" s="9">
        <v>109</v>
      </c>
      <c r="J776" s="10">
        <v>92650</v>
      </c>
      <c r="K776" s="10">
        <v>28721.5</v>
      </c>
      <c r="L776">
        <v>7</v>
      </c>
      <c r="M776" s="8">
        <v>44197</v>
      </c>
      <c r="N776" s="23">
        <v>4.6670160842047598E-4</v>
      </c>
      <c r="O776" s="10" t="str">
        <f>IF(Sales_Data[[#This Row],[Total Profit]]&gt;0,"Profitable","Loss")</f>
        <v>Profitable</v>
      </c>
      <c r="P776" s="10" t="str">
        <f>IF(Sales_Data[[#This Row],[Total Profit]]&gt;100000,"High Value",IF(Sales_Data[[#This Row],[Total Profit]]&gt;60000,"Medium","Low"))</f>
        <v>Low</v>
      </c>
      <c r="Q776" s="11" t="str">
        <f>PROPER(Sales_Data[[#This Row],[Month Name]])</f>
        <v>Fevereiro</v>
      </c>
      <c r="R776" s="11" t="str">
        <f>PROPER(Sales_Data[[#This Row],[Sales Manager]])</f>
        <v>Jane Doe</v>
      </c>
    </row>
    <row r="777" spans="1:18" hidden="1" x14ac:dyDescent="0.25">
      <c r="A777">
        <v>10776</v>
      </c>
      <c r="B777">
        <v>2021</v>
      </c>
      <c r="C777" t="s">
        <v>67</v>
      </c>
      <c r="D777" s="8">
        <v>44241</v>
      </c>
      <c r="E777" t="s">
        <v>11</v>
      </c>
      <c r="F777" t="s">
        <v>18</v>
      </c>
      <c r="G777" t="s">
        <v>15</v>
      </c>
      <c r="H777" s="9">
        <v>40</v>
      </c>
      <c r="I777" s="9">
        <v>476</v>
      </c>
      <c r="J777" s="10">
        <v>238000</v>
      </c>
      <c r="K777" s="10">
        <v>83300</v>
      </c>
      <c r="L777">
        <v>8</v>
      </c>
      <c r="M777" s="8">
        <v>44197</v>
      </c>
      <c r="N777" s="23">
        <v>1.1988665170434201E-3</v>
      </c>
      <c r="O777" s="10" t="str">
        <f>IF(Sales_Data[[#This Row],[Total Profit]]&gt;0,"Profitable","Loss")</f>
        <v>Profitable</v>
      </c>
      <c r="P777" s="10" t="str">
        <f>IF(Sales_Data[[#This Row],[Total Profit]]&gt;100000,"High Value",IF(Sales_Data[[#This Row],[Total Profit]]&gt;60000,"Medium","Low"))</f>
        <v>Medium</v>
      </c>
      <c r="Q777" s="11" t="str">
        <f>PROPER(Sales_Data[[#This Row],[Month Name]])</f>
        <v>Fevereiro</v>
      </c>
      <c r="R777" s="11" t="str">
        <f>PROPER(Sales_Data[[#This Row],[Sales Manager]])</f>
        <v>Jane Doe</v>
      </c>
    </row>
    <row r="778" spans="1:18" hidden="1" x14ac:dyDescent="0.25">
      <c r="A778">
        <v>10777</v>
      </c>
      <c r="B778">
        <v>2021</v>
      </c>
      <c r="C778" t="s">
        <v>67</v>
      </c>
      <c r="D778" s="8">
        <v>44242</v>
      </c>
      <c r="E778" t="s">
        <v>22</v>
      </c>
      <c r="F778" t="s">
        <v>16</v>
      </c>
      <c r="G778" t="s">
        <v>23</v>
      </c>
      <c r="H778" s="9">
        <v>9</v>
      </c>
      <c r="I778" s="9">
        <v>401</v>
      </c>
      <c r="J778" s="10">
        <v>140350</v>
      </c>
      <c r="K778" s="10">
        <v>57543.5</v>
      </c>
      <c r="L778">
        <v>8</v>
      </c>
      <c r="M778" s="8">
        <v>44197</v>
      </c>
      <c r="N778" s="23">
        <v>7.0697863725649002E-4</v>
      </c>
      <c r="O778" s="10" t="str">
        <f>IF(Sales_Data[[#This Row],[Total Profit]]&gt;0,"Profitable","Loss")</f>
        <v>Profitable</v>
      </c>
      <c r="P778" s="10" t="str">
        <f>IF(Sales_Data[[#This Row],[Total Profit]]&gt;100000,"High Value",IF(Sales_Data[[#This Row],[Total Profit]]&gt;60000,"Medium","Low"))</f>
        <v>Low</v>
      </c>
      <c r="Q778" s="11" t="str">
        <f>PROPER(Sales_Data[[#This Row],[Month Name]])</f>
        <v>Fevereiro</v>
      </c>
      <c r="R778" s="11" t="str">
        <f>PROPER(Sales_Data[[#This Row],[Sales Manager]])</f>
        <v>James Brown</v>
      </c>
    </row>
    <row r="779" spans="1:18" hidden="1" x14ac:dyDescent="0.25">
      <c r="A779">
        <v>10778</v>
      </c>
      <c r="B779">
        <v>2021</v>
      </c>
      <c r="C779" t="s">
        <v>67</v>
      </c>
      <c r="D779" s="8">
        <v>44243</v>
      </c>
      <c r="E779" t="s">
        <v>19</v>
      </c>
      <c r="F779" t="s">
        <v>24</v>
      </c>
      <c r="G779" t="s">
        <v>17</v>
      </c>
      <c r="H779" s="9">
        <v>12</v>
      </c>
      <c r="I779" s="9">
        <v>263</v>
      </c>
      <c r="J779" s="10">
        <v>65750</v>
      </c>
      <c r="K779" s="10">
        <v>11835</v>
      </c>
      <c r="L779">
        <v>8</v>
      </c>
      <c r="M779" s="8">
        <v>44197</v>
      </c>
      <c r="N779" s="23">
        <v>3.3119946846892903E-4</v>
      </c>
      <c r="O779" s="10" t="str">
        <f>IF(Sales_Data[[#This Row],[Total Profit]]&gt;0,"Profitable","Loss")</f>
        <v>Profitable</v>
      </c>
      <c r="P779" s="10" t="str">
        <f>IF(Sales_Data[[#This Row],[Total Profit]]&gt;100000,"High Value",IF(Sales_Data[[#This Row],[Total Profit]]&gt;60000,"Medium","Low"))</f>
        <v>Low</v>
      </c>
      <c r="Q779" s="11" t="str">
        <f>PROPER(Sales_Data[[#This Row],[Month Name]])</f>
        <v>Fevereiro</v>
      </c>
      <c r="R779" s="11" t="str">
        <f>PROPER(Sales_Data[[#This Row],[Sales Manager]])</f>
        <v>Liam Lee</v>
      </c>
    </row>
    <row r="780" spans="1:18" hidden="1" x14ac:dyDescent="0.25">
      <c r="A780">
        <v>10779</v>
      </c>
      <c r="B780">
        <v>2021</v>
      </c>
      <c r="C780" t="s">
        <v>67</v>
      </c>
      <c r="D780" s="8">
        <v>44244</v>
      </c>
      <c r="E780" t="s">
        <v>19</v>
      </c>
      <c r="F780" t="s">
        <v>18</v>
      </c>
      <c r="G780" t="s">
        <v>17</v>
      </c>
      <c r="H780" s="9">
        <v>3</v>
      </c>
      <c r="I780" s="9">
        <v>39</v>
      </c>
      <c r="J780" s="10">
        <v>9750</v>
      </c>
      <c r="K780" s="10">
        <v>2340</v>
      </c>
      <c r="L780">
        <v>8</v>
      </c>
      <c r="M780" s="8">
        <v>44197</v>
      </c>
      <c r="N780" s="23">
        <v>4.9113229164594001E-5</v>
      </c>
      <c r="O780" s="10" t="str">
        <f>IF(Sales_Data[[#This Row],[Total Profit]]&gt;0,"Profitable","Loss")</f>
        <v>Profitable</v>
      </c>
      <c r="P780" s="10" t="str">
        <f>IF(Sales_Data[[#This Row],[Total Profit]]&gt;100000,"High Value",IF(Sales_Data[[#This Row],[Total Profit]]&gt;60000,"Medium","Low"))</f>
        <v>Low</v>
      </c>
      <c r="Q780" s="11" t="str">
        <f>PROPER(Sales_Data[[#This Row],[Month Name]])</f>
        <v>Fevereiro</v>
      </c>
      <c r="R780" s="11" t="str">
        <f>PROPER(Sales_Data[[#This Row],[Sales Manager]])</f>
        <v>Jane Doe</v>
      </c>
    </row>
    <row r="781" spans="1:18" hidden="1" x14ac:dyDescent="0.25">
      <c r="A781">
        <v>10780</v>
      </c>
      <c r="B781">
        <v>2021</v>
      </c>
      <c r="C781" t="s">
        <v>67</v>
      </c>
      <c r="D781" s="8">
        <v>44245</v>
      </c>
      <c r="E781" t="s">
        <v>25</v>
      </c>
      <c r="F781" t="s">
        <v>12</v>
      </c>
      <c r="G781" t="s">
        <v>23</v>
      </c>
      <c r="H781" s="9">
        <v>10</v>
      </c>
      <c r="I781" s="9">
        <v>380</v>
      </c>
      <c r="J781" s="10">
        <v>133000</v>
      </c>
      <c r="K781" s="10">
        <v>26600</v>
      </c>
      <c r="L781">
        <v>8</v>
      </c>
      <c r="M781" s="8">
        <v>44197</v>
      </c>
      <c r="N781" s="23">
        <v>6.6995481834779605E-4</v>
      </c>
      <c r="O781" s="10" t="str">
        <f>IF(Sales_Data[[#This Row],[Total Profit]]&gt;0,"Profitable","Loss")</f>
        <v>Profitable</v>
      </c>
      <c r="P781" s="10" t="str">
        <f>IF(Sales_Data[[#This Row],[Total Profit]]&gt;100000,"High Value",IF(Sales_Data[[#This Row],[Total Profit]]&gt;60000,"Medium","Low"))</f>
        <v>Low</v>
      </c>
      <c r="Q781" s="11" t="str">
        <f>PROPER(Sales_Data[[#This Row],[Month Name]])</f>
        <v>Fevereiro</v>
      </c>
      <c r="R781" s="11" t="str">
        <f>PROPER(Sales_Data[[#This Row],[Sales Manager]])</f>
        <v>Emily White</v>
      </c>
    </row>
    <row r="782" spans="1:18" hidden="1" x14ac:dyDescent="0.25">
      <c r="A782">
        <v>10781</v>
      </c>
      <c r="B782">
        <v>2021</v>
      </c>
      <c r="C782" t="s">
        <v>67</v>
      </c>
      <c r="D782" s="8">
        <v>44246</v>
      </c>
      <c r="E782" t="s">
        <v>25</v>
      </c>
      <c r="F782" t="s">
        <v>24</v>
      </c>
      <c r="G782" t="s">
        <v>20</v>
      </c>
      <c r="H782" s="9">
        <v>11</v>
      </c>
      <c r="I782" s="9">
        <v>153</v>
      </c>
      <c r="J782" s="10">
        <v>130050</v>
      </c>
      <c r="K782" s="10">
        <v>16906.5</v>
      </c>
      <c r="L782">
        <v>8</v>
      </c>
      <c r="M782" s="8">
        <v>44197</v>
      </c>
      <c r="N782" s="23">
        <v>6.5509491824158504E-4</v>
      </c>
      <c r="O782" s="10" t="str">
        <f>IF(Sales_Data[[#This Row],[Total Profit]]&gt;0,"Profitable","Loss")</f>
        <v>Profitable</v>
      </c>
      <c r="P782" s="10" t="str">
        <f>IF(Sales_Data[[#This Row],[Total Profit]]&gt;100000,"High Value",IF(Sales_Data[[#This Row],[Total Profit]]&gt;60000,"Medium","Low"))</f>
        <v>Low</v>
      </c>
      <c r="Q782" s="11" t="str">
        <f>PROPER(Sales_Data[[#This Row],[Month Name]])</f>
        <v>Fevereiro</v>
      </c>
      <c r="R782" s="11" t="str">
        <f>PROPER(Sales_Data[[#This Row],[Sales Manager]])</f>
        <v>Liam Lee</v>
      </c>
    </row>
    <row r="783" spans="1:18" hidden="1" x14ac:dyDescent="0.25">
      <c r="A783">
        <v>10782</v>
      </c>
      <c r="B783">
        <v>2021</v>
      </c>
      <c r="C783" t="s">
        <v>67</v>
      </c>
      <c r="D783" s="8">
        <v>44247</v>
      </c>
      <c r="E783" t="s">
        <v>19</v>
      </c>
      <c r="F783" t="s">
        <v>16</v>
      </c>
      <c r="G783" t="s">
        <v>23</v>
      </c>
      <c r="H783" s="9">
        <v>1</v>
      </c>
      <c r="I783" s="9">
        <v>11</v>
      </c>
      <c r="J783" s="10">
        <v>3850</v>
      </c>
      <c r="K783" s="10">
        <v>1193.5</v>
      </c>
      <c r="L783">
        <v>8</v>
      </c>
      <c r="M783" s="8">
        <v>44197</v>
      </c>
      <c r="N783" s="23">
        <v>1.9393428952172999E-5</v>
      </c>
      <c r="O783" s="10" t="str">
        <f>IF(Sales_Data[[#This Row],[Total Profit]]&gt;0,"Profitable","Loss")</f>
        <v>Profitable</v>
      </c>
      <c r="P783" s="10" t="str">
        <f>IF(Sales_Data[[#This Row],[Total Profit]]&gt;100000,"High Value",IF(Sales_Data[[#This Row],[Total Profit]]&gt;60000,"Medium","Low"))</f>
        <v>Low</v>
      </c>
      <c r="Q783" s="11" t="str">
        <f>PROPER(Sales_Data[[#This Row],[Month Name]])</f>
        <v>Fevereiro</v>
      </c>
      <c r="R783" s="11" t="str">
        <f>PROPER(Sales_Data[[#This Row],[Sales Manager]])</f>
        <v>James Brown</v>
      </c>
    </row>
    <row r="784" spans="1:18" hidden="1" x14ac:dyDescent="0.25">
      <c r="A784">
        <v>10783</v>
      </c>
      <c r="B784">
        <v>2021</v>
      </c>
      <c r="C784" t="s">
        <v>67</v>
      </c>
      <c r="D784" s="8">
        <v>44248</v>
      </c>
      <c r="E784" t="s">
        <v>22</v>
      </c>
      <c r="F784" t="s">
        <v>18</v>
      </c>
      <c r="G784" t="s">
        <v>23</v>
      </c>
      <c r="H784" s="9">
        <v>4</v>
      </c>
      <c r="I784" s="9">
        <v>176</v>
      </c>
      <c r="J784" s="10">
        <v>61600</v>
      </c>
      <c r="K784" s="10">
        <v>18480</v>
      </c>
      <c r="L784">
        <v>9</v>
      </c>
      <c r="M784" s="8">
        <v>44197</v>
      </c>
      <c r="N784" s="23">
        <v>3.1029486323476798E-4</v>
      </c>
      <c r="O784" s="10" t="str">
        <f>IF(Sales_Data[[#This Row],[Total Profit]]&gt;0,"Profitable","Loss")</f>
        <v>Profitable</v>
      </c>
      <c r="P784" s="10" t="str">
        <f>IF(Sales_Data[[#This Row],[Total Profit]]&gt;100000,"High Value",IF(Sales_Data[[#This Row],[Total Profit]]&gt;60000,"Medium","Low"))</f>
        <v>Low</v>
      </c>
      <c r="Q784" s="11" t="str">
        <f>PROPER(Sales_Data[[#This Row],[Month Name]])</f>
        <v>Fevereiro</v>
      </c>
      <c r="R784" s="11" t="str">
        <f>PROPER(Sales_Data[[#This Row],[Sales Manager]])</f>
        <v>Jane Doe</v>
      </c>
    </row>
    <row r="785" spans="1:18" hidden="1" x14ac:dyDescent="0.25">
      <c r="A785">
        <v>10784</v>
      </c>
      <c r="B785">
        <v>2021</v>
      </c>
      <c r="C785" t="s">
        <v>67</v>
      </c>
      <c r="D785" s="8">
        <v>44249</v>
      </c>
      <c r="E785" t="s">
        <v>11</v>
      </c>
      <c r="F785" t="s">
        <v>24</v>
      </c>
      <c r="G785" t="s">
        <v>15</v>
      </c>
      <c r="H785" s="9">
        <v>10</v>
      </c>
      <c r="I785" s="9">
        <v>153</v>
      </c>
      <c r="J785" s="10">
        <v>76500</v>
      </c>
      <c r="K785" s="10">
        <v>22950</v>
      </c>
      <c r="L785">
        <v>9</v>
      </c>
      <c r="M785" s="8">
        <v>44197</v>
      </c>
      <c r="N785" s="23">
        <v>3.8534995190681498E-4</v>
      </c>
      <c r="O785" s="10" t="str">
        <f>IF(Sales_Data[[#This Row],[Total Profit]]&gt;0,"Profitable","Loss")</f>
        <v>Profitable</v>
      </c>
      <c r="P785" s="10" t="str">
        <f>IF(Sales_Data[[#This Row],[Total Profit]]&gt;100000,"High Value",IF(Sales_Data[[#This Row],[Total Profit]]&gt;60000,"Medium","Low"))</f>
        <v>Low</v>
      </c>
      <c r="Q785" s="11" t="str">
        <f>PROPER(Sales_Data[[#This Row],[Month Name]])</f>
        <v>Fevereiro</v>
      </c>
      <c r="R785" s="11" t="str">
        <f>PROPER(Sales_Data[[#This Row],[Sales Manager]])</f>
        <v>Liam Lee</v>
      </c>
    </row>
    <row r="786" spans="1:18" hidden="1" x14ac:dyDescent="0.25">
      <c r="A786">
        <v>10785</v>
      </c>
      <c r="B786">
        <v>2021</v>
      </c>
      <c r="C786" t="s">
        <v>67</v>
      </c>
      <c r="D786" s="8">
        <v>44250</v>
      </c>
      <c r="E786" t="s">
        <v>25</v>
      </c>
      <c r="F786" t="s">
        <v>16</v>
      </c>
      <c r="G786" t="s">
        <v>20</v>
      </c>
      <c r="H786" s="9">
        <v>5</v>
      </c>
      <c r="I786" s="9">
        <v>139</v>
      </c>
      <c r="J786" s="10">
        <v>118150</v>
      </c>
      <c r="K786" s="10">
        <v>51986</v>
      </c>
      <c r="L786">
        <v>9</v>
      </c>
      <c r="M786" s="8">
        <v>44197</v>
      </c>
      <c r="N786" s="23">
        <v>5.9515159238941403E-4</v>
      </c>
      <c r="O786" s="10" t="str">
        <f>IF(Sales_Data[[#This Row],[Total Profit]]&gt;0,"Profitable","Loss")</f>
        <v>Profitable</v>
      </c>
      <c r="P786" s="10" t="str">
        <f>IF(Sales_Data[[#This Row],[Total Profit]]&gt;100000,"High Value",IF(Sales_Data[[#This Row],[Total Profit]]&gt;60000,"Medium","Low"))</f>
        <v>Low</v>
      </c>
      <c r="Q786" s="11" t="str">
        <f>PROPER(Sales_Data[[#This Row],[Month Name]])</f>
        <v>Fevereiro</v>
      </c>
      <c r="R786" s="11" t="str">
        <f>PROPER(Sales_Data[[#This Row],[Sales Manager]])</f>
        <v>James Brown</v>
      </c>
    </row>
    <row r="787" spans="1:18" hidden="1" x14ac:dyDescent="0.25">
      <c r="A787">
        <v>10786</v>
      </c>
      <c r="B787">
        <v>2021</v>
      </c>
      <c r="C787" t="s">
        <v>67</v>
      </c>
      <c r="D787" s="8">
        <v>44251</v>
      </c>
      <c r="E787" t="s">
        <v>25</v>
      </c>
      <c r="F787" t="s">
        <v>16</v>
      </c>
      <c r="G787" t="s">
        <v>20</v>
      </c>
      <c r="H787" s="9">
        <v>42</v>
      </c>
      <c r="I787" s="9">
        <v>458</v>
      </c>
      <c r="J787" s="10">
        <v>389300</v>
      </c>
      <c r="K787" s="10">
        <v>151827</v>
      </c>
      <c r="L787">
        <v>9</v>
      </c>
      <c r="M787" s="8">
        <v>44197</v>
      </c>
      <c r="N787" s="23">
        <v>1.96100308859246E-3</v>
      </c>
      <c r="O787" s="10" t="str">
        <f>IF(Sales_Data[[#This Row],[Total Profit]]&gt;0,"Profitable","Loss")</f>
        <v>Profitable</v>
      </c>
      <c r="P787" s="10" t="str">
        <f>IF(Sales_Data[[#This Row],[Total Profit]]&gt;100000,"High Value",IF(Sales_Data[[#This Row],[Total Profit]]&gt;60000,"Medium","Low"))</f>
        <v>High Value</v>
      </c>
      <c r="Q787" s="11" t="str">
        <f>PROPER(Sales_Data[[#This Row],[Month Name]])</f>
        <v>Fevereiro</v>
      </c>
      <c r="R787" s="11" t="str">
        <f>PROPER(Sales_Data[[#This Row],[Sales Manager]])</f>
        <v>James Brown</v>
      </c>
    </row>
    <row r="788" spans="1:18" hidden="1" x14ac:dyDescent="0.25">
      <c r="A788">
        <v>10787</v>
      </c>
      <c r="B788">
        <v>2021</v>
      </c>
      <c r="C788" t="s">
        <v>67</v>
      </c>
      <c r="D788" s="8">
        <v>44252</v>
      </c>
      <c r="E788" t="s">
        <v>22</v>
      </c>
      <c r="F788" t="s">
        <v>18</v>
      </c>
      <c r="G788" t="s">
        <v>13</v>
      </c>
      <c r="H788" s="9">
        <v>3</v>
      </c>
      <c r="I788" s="9">
        <v>47</v>
      </c>
      <c r="J788" s="10">
        <v>35250</v>
      </c>
      <c r="K788" s="10">
        <v>7050</v>
      </c>
      <c r="L788">
        <v>9</v>
      </c>
      <c r="M788" s="8">
        <v>44197</v>
      </c>
      <c r="N788" s="23">
        <v>1.77563213133532E-4</v>
      </c>
      <c r="O788" s="10" t="str">
        <f>IF(Sales_Data[[#This Row],[Total Profit]]&gt;0,"Profitable","Loss")</f>
        <v>Profitable</v>
      </c>
      <c r="P788" s="10" t="str">
        <f>IF(Sales_Data[[#This Row],[Total Profit]]&gt;100000,"High Value",IF(Sales_Data[[#This Row],[Total Profit]]&gt;60000,"Medium","Low"))</f>
        <v>Low</v>
      </c>
      <c r="Q788" s="11" t="str">
        <f>PROPER(Sales_Data[[#This Row],[Month Name]])</f>
        <v>Fevereiro</v>
      </c>
      <c r="R788" s="11" t="str">
        <f>PROPER(Sales_Data[[#This Row],[Sales Manager]])</f>
        <v>Jane Doe</v>
      </c>
    </row>
    <row r="789" spans="1:18" hidden="1" x14ac:dyDescent="0.25">
      <c r="A789">
        <v>10788</v>
      </c>
      <c r="B789">
        <v>2021</v>
      </c>
      <c r="C789" t="s">
        <v>67</v>
      </c>
      <c r="D789" s="8">
        <v>44253</v>
      </c>
      <c r="E789" t="s">
        <v>14</v>
      </c>
      <c r="F789" t="s">
        <v>18</v>
      </c>
      <c r="G789" t="s">
        <v>15</v>
      </c>
      <c r="H789" s="9">
        <v>1</v>
      </c>
      <c r="I789" s="9">
        <v>19</v>
      </c>
      <c r="J789" s="10">
        <v>9500</v>
      </c>
      <c r="K789" s="10">
        <v>3610</v>
      </c>
      <c r="L789">
        <v>9</v>
      </c>
      <c r="M789" s="8">
        <v>44197</v>
      </c>
      <c r="N789" s="23">
        <v>4.78539155962711E-5</v>
      </c>
      <c r="O789" s="10" t="str">
        <f>IF(Sales_Data[[#This Row],[Total Profit]]&gt;0,"Profitable","Loss")</f>
        <v>Profitable</v>
      </c>
      <c r="P789" s="10" t="str">
        <f>IF(Sales_Data[[#This Row],[Total Profit]]&gt;100000,"High Value",IF(Sales_Data[[#This Row],[Total Profit]]&gt;60000,"Medium","Low"))</f>
        <v>Low</v>
      </c>
      <c r="Q789" s="11" t="str">
        <f>PROPER(Sales_Data[[#This Row],[Month Name]])</f>
        <v>Fevereiro</v>
      </c>
      <c r="R789" s="11" t="str">
        <f>PROPER(Sales_Data[[#This Row],[Sales Manager]])</f>
        <v>Jane Doe</v>
      </c>
    </row>
    <row r="790" spans="1:18" hidden="1" x14ac:dyDescent="0.25">
      <c r="A790">
        <v>10789</v>
      </c>
      <c r="B790">
        <v>2021</v>
      </c>
      <c r="C790" t="s">
        <v>67</v>
      </c>
      <c r="D790" s="8">
        <v>44254</v>
      </c>
      <c r="E790" t="s">
        <v>14</v>
      </c>
      <c r="F790" t="s">
        <v>16</v>
      </c>
      <c r="G790" t="s">
        <v>17</v>
      </c>
      <c r="H790" s="9">
        <v>8</v>
      </c>
      <c r="I790" s="9">
        <v>360</v>
      </c>
      <c r="J790" s="10">
        <v>90000</v>
      </c>
      <c r="K790" s="10">
        <v>9000</v>
      </c>
      <c r="L790">
        <v>9</v>
      </c>
      <c r="M790" s="8">
        <v>44197</v>
      </c>
      <c r="N790" s="23">
        <v>4.5335288459625298E-4</v>
      </c>
      <c r="O790" s="10" t="str">
        <f>IF(Sales_Data[[#This Row],[Total Profit]]&gt;0,"Profitable","Loss")</f>
        <v>Profitable</v>
      </c>
      <c r="P790" s="10" t="str">
        <f>IF(Sales_Data[[#This Row],[Total Profit]]&gt;100000,"High Value",IF(Sales_Data[[#This Row],[Total Profit]]&gt;60000,"Medium","Low"))</f>
        <v>Low</v>
      </c>
      <c r="Q790" s="11" t="str">
        <f>PROPER(Sales_Data[[#This Row],[Month Name]])</f>
        <v>Fevereiro</v>
      </c>
      <c r="R790" s="11" t="str">
        <f>PROPER(Sales_Data[[#This Row],[Sales Manager]])</f>
        <v>James Brown</v>
      </c>
    </row>
    <row r="791" spans="1:18" hidden="1" x14ac:dyDescent="0.25">
      <c r="A791">
        <v>10790</v>
      </c>
      <c r="B791">
        <v>2021</v>
      </c>
      <c r="C791" t="s">
        <v>67</v>
      </c>
      <c r="D791" s="8">
        <v>44255</v>
      </c>
      <c r="E791" t="s">
        <v>11</v>
      </c>
      <c r="F791" t="s">
        <v>21</v>
      </c>
      <c r="G791" t="s">
        <v>23</v>
      </c>
      <c r="H791" s="9">
        <v>18</v>
      </c>
      <c r="I791" s="9">
        <v>452</v>
      </c>
      <c r="J791" s="10">
        <v>158200</v>
      </c>
      <c r="K791" s="10">
        <v>64861.999999999993</v>
      </c>
      <c r="L791">
        <v>10</v>
      </c>
      <c r="M791" s="8">
        <v>44197</v>
      </c>
      <c r="N791" s="23">
        <v>7.9689362603474598E-4</v>
      </c>
      <c r="O791" s="10" t="str">
        <f>IF(Sales_Data[[#This Row],[Total Profit]]&gt;0,"Profitable","Loss")</f>
        <v>Profitable</v>
      </c>
      <c r="P791" s="10" t="str">
        <f>IF(Sales_Data[[#This Row],[Total Profit]]&gt;100000,"High Value",IF(Sales_Data[[#This Row],[Total Profit]]&gt;60000,"Medium","Low"))</f>
        <v>Medium</v>
      </c>
      <c r="Q791" s="11" t="str">
        <f>PROPER(Sales_Data[[#This Row],[Month Name]])</f>
        <v>Fevereiro</v>
      </c>
      <c r="R791" s="11" t="str">
        <f>PROPER(Sales_Data[[#This Row],[Sales Manager]])</f>
        <v>John Smith</v>
      </c>
    </row>
    <row r="792" spans="1:18" hidden="1" x14ac:dyDescent="0.25">
      <c r="A792">
        <v>10791</v>
      </c>
      <c r="B792">
        <v>2021</v>
      </c>
      <c r="C792" t="s">
        <v>68</v>
      </c>
      <c r="D792" s="8">
        <v>44256</v>
      </c>
      <c r="E792" t="s">
        <v>14</v>
      </c>
      <c r="F792" t="s">
        <v>18</v>
      </c>
      <c r="G792" t="s">
        <v>15</v>
      </c>
      <c r="H792" s="9">
        <v>8</v>
      </c>
      <c r="I792" s="9">
        <v>488</v>
      </c>
      <c r="J792" s="10">
        <v>244000</v>
      </c>
      <c r="K792" s="10">
        <v>39040</v>
      </c>
      <c r="L792">
        <v>10</v>
      </c>
      <c r="M792" s="8">
        <v>44197</v>
      </c>
      <c r="N792" s="23">
        <v>1.2290900426831701E-3</v>
      </c>
      <c r="O792" s="10" t="str">
        <f>IF(Sales_Data[[#This Row],[Total Profit]]&gt;0,"Profitable","Loss")</f>
        <v>Profitable</v>
      </c>
      <c r="P792" s="10" t="str">
        <f>IF(Sales_Data[[#This Row],[Total Profit]]&gt;100000,"High Value",IF(Sales_Data[[#This Row],[Total Profit]]&gt;60000,"Medium","Low"))</f>
        <v>Low</v>
      </c>
      <c r="Q792" s="11" t="str">
        <f>PROPER(Sales_Data[[#This Row],[Month Name]])</f>
        <v>Março</v>
      </c>
      <c r="R792" s="11" t="str">
        <f>PROPER(Sales_Data[[#This Row],[Sales Manager]])</f>
        <v>Jane Doe</v>
      </c>
    </row>
    <row r="793" spans="1:18" hidden="1" x14ac:dyDescent="0.25">
      <c r="A793">
        <v>10792</v>
      </c>
      <c r="B793">
        <v>2021</v>
      </c>
      <c r="C793" t="s">
        <v>68</v>
      </c>
      <c r="D793" s="8">
        <v>44257</v>
      </c>
      <c r="E793" t="s">
        <v>25</v>
      </c>
      <c r="F793" t="s">
        <v>21</v>
      </c>
      <c r="G793" t="s">
        <v>23</v>
      </c>
      <c r="H793" s="9">
        <v>18</v>
      </c>
      <c r="I793" s="9">
        <v>445</v>
      </c>
      <c r="J793" s="10">
        <v>155750</v>
      </c>
      <c r="K793" s="10">
        <v>49840</v>
      </c>
      <c r="L793">
        <v>10</v>
      </c>
      <c r="M793" s="8">
        <v>44197</v>
      </c>
      <c r="N793" s="23">
        <v>7.8455235306518201E-4</v>
      </c>
      <c r="O793" s="10" t="str">
        <f>IF(Sales_Data[[#This Row],[Total Profit]]&gt;0,"Profitable","Loss")</f>
        <v>Profitable</v>
      </c>
      <c r="P793" s="10" t="str">
        <f>IF(Sales_Data[[#This Row],[Total Profit]]&gt;100000,"High Value",IF(Sales_Data[[#This Row],[Total Profit]]&gt;60000,"Medium","Low"))</f>
        <v>Low</v>
      </c>
      <c r="Q793" s="11" t="str">
        <f>PROPER(Sales_Data[[#This Row],[Month Name]])</f>
        <v>Março</v>
      </c>
      <c r="R793" s="11" t="str">
        <f>PROPER(Sales_Data[[#This Row],[Sales Manager]])</f>
        <v>John Smith</v>
      </c>
    </row>
    <row r="794" spans="1:18" hidden="1" x14ac:dyDescent="0.25">
      <c r="A794">
        <v>10793</v>
      </c>
      <c r="B794">
        <v>2021</v>
      </c>
      <c r="C794" t="s">
        <v>68</v>
      </c>
      <c r="D794" s="8">
        <v>44258</v>
      </c>
      <c r="E794" t="s">
        <v>19</v>
      </c>
      <c r="F794" t="s">
        <v>18</v>
      </c>
      <c r="G794" t="s">
        <v>17</v>
      </c>
      <c r="H794" s="9">
        <v>2</v>
      </c>
      <c r="I794" s="9">
        <v>45</v>
      </c>
      <c r="J794" s="10">
        <v>11250</v>
      </c>
      <c r="K794" s="10">
        <v>2250</v>
      </c>
      <c r="L794">
        <v>10</v>
      </c>
      <c r="M794" s="8">
        <v>44197</v>
      </c>
      <c r="N794" s="23">
        <v>5.6669110574531603E-5</v>
      </c>
      <c r="O794" s="10" t="str">
        <f>IF(Sales_Data[[#This Row],[Total Profit]]&gt;0,"Profitable","Loss")</f>
        <v>Profitable</v>
      </c>
      <c r="P794" s="10" t="str">
        <f>IF(Sales_Data[[#This Row],[Total Profit]]&gt;100000,"High Value",IF(Sales_Data[[#This Row],[Total Profit]]&gt;60000,"Medium","Low"))</f>
        <v>Low</v>
      </c>
      <c r="Q794" s="11" t="str">
        <f>PROPER(Sales_Data[[#This Row],[Month Name]])</f>
        <v>Março</v>
      </c>
      <c r="R794" s="11" t="str">
        <f>PROPER(Sales_Data[[#This Row],[Sales Manager]])</f>
        <v>Jane Doe</v>
      </c>
    </row>
    <row r="795" spans="1:18" hidden="1" x14ac:dyDescent="0.25">
      <c r="A795">
        <v>10794</v>
      </c>
      <c r="B795">
        <v>2021</v>
      </c>
      <c r="C795" t="s">
        <v>68</v>
      </c>
      <c r="D795" s="8">
        <v>44259</v>
      </c>
      <c r="E795" t="s">
        <v>22</v>
      </c>
      <c r="F795" t="s">
        <v>12</v>
      </c>
      <c r="G795" t="s">
        <v>17</v>
      </c>
      <c r="H795" s="9">
        <v>3</v>
      </c>
      <c r="I795" s="9">
        <v>30</v>
      </c>
      <c r="J795" s="10">
        <v>7500</v>
      </c>
      <c r="K795" s="10">
        <v>1875</v>
      </c>
      <c r="L795">
        <v>10</v>
      </c>
      <c r="M795" s="8">
        <v>44197</v>
      </c>
      <c r="N795" s="23">
        <v>3.7779407049687697E-5</v>
      </c>
      <c r="O795" s="10" t="str">
        <f>IF(Sales_Data[[#This Row],[Total Profit]]&gt;0,"Profitable","Loss")</f>
        <v>Profitable</v>
      </c>
      <c r="P795" s="10" t="str">
        <f>IF(Sales_Data[[#This Row],[Total Profit]]&gt;100000,"High Value",IF(Sales_Data[[#This Row],[Total Profit]]&gt;60000,"Medium","Low"))</f>
        <v>Low</v>
      </c>
      <c r="Q795" s="11" t="str">
        <f>PROPER(Sales_Data[[#This Row],[Month Name]])</f>
        <v>Março</v>
      </c>
      <c r="R795" s="11" t="str">
        <f>PROPER(Sales_Data[[#This Row],[Sales Manager]])</f>
        <v>Emily White</v>
      </c>
    </row>
    <row r="796" spans="1:18" hidden="1" x14ac:dyDescent="0.25">
      <c r="A796">
        <v>10795</v>
      </c>
      <c r="B796">
        <v>2021</v>
      </c>
      <c r="C796" t="s">
        <v>68</v>
      </c>
      <c r="D796" s="8">
        <v>44260</v>
      </c>
      <c r="E796" t="s">
        <v>19</v>
      </c>
      <c r="F796" t="s">
        <v>16</v>
      </c>
      <c r="G796" t="s">
        <v>20</v>
      </c>
      <c r="H796" s="9">
        <v>7</v>
      </c>
      <c r="I796" s="9">
        <v>139</v>
      </c>
      <c r="J796" s="10">
        <v>118150</v>
      </c>
      <c r="K796" s="10">
        <v>42534</v>
      </c>
      <c r="L796">
        <v>10</v>
      </c>
      <c r="M796" s="8">
        <v>44197</v>
      </c>
      <c r="N796" s="23">
        <v>5.9515159238941403E-4</v>
      </c>
      <c r="O796" s="10" t="str">
        <f>IF(Sales_Data[[#This Row],[Total Profit]]&gt;0,"Profitable","Loss")</f>
        <v>Profitable</v>
      </c>
      <c r="P796" s="10" t="str">
        <f>IF(Sales_Data[[#This Row],[Total Profit]]&gt;100000,"High Value",IF(Sales_Data[[#This Row],[Total Profit]]&gt;60000,"Medium","Low"))</f>
        <v>Low</v>
      </c>
      <c r="Q796" s="11" t="str">
        <f>PROPER(Sales_Data[[#This Row],[Month Name]])</f>
        <v>Março</v>
      </c>
      <c r="R796" s="11" t="str">
        <f>PROPER(Sales_Data[[#This Row],[Sales Manager]])</f>
        <v>James Brown</v>
      </c>
    </row>
    <row r="797" spans="1:18" hidden="1" x14ac:dyDescent="0.25">
      <c r="A797">
        <v>10796</v>
      </c>
      <c r="B797">
        <v>2021</v>
      </c>
      <c r="C797" t="s">
        <v>68</v>
      </c>
      <c r="D797" s="8">
        <v>44261</v>
      </c>
      <c r="E797" t="s">
        <v>25</v>
      </c>
      <c r="F797" t="s">
        <v>12</v>
      </c>
      <c r="G797" t="s">
        <v>13</v>
      </c>
      <c r="H797" s="9">
        <v>13</v>
      </c>
      <c r="I797" s="9">
        <v>147</v>
      </c>
      <c r="J797" s="10">
        <v>110250</v>
      </c>
      <c r="K797" s="10">
        <v>35280</v>
      </c>
      <c r="L797">
        <v>10</v>
      </c>
      <c r="M797" s="8">
        <v>44197</v>
      </c>
      <c r="N797" s="23">
        <v>5.5535728363040999E-4</v>
      </c>
      <c r="O797" s="10" t="str">
        <f>IF(Sales_Data[[#This Row],[Total Profit]]&gt;0,"Profitable","Loss")</f>
        <v>Profitable</v>
      </c>
      <c r="P797" s="10" t="str">
        <f>IF(Sales_Data[[#This Row],[Total Profit]]&gt;100000,"High Value",IF(Sales_Data[[#This Row],[Total Profit]]&gt;60000,"Medium","Low"))</f>
        <v>Low</v>
      </c>
      <c r="Q797" s="11" t="str">
        <f>PROPER(Sales_Data[[#This Row],[Month Name]])</f>
        <v>Março</v>
      </c>
      <c r="R797" s="11" t="str">
        <f>PROPER(Sales_Data[[#This Row],[Sales Manager]])</f>
        <v>Emily White</v>
      </c>
    </row>
    <row r="798" spans="1:18" hidden="1" x14ac:dyDescent="0.25">
      <c r="A798">
        <v>10797</v>
      </c>
      <c r="B798">
        <v>2021</v>
      </c>
      <c r="C798" t="s">
        <v>68</v>
      </c>
      <c r="D798" s="8">
        <v>44262</v>
      </c>
      <c r="E798" t="s">
        <v>22</v>
      </c>
      <c r="F798" t="s">
        <v>24</v>
      </c>
      <c r="G798" t="s">
        <v>15</v>
      </c>
      <c r="H798" s="9">
        <v>5</v>
      </c>
      <c r="I798" s="9">
        <v>313</v>
      </c>
      <c r="J798" s="10">
        <v>156500</v>
      </c>
      <c r="K798" s="10">
        <v>62600</v>
      </c>
      <c r="L798">
        <v>11</v>
      </c>
      <c r="M798" s="8">
        <v>44197</v>
      </c>
      <c r="N798" s="23">
        <v>7.8833029377015096E-4</v>
      </c>
      <c r="O798" s="10" t="str">
        <f>IF(Sales_Data[[#This Row],[Total Profit]]&gt;0,"Profitable","Loss")</f>
        <v>Profitable</v>
      </c>
      <c r="P798" s="10" t="str">
        <f>IF(Sales_Data[[#This Row],[Total Profit]]&gt;100000,"High Value",IF(Sales_Data[[#This Row],[Total Profit]]&gt;60000,"Medium","Low"))</f>
        <v>Medium</v>
      </c>
      <c r="Q798" s="11" t="str">
        <f>PROPER(Sales_Data[[#This Row],[Month Name]])</f>
        <v>Março</v>
      </c>
      <c r="R798" s="11" t="str">
        <f>PROPER(Sales_Data[[#This Row],[Sales Manager]])</f>
        <v>Liam Lee</v>
      </c>
    </row>
    <row r="799" spans="1:18" hidden="1" x14ac:dyDescent="0.25">
      <c r="A799">
        <v>10798</v>
      </c>
      <c r="B799">
        <v>2021</v>
      </c>
      <c r="C799" t="s">
        <v>68</v>
      </c>
      <c r="D799" s="8">
        <v>44263</v>
      </c>
      <c r="E799" t="s">
        <v>11</v>
      </c>
      <c r="F799" t="s">
        <v>18</v>
      </c>
      <c r="G799" t="s">
        <v>20</v>
      </c>
      <c r="H799" s="9">
        <v>12</v>
      </c>
      <c r="I799" s="9">
        <v>372</v>
      </c>
      <c r="J799" s="10">
        <v>316200</v>
      </c>
      <c r="K799" s="10">
        <v>69564</v>
      </c>
      <c r="L799">
        <v>11</v>
      </c>
      <c r="M799" s="8">
        <v>44197</v>
      </c>
      <c r="N799" s="23">
        <v>1.5927798012148301E-3</v>
      </c>
      <c r="O799" s="10" t="str">
        <f>IF(Sales_Data[[#This Row],[Total Profit]]&gt;0,"Profitable","Loss")</f>
        <v>Profitable</v>
      </c>
      <c r="P799" s="10" t="str">
        <f>IF(Sales_Data[[#This Row],[Total Profit]]&gt;100000,"High Value",IF(Sales_Data[[#This Row],[Total Profit]]&gt;60000,"Medium","Low"))</f>
        <v>Medium</v>
      </c>
      <c r="Q799" s="11" t="str">
        <f>PROPER(Sales_Data[[#This Row],[Month Name]])</f>
        <v>Março</v>
      </c>
      <c r="R799" s="11" t="str">
        <f>PROPER(Sales_Data[[#This Row],[Sales Manager]])</f>
        <v>Jane Doe</v>
      </c>
    </row>
    <row r="800" spans="1:18" hidden="1" x14ac:dyDescent="0.25">
      <c r="A800">
        <v>10799</v>
      </c>
      <c r="B800">
        <v>2021</v>
      </c>
      <c r="C800" t="s">
        <v>68</v>
      </c>
      <c r="D800" s="8">
        <v>44264</v>
      </c>
      <c r="E800" t="s">
        <v>25</v>
      </c>
      <c r="F800" t="s">
        <v>18</v>
      </c>
      <c r="G800" t="s">
        <v>20</v>
      </c>
      <c r="H800" s="9">
        <v>4</v>
      </c>
      <c r="I800" s="9">
        <v>207</v>
      </c>
      <c r="J800" s="10">
        <v>175950</v>
      </c>
      <c r="K800" s="10">
        <v>33430.5</v>
      </c>
      <c r="L800">
        <v>11</v>
      </c>
      <c r="M800" s="8">
        <v>44197</v>
      </c>
      <c r="N800" s="23">
        <v>8.8630488938567403E-4</v>
      </c>
      <c r="O800" s="10" t="str">
        <f>IF(Sales_Data[[#This Row],[Total Profit]]&gt;0,"Profitable","Loss")</f>
        <v>Profitable</v>
      </c>
      <c r="P800" s="10" t="str">
        <f>IF(Sales_Data[[#This Row],[Total Profit]]&gt;100000,"High Value",IF(Sales_Data[[#This Row],[Total Profit]]&gt;60000,"Medium","Low"))</f>
        <v>Low</v>
      </c>
      <c r="Q800" s="11" t="str">
        <f>PROPER(Sales_Data[[#This Row],[Month Name]])</f>
        <v>Março</v>
      </c>
      <c r="R800" s="11" t="str">
        <f>PROPER(Sales_Data[[#This Row],[Sales Manager]])</f>
        <v>Jane Doe</v>
      </c>
    </row>
    <row r="801" spans="1:18" hidden="1" x14ac:dyDescent="0.25">
      <c r="A801">
        <v>10800</v>
      </c>
      <c r="B801">
        <v>2021</v>
      </c>
      <c r="C801" t="s">
        <v>68</v>
      </c>
      <c r="D801" s="8">
        <v>44265</v>
      </c>
      <c r="E801" t="s">
        <v>14</v>
      </c>
      <c r="F801" t="s">
        <v>21</v>
      </c>
      <c r="G801" t="s">
        <v>15</v>
      </c>
      <c r="H801" s="9">
        <v>19</v>
      </c>
      <c r="I801" s="9">
        <v>493</v>
      </c>
      <c r="J801" s="10">
        <v>246500</v>
      </c>
      <c r="K801" s="10">
        <v>41905</v>
      </c>
      <c r="L801">
        <v>11</v>
      </c>
      <c r="M801" s="8">
        <v>44197</v>
      </c>
      <c r="N801" s="23">
        <v>1.2416831783663999E-3</v>
      </c>
      <c r="O801" s="10" t="str">
        <f>IF(Sales_Data[[#This Row],[Total Profit]]&gt;0,"Profitable","Loss")</f>
        <v>Profitable</v>
      </c>
      <c r="P801" s="10" t="str">
        <f>IF(Sales_Data[[#This Row],[Total Profit]]&gt;100000,"High Value",IF(Sales_Data[[#This Row],[Total Profit]]&gt;60000,"Medium","Low"))</f>
        <v>Low</v>
      </c>
      <c r="Q801" s="11" t="str">
        <f>PROPER(Sales_Data[[#This Row],[Month Name]])</f>
        <v>Março</v>
      </c>
      <c r="R801" s="11" t="str">
        <f>PROPER(Sales_Data[[#This Row],[Sales Manager]])</f>
        <v>John Smith</v>
      </c>
    </row>
    <row r="802" spans="1:18" hidden="1" x14ac:dyDescent="0.25">
      <c r="A802">
        <v>10801</v>
      </c>
      <c r="B802">
        <v>2021</v>
      </c>
      <c r="C802" t="s">
        <v>68</v>
      </c>
      <c r="D802" s="8">
        <v>44266</v>
      </c>
      <c r="E802" t="s">
        <v>11</v>
      </c>
      <c r="F802" t="s">
        <v>18</v>
      </c>
      <c r="G802" t="s">
        <v>23</v>
      </c>
      <c r="H802" s="9">
        <v>3</v>
      </c>
      <c r="I802" s="9">
        <v>116</v>
      </c>
      <c r="J802" s="10">
        <v>40600</v>
      </c>
      <c r="K802" s="10">
        <v>14616</v>
      </c>
      <c r="L802">
        <v>11</v>
      </c>
      <c r="M802" s="8">
        <v>44197</v>
      </c>
      <c r="N802" s="23">
        <v>2.04512523495643E-4</v>
      </c>
      <c r="O802" s="10" t="str">
        <f>IF(Sales_Data[[#This Row],[Total Profit]]&gt;0,"Profitable","Loss")</f>
        <v>Profitable</v>
      </c>
      <c r="P802" s="10" t="str">
        <f>IF(Sales_Data[[#This Row],[Total Profit]]&gt;100000,"High Value",IF(Sales_Data[[#This Row],[Total Profit]]&gt;60000,"Medium","Low"))</f>
        <v>Low</v>
      </c>
      <c r="Q802" s="11" t="str">
        <f>PROPER(Sales_Data[[#This Row],[Month Name]])</f>
        <v>Março</v>
      </c>
      <c r="R802" s="11" t="str">
        <f>PROPER(Sales_Data[[#This Row],[Sales Manager]])</f>
        <v>Jane Doe</v>
      </c>
    </row>
    <row r="803" spans="1:18" hidden="1" x14ac:dyDescent="0.25">
      <c r="A803">
        <v>10802</v>
      </c>
      <c r="B803">
        <v>2021</v>
      </c>
      <c r="C803" t="s">
        <v>68</v>
      </c>
      <c r="D803" s="8">
        <v>44267</v>
      </c>
      <c r="E803" t="s">
        <v>19</v>
      </c>
      <c r="F803" t="s">
        <v>21</v>
      </c>
      <c r="G803" t="s">
        <v>15</v>
      </c>
      <c r="H803" s="9">
        <v>5</v>
      </c>
      <c r="I803" s="9">
        <v>209</v>
      </c>
      <c r="J803" s="10">
        <v>104500</v>
      </c>
      <c r="K803" s="10">
        <v>41800</v>
      </c>
      <c r="L803">
        <v>11</v>
      </c>
      <c r="M803" s="8">
        <v>44197</v>
      </c>
      <c r="N803" s="23">
        <v>5.2639307155898205E-4</v>
      </c>
      <c r="O803" s="10" t="str">
        <f>IF(Sales_Data[[#This Row],[Total Profit]]&gt;0,"Profitable","Loss")</f>
        <v>Profitable</v>
      </c>
      <c r="P803" s="10" t="str">
        <f>IF(Sales_Data[[#This Row],[Total Profit]]&gt;100000,"High Value",IF(Sales_Data[[#This Row],[Total Profit]]&gt;60000,"Medium","Low"))</f>
        <v>Low</v>
      </c>
      <c r="Q803" s="11" t="str">
        <f>PROPER(Sales_Data[[#This Row],[Month Name]])</f>
        <v>Março</v>
      </c>
      <c r="R803" s="11" t="str">
        <f>PROPER(Sales_Data[[#This Row],[Sales Manager]])</f>
        <v>John Smith</v>
      </c>
    </row>
    <row r="804" spans="1:18" hidden="1" x14ac:dyDescent="0.25">
      <c r="A804">
        <v>10803</v>
      </c>
      <c r="B804">
        <v>2021</v>
      </c>
      <c r="C804" t="s">
        <v>68</v>
      </c>
      <c r="D804" s="8">
        <v>44268</v>
      </c>
      <c r="E804" t="s">
        <v>14</v>
      </c>
      <c r="F804" t="s">
        <v>12</v>
      </c>
      <c r="G804" t="s">
        <v>23</v>
      </c>
      <c r="H804" s="9">
        <v>12</v>
      </c>
      <c r="I804" s="9">
        <v>290</v>
      </c>
      <c r="J804" s="10">
        <v>101500</v>
      </c>
      <c r="K804" s="10">
        <v>25375</v>
      </c>
      <c r="L804">
        <v>11</v>
      </c>
      <c r="M804" s="8">
        <v>44197</v>
      </c>
      <c r="N804" s="23">
        <v>5.1128130873910702E-4</v>
      </c>
      <c r="O804" s="10" t="str">
        <f>IF(Sales_Data[[#This Row],[Total Profit]]&gt;0,"Profitable","Loss")</f>
        <v>Profitable</v>
      </c>
      <c r="P804" s="10" t="str">
        <f>IF(Sales_Data[[#This Row],[Total Profit]]&gt;100000,"High Value",IF(Sales_Data[[#This Row],[Total Profit]]&gt;60000,"Medium","Low"))</f>
        <v>Low</v>
      </c>
      <c r="Q804" s="11" t="str">
        <f>PROPER(Sales_Data[[#This Row],[Month Name]])</f>
        <v>Março</v>
      </c>
      <c r="R804" s="11" t="str">
        <f>PROPER(Sales_Data[[#This Row],[Sales Manager]])</f>
        <v>Emily White</v>
      </c>
    </row>
    <row r="805" spans="1:18" hidden="1" x14ac:dyDescent="0.25">
      <c r="A805">
        <v>10804</v>
      </c>
      <c r="B805">
        <v>2021</v>
      </c>
      <c r="C805" t="s">
        <v>68</v>
      </c>
      <c r="D805" s="8">
        <v>44269</v>
      </c>
      <c r="E805" t="s">
        <v>25</v>
      </c>
      <c r="F805" t="s">
        <v>16</v>
      </c>
      <c r="G805" t="s">
        <v>17</v>
      </c>
      <c r="H805" s="9">
        <v>6</v>
      </c>
      <c r="I805" s="9">
        <v>84</v>
      </c>
      <c r="J805" s="10">
        <v>21000</v>
      </c>
      <c r="K805" s="10">
        <v>2940.0000000000005</v>
      </c>
      <c r="L805">
        <v>12</v>
      </c>
      <c r="M805" s="8">
        <v>44197</v>
      </c>
      <c r="N805" s="23">
        <v>1.05782339739126E-4</v>
      </c>
      <c r="O805" s="10" t="str">
        <f>IF(Sales_Data[[#This Row],[Total Profit]]&gt;0,"Profitable","Loss")</f>
        <v>Profitable</v>
      </c>
      <c r="P805" s="10" t="str">
        <f>IF(Sales_Data[[#This Row],[Total Profit]]&gt;100000,"High Value",IF(Sales_Data[[#This Row],[Total Profit]]&gt;60000,"Medium","Low"))</f>
        <v>Low</v>
      </c>
      <c r="Q805" s="11" t="str">
        <f>PROPER(Sales_Data[[#This Row],[Month Name]])</f>
        <v>Março</v>
      </c>
      <c r="R805" s="11" t="str">
        <f>PROPER(Sales_Data[[#This Row],[Sales Manager]])</f>
        <v>James Brown</v>
      </c>
    </row>
    <row r="806" spans="1:18" hidden="1" x14ac:dyDescent="0.25">
      <c r="A806">
        <v>10805</v>
      </c>
      <c r="B806">
        <v>2021</v>
      </c>
      <c r="C806" t="s">
        <v>68</v>
      </c>
      <c r="D806" s="8">
        <v>44270</v>
      </c>
      <c r="E806" t="s">
        <v>22</v>
      </c>
      <c r="F806" t="s">
        <v>16</v>
      </c>
      <c r="G806" t="s">
        <v>23</v>
      </c>
      <c r="H806" s="9">
        <v>24</v>
      </c>
      <c r="I806" s="9">
        <v>441</v>
      </c>
      <c r="J806" s="10">
        <v>154350</v>
      </c>
      <c r="K806" s="10">
        <v>38587.5</v>
      </c>
      <c r="L806">
        <v>12</v>
      </c>
      <c r="M806" s="8">
        <v>44197</v>
      </c>
      <c r="N806" s="23">
        <v>7.7750019708257398E-4</v>
      </c>
      <c r="O806" s="10" t="str">
        <f>IF(Sales_Data[[#This Row],[Total Profit]]&gt;0,"Profitable","Loss")</f>
        <v>Profitable</v>
      </c>
      <c r="P806" s="10" t="str">
        <f>IF(Sales_Data[[#This Row],[Total Profit]]&gt;100000,"High Value",IF(Sales_Data[[#This Row],[Total Profit]]&gt;60000,"Medium","Low"))</f>
        <v>Low</v>
      </c>
      <c r="Q806" s="11" t="str">
        <f>PROPER(Sales_Data[[#This Row],[Month Name]])</f>
        <v>Março</v>
      </c>
      <c r="R806" s="11" t="str">
        <f>PROPER(Sales_Data[[#This Row],[Sales Manager]])</f>
        <v>James Brown</v>
      </c>
    </row>
    <row r="807" spans="1:18" hidden="1" x14ac:dyDescent="0.25">
      <c r="A807">
        <v>10806</v>
      </c>
      <c r="B807">
        <v>2021</v>
      </c>
      <c r="C807" t="s">
        <v>68</v>
      </c>
      <c r="D807" s="8">
        <v>44271</v>
      </c>
      <c r="E807" t="s">
        <v>11</v>
      </c>
      <c r="F807" t="s">
        <v>16</v>
      </c>
      <c r="G807" t="s">
        <v>15</v>
      </c>
      <c r="H807" s="9">
        <v>7</v>
      </c>
      <c r="I807" s="9">
        <v>318</v>
      </c>
      <c r="J807" s="10">
        <v>159000</v>
      </c>
      <c r="K807" s="10">
        <v>39750</v>
      </c>
      <c r="L807">
        <v>12</v>
      </c>
      <c r="M807" s="8">
        <v>44197</v>
      </c>
      <c r="N807" s="23">
        <v>8.0092342945338002E-4</v>
      </c>
      <c r="O807" s="10" t="str">
        <f>IF(Sales_Data[[#This Row],[Total Profit]]&gt;0,"Profitable","Loss")</f>
        <v>Profitable</v>
      </c>
      <c r="P807" s="10" t="str">
        <f>IF(Sales_Data[[#This Row],[Total Profit]]&gt;100000,"High Value",IF(Sales_Data[[#This Row],[Total Profit]]&gt;60000,"Medium","Low"))</f>
        <v>Low</v>
      </c>
      <c r="Q807" s="11" t="str">
        <f>PROPER(Sales_Data[[#This Row],[Month Name]])</f>
        <v>Março</v>
      </c>
      <c r="R807" s="11" t="str">
        <f>PROPER(Sales_Data[[#This Row],[Sales Manager]])</f>
        <v>James Brown</v>
      </c>
    </row>
    <row r="808" spans="1:18" hidden="1" x14ac:dyDescent="0.25">
      <c r="A808">
        <v>10807</v>
      </c>
      <c r="B808">
        <v>2021</v>
      </c>
      <c r="C808" t="s">
        <v>68</v>
      </c>
      <c r="D808" s="8">
        <v>44272</v>
      </c>
      <c r="E808" t="s">
        <v>14</v>
      </c>
      <c r="F808" t="s">
        <v>18</v>
      </c>
      <c r="G808" t="s">
        <v>17</v>
      </c>
      <c r="H808" s="9">
        <v>2</v>
      </c>
      <c r="I808" s="9">
        <v>158</v>
      </c>
      <c r="J808" s="10">
        <v>39500</v>
      </c>
      <c r="K808" s="10">
        <v>11455</v>
      </c>
      <c r="L808">
        <v>12</v>
      </c>
      <c r="M808" s="8">
        <v>44197</v>
      </c>
      <c r="N808" s="23">
        <v>1.98971543795022E-4</v>
      </c>
      <c r="O808" s="10" t="str">
        <f>IF(Sales_Data[[#This Row],[Total Profit]]&gt;0,"Profitable","Loss")</f>
        <v>Profitable</v>
      </c>
      <c r="P808" s="10" t="str">
        <f>IF(Sales_Data[[#This Row],[Total Profit]]&gt;100000,"High Value",IF(Sales_Data[[#This Row],[Total Profit]]&gt;60000,"Medium","Low"))</f>
        <v>Low</v>
      </c>
      <c r="Q808" s="11" t="str">
        <f>PROPER(Sales_Data[[#This Row],[Month Name]])</f>
        <v>Março</v>
      </c>
      <c r="R808" s="11" t="str">
        <f>PROPER(Sales_Data[[#This Row],[Sales Manager]])</f>
        <v>Jane Doe</v>
      </c>
    </row>
    <row r="809" spans="1:18" hidden="1" x14ac:dyDescent="0.25">
      <c r="A809">
        <v>10808</v>
      </c>
      <c r="B809">
        <v>2021</v>
      </c>
      <c r="C809" t="s">
        <v>68</v>
      </c>
      <c r="D809" s="8">
        <v>44273</v>
      </c>
      <c r="E809" t="s">
        <v>14</v>
      </c>
      <c r="F809" t="s">
        <v>21</v>
      </c>
      <c r="G809" t="s">
        <v>15</v>
      </c>
      <c r="H809" s="9">
        <v>8</v>
      </c>
      <c r="I809" s="9">
        <v>122</v>
      </c>
      <c r="J809" s="10">
        <v>61000</v>
      </c>
      <c r="K809" s="10">
        <v>16470</v>
      </c>
      <c r="L809">
        <v>12</v>
      </c>
      <c r="M809" s="8">
        <v>44197</v>
      </c>
      <c r="N809" s="23">
        <v>3.0727251067079399E-4</v>
      </c>
      <c r="O809" s="10" t="str">
        <f>IF(Sales_Data[[#This Row],[Total Profit]]&gt;0,"Profitable","Loss")</f>
        <v>Profitable</v>
      </c>
      <c r="P809" s="10" t="str">
        <f>IF(Sales_Data[[#This Row],[Total Profit]]&gt;100000,"High Value",IF(Sales_Data[[#This Row],[Total Profit]]&gt;60000,"Medium","Low"))</f>
        <v>Low</v>
      </c>
      <c r="Q809" s="11" t="str">
        <f>PROPER(Sales_Data[[#This Row],[Month Name]])</f>
        <v>Março</v>
      </c>
      <c r="R809" s="11" t="str">
        <f>PROPER(Sales_Data[[#This Row],[Sales Manager]])</f>
        <v>John Smith</v>
      </c>
    </row>
    <row r="810" spans="1:18" hidden="1" x14ac:dyDescent="0.25">
      <c r="A810">
        <v>10809</v>
      </c>
      <c r="B810">
        <v>2021</v>
      </c>
      <c r="C810" t="s">
        <v>68</v>
      </c>
      <c r="D810" s="8">
        <v>44274</v>
      </c>
      <c r="E810" t="s">
        <v>25</v>
      </c>
      <c r="F810" t="s">
        <v>21</v>
      </c>
      <c r="G810" t="s">
        <v>17</v>
      </c>
      <c r="H810" s="9">
        <v>14</v>
      </c>
      <c r="I810" s="9">
        <v>275</v>
      </c>
      <c r="J810" s="10">
        <v>68750</v>
      </c>
      <c r="K810" s="10">
        <v>24750</v>
      </c>
      <c r="L810">
        <v>12</v>
      </c>
      <c r="M810" s="8">
        <v>44197</v>
      </c>
      <c r="N810" s="23">
        <v>3.46311231288804E-4</v>
      </c>
      <c r="O810" s="10" t="str">
        <f>IF(Sales_Data[[#This Row],[Total Profit]]&gt;0,"Profitable","Loss")</f>
        <v>Profitable</v>
      </c>
      <c r="P810" s="10" t="str">
        <f>IF(Sales_Data[[#This Row],[Total Profit]]&gt;100000,"High Value",IF(Sales_Data[[#This Row],[Total Profit]]&gt;60000,"Medium","Low"))</f>
        <v>Low</v>
      </c>
      <c r="Q810" s="11" t="str">
        <f>PROPER(Sales_Data[[#This Row],[Month Name]])</f>
        <v>Março</v>
      </c>
      <c r="R810" s="11" t="str">
        <f>PROPER(Sales_Data[[#This Row],[Sales Manager]])</f>
        <v>John Smith</v>
      </c>
    </row>
    <row r="811" spans="1:18" hidden="1" x14ac:dyDescent="0.25">
      <c r="A811">
        <v>10810</v>
      </c>
      <c r="B811">
        <v>2021</v>
      </c>
      <c r="C811" t="s">
        <v>68</v>
      </c>
      <c r="D811" s="8">
        <v>44275</v>
      </c>
      <c r="E811" t="s">
        <v>11</v>
      </c>
      <c r="F811" t="s">
        <v>16</v>
      </c>
      <c r="G811" t="s">
        <v>20</v>
      </c>
      <c r="H811" s="9">
        <v>11</v>
      </c>
      <c r="I811" s="9">
        <v>127</v>
      </c>
      <c r="J811" s="10">
        <v>107950</v>
      </c>
      <c r="K811" s="10">
        <v>18351.5</v>
      </c>
      <c r="L811">
        <v>12</v>
      </c>
      <c r="M811" s="8">
        <v>44197</v>
      </c>
      <c r="N811" s="23">
        <v>5.4377159880183903E-4</v>
      </c>
      <c r="O811" s="10" t="str">
        <f>IF(Sales_Data[[#This Row],[Total Profit]]&gt;0,"Profitable","Loss")</f>
        <v>Profitable</v>
      </c>
      <c r="P811" s="10" t="str">
        <f>IF(Sales_Data[[#This Row],[Total Profit]]&gt;100000,"High Value",IF(Sales_Data[[#This Row],[Total Profit]]&gt;60000,"Medium","Low"))</f>
        <v>Low</v>
      </c>
      <c r="Q811" s="11" t="str">
        <f>PROPER(Sales_Data[[#This Row],[Month Name]])</f>
        <v>Março</v>
      </c>
      <c r="R811" s="11" t="str">
        <f>PROPER(Sales_Data[[#This Row],[Sales Manager]])</f>
        <v>James Brown</v>
      </c>
    </row>
    <row r="812" spans="1:18" hidden="1" x14ac:dyDescent="0.25">
      <c r="A812">
        <v>10811</v>
      </c>
      <c r="B812">
        <v>2021</v>
      </c>
      <c r="C812" t="s">
        <v>68</v>
      </c>
      <c r="D812" s="8">
        <v>44276</v>
      </c>
      <c r="E812" t="s">
        <v>11</v>
      </c>
      <c r="F812" t="s">
        <v>16</v>
      </c>
      <c r="G812" t="s">
        <v>23</v>
      </c>
      <c r="H812" s="9">
        <v>19</v>
      </c>
      <c r="I812" s="9">
        <v>266</v>
      </c>
      <c r="J812" s="10">
        <v>93100</v>
      </c>
      <c r="K812" s="10">
        <v>26068.000000000004</v>
      </c>
      <c r="L812">
        <v>13</v>
      </c>
      <c r="M812" s="8">
        <v>44197</v>
      </c>
      <c r="N812" s="23">
        <v>4.6896837284345701E-4</v>
      </c>
      <c r="O812" s="10" t="str">
        <f>IF(Sales_Data[[#This Row],[Total Profit]]&gt;0,"Profitable","Loss")</f>
        <v>Profitable</v>
      </c>
      <c r="P812" s="10" t="str">
        <f>IF(Sales_Data[[#This Row],[Total Profit]]&gt;100000,"High Value",IF(Sales_Data[[#This Row],[Total Profit]]&gt;60000,"Medium","Low"))</f>
        <v>Low</v>
      </c>
      <c r="Q812" s="11" t="str">
        <f>PROPER(Sales_Data[[#This Row],[Month Name]])</f>
        <v>Março</v>
      </c>
      <c r="R812" s="11" t="str">
        <f>PROPER(Sales_Data[[#This Row],[Sales Manager]])</f>
        <v>James Brown</v>
      </c>
    </row>
    <row r="813" spans="1:18" hidden="1" x14ac:dyDescent="0.25">
      <c r="A813">
        <v>10812</v>
      </c>
      <c r="B813">
        <v>2021</v>
      </c>
      <c r="C813" t="s">
        <v>68</v>
      </c>
      <c r="D813" s="8">
        <v>44277</v>
      </c>
      <c r="E813" t="s">
        <v>19</v>
      </c>
      <c r="F813" t="s">
        <v>16</v>
      </c>
      <c r="G813" t="s">
        <v>13</v>
      </c>
      <c r="H813" s="9">
        <v>30</v>
      </c>
      <c r="I813" s="9">
        <v>376</v>
      </c>
      <c r="J813" s="10">
        <v>282000</v>
      </c>
      <c r="K813" s="10">
        <v>93060</v>
      </c>
      <c r="L813">
        <v>13</v>
      </c>
      <c r="M813" s="8">
        <v>44197</v>
      </c>
      <c r="N813" s="23">
        <v>1.4205057050682599E-3</v>
      </c>
      <c r="O813" s="10" t="str">
        <f>IF(Sales_Data[[#This Row],[Total Profit]]&gt;0,"Profitable","Loss")</f>
        <v>Profitable</v>
      </c>
      <c r="P813" s="10" t="str">
        <f>IF(Sales_Data[[#This Row],[Total Profit]]&gt;100000,"High Value",IF(Sales_Data[[#This Row],[Total Profit]]&gt;60000,"Medium","Low"))</f>
        <v>Medium</v>
      </c>
      <c r="Q813" s="11" t="str">
        <f>PROPER(Sales_Data[[#This Row],[Month Name]])</f>
        <v>Março</v>
      </c>
      <c r="R813" s="11" t="str">
        <f>PROPER(Sales_Data[[#This Row],[Sales Manager]])</f>
        <v>James Brown</v>
      </c>
    </row>
    <row r="814" spans="1:18" hidden="1" x14ac:dyDescent="0.25">
      <c r="A814">
        <v>10813</v>
      </c>
      <c r="B814">
        <v>2021</v>
      </c>
      <c r="C814" t="s">
        <v>68</v>
      </c>
      <c r="D814" s="8">
        <v>44278</v>
      </c>
      <c r="E814" t="s">
        <v>22</v>
      </c>
      <c r="F814" t="s">
        <v>16</v>
      </c>
      <c r="G814" t="s">
        <v>17</v>
      </c>
      <c r="H814" s="9">
        <v>12</v>
      </c>
      <c r="I814" s="9">
        <v>154</v>
      </c>
      <c r="J814" s="10">
        <v>38500</v>
      </c>
      <c r="K814" s="10">
        <v>5005</v>
      </c>
      <c r="L814">
        <v>13</v>
      </c>
      <c r="M814" s="8">
        <v>44197</v>
      </c>
      <c r="N814" s="23">
        <v>1.9393428952173001E-4</v>
      </c>
      <c r="O814" s="10" t="str">
        <f>IF(Sales_Data[[#This Row],[Total Profit]]&gt;0,"Profitable","Loss")</f>
        <v>Profitable</v>
      </c>
      <c r="P814" s="10" t="str">
        <f>IF(Sales_Data[[#This Row],[Total Profit]]&gt;100000,"High Value",IF(Sales_Data[[#This Row],[Total Profit]]&gt;60000,"Medium","Low"))</f>
        <v>Low</v>
      </c>
      <c r="Q814" s="11" t="str">
        <f>PROPER(Sales_Data[[#This Row],[Month Name]])</f>
        <v>Março</v>
      </c>
      <c r="R814" s="11" t="str">
        <f>PROPER(Sales_Data[[#This Row],[Sales Manager]])</f>
        <v>James Brown</v>
      </c>
    </row>
    <row r="815" spans="1:18" hidden="1" x14ac:dyDescent="0.25">
      <c r="A815">
        <v>10814</v>
      </c>
      <c r="B815">
        <v>2021</v>
      </c>
      <c r="C815" t="s">
        <v>68</v>
      </c>
      <c r="D815" s="8">
        <v>44279</v>
      </c>
      <c r="E815" t="s">
        <v>14</v>
      </c>
      <c r="F815" t="s">
        <v>16</v>
      </c>
      <c r="G815" t="s">
        <v>20</v>
      </c>
      <c r="H815" s="9">
        <v>26</v>
      </c>
      <c r="I815" s="9">
        <v>468</v>
      </c>
      <c r="J815" s="10">
        <v>397800</v>
      </c>
      <c r="K815" s="10">
        <v>43758</v>
      </c>
      <c r="L815">
        <v>13</v>
      </c>
      <c r="M815" s="8">
        <v>44197</v>
      </c>
      <c r="N815" s="23">
        <v>2.0038197499154401E-3</v>
      </c>
      <c r="O815" s="10" t="str">
        <f>IF(Sales_Data[[#This Row],[Total Profit]]&gt;0,"Profitable","Loss")</f>
        <v>Profitable</v>
      </c>
      <c r="P815" s="10" t="str">
        <f>IF(Sales_Data[[#This Row],[Total Profit]]&gt;100000,"High Value",IF(Sales_Data[[#This Row],[Total Profit]]&gt;60000,"Medium","Low"))</f>
        <v>Low</v>
      </c>
      <c r="Q815" s="11" t="str">
        <f>PROPER(Sales_Data[[#This Row],[Month Name]])</f>
        <v>Março</v>
      </c>
      <c r="R815" s="11" t="str">
        <f>PROPER(Sales_Data[[#This Row],[Sales Manager]])</f>
        <v>James Brown</v>
      </c>
    </row>
    <row r="816" spans="1:18" hidden="1" x14ac:dyDescent="0.25">
      <c r="A816">
        <v>10815</v>
      </c>
      <c r="B816">
        <v>2021</v>
      </c>
      <c r="C816" t="s">
        <v>68</v>
      </c>
      <c r="D816" s="8">
        <v>44280</v>
      </c>
      <c r="E816" t="s">
        <v>25</v>
      </c>
      <c r="F816" t="s">
        <v>18</v>
      </c>
      <c r="G816" t="s">
        <v>15</v>
      </c>
      <c r="H816" s="9">
        <v>32</v>
      </c>
      <c r="I816" s="9">
        <v>348</v>
      </c>
      <c r="J816" s="10">
        <v>174000</v>
      </c>
      <c r="K816" s="10">
        <v>36540</v>
      </c>
      <c r="L816">
        <v>13</v>
      </c>
      <c r="M816" s="8">
        <v>44197</v>
      </c>
      <c r="N816" s="23">
        <v>8.7648224355275505E-4</v>
      </c>
      <c r="O816" s="10" t="str">
        <f>IF(Sales_Data[[#This Row],[Total Profit]]&gt;0,"Profitable","Loss")</f>
        <v>Profitable</v>
      </c>
      <c r="P816" s="10" t="str">
        <f>IF(Sales_Data[[#This Row],[Total Profit]]&gt;100000,"High Value",IF(Sales_Data[[#This Row],[Total Profit]]&gt;60000,"Medium","Low"))</f>
        <v>Low</v>
      </c>
      <c r="Q816" s="11" t="str">
        <f>PROPER(Sales_Data[[#This Row],[Month Name]])</f>
        <v>Março</v>
      </c>
      <c r="R816" s="11" t="str">
        <f>PROPER(Sales_Data[[#This Row],[Sales Manager]])</f>
        <v>Jane Doe</v>
      </c>
    </row>
    <row r="817" spans="1:18" hidden="1" x14ac:dyDescent="0.25">
      <c r="A817">
        <v>10816</v>
      </c>
      <c r="B817">
        <v>2021</v>
      </c>
      <c r="C817" t="s">
        <v>68</v>
      </c>
      <c r="D817" s="8">
        <v>44281</v>
      </c>
      <c r="E817" t="s">
        <v>19</v>
      </c>
      <c r="F817" t="s">
        <v>24</v>
      </c>
      <c r="G817" t="s">
        <v>17</v>
      </c>
      <c r="H817" s="9">
        <v>19</v>
      </c>
      <c r="I817" s="9">
        <v>191</v>
      </c>
      <c r="J817" s="10">
        <v>47750</v>
      </c>
      <c r="K817" s="10">
        <v>10505</v>
      </c>
      <c r="L817">
        <v>13</v>
      </c>
      <c r="M817" s="8">
        <v>44197</v>
      </c>
      <c r="N817" s="23">
        <v>2.40528891549679E-4</v>
      </c>
      <c r="O817" s="10" t="str">
        <f>IF(Sales_Data[[#This Row],[Total Profit]]&gt;0,"Profitable","Loss")</f>
        <v>Profitable</v>
      </c>
      <c r="P817" s="10" t="str">
        <f>IF(Sales_Data[[#This Row],[Total Profit]]&gt;100000,"High Value",IF(Sales_Data[[#This Row],[Total Profit]]&gt;60000,"Medium","Low"))</f>
        <v>Low</v>
      </c>
      <c r="Q817" s="11" t="str">
        <f>PROPER(Sales_Data[[#This Row],[Month Name]])</f>
        <v>Março</v>
      </c>
      <c r="R817" s="11" t="str">
        <f>PROPER(Sales_Data[[#This Row],[Sales Manager]])</f>
        <v>Liam Lee</v>
      </c>
    </row>
    <row r="818" spans="1:18" hidden="1" x14ac:dyDescent="0.25">
      <c r="A818">
        <v>10817</v>
      </c>
      <c r="B818">
        <v>2021</v>
      </c>
      <c r="C818" t="s">
        <v>68</v>
      </c>
      <c r="D818" s="8">
        <v>44282</v>
      </c>
      <c r="E818" t="s">
        <v>25</v>
      </c>
      <c r="F818" t="s">
        <v>16</v>
      </c>
      <c r="G818" t="s">
        <v>15</v>
      </c>
      <c r="H818" s="9">
        <v>7</v>
      </c>
      <c r="I818" s="9">
        <v>119</v>
      </c>
      <c r="J818" s="10">
        <v>59500</v>
      </c>
      <c r="K818" s="10">
        <v>12495</v>
      </c>
      <c r="L818">
        <v>13</v>
      </c>
      <c r="M818" s="8">
        <v>44197</v>
      </c>
      <c r="N818" s="23">
        <v>2.9971662926085599E-4</v>
      </c>
      <c r="O818" s="10" t="str">
        <f>IF(Sales_Data[[#This Row],[Total Profit]]&gt;0,"Profitable","Loss")</f>
        <v>Profitable</v>
      </c>
      <c r="P818" s="10" t="str">
        <f>IF(Sales_Data[[#This Row],[Total Profit]]&gt;100000,"High Value",IF(Sales_Data[[#This Row],[Total Profit]]&gt;60000,"Medium","Low"))</f>
        <v>Low</v>
      </c>
      <c r="Q818" s="11" t="str">
        <f>PROPER(Sales_Data[[#This Row],[Month Name]])</f>
        <v>Março</v>
      </c>
      <c r="R818" s="11" t="str">
        <f>PROPER(Sales_Data[[#This Row],[Sales Manager]])</f>
        <v>James Brown</v>
      </c>
    </row>
    <row r="819" spans="1:18" hidden="1" x14ac:dyDescent="0.25">
      <c r="A819">
        <v>10818</v>
      </c>
      <c r="B819">
        <v>2021</v>
      </c>
      <c r="C819" t="s">
        <v>68</v>
      </c>
      <c r="D819" s="8">
        <v>44283</v>
      </c>
      <c r="E819" t="s">
        <v>14</v>
      </c>
      <c r="F819" t="s">
        <v>18</v>
      </c>
      <c r="G819" t="s">
        <v>15</v>
      </c>
      <c r="H819" s="9">
        <v>2</v>
      </c>
      <c r="I819" s="9">
        <v>61</v>
      </c>
      <c r="J819" s="10">
        <v>30500</v>
      </c>
      <c r="K819" s="10">
        <v>4880</v>
      </c>
      <c r="L819">
        <v>14</v>
      </c>
      <c r="M819" s="8">
        <v>44197</v>
      </c>
      <c r="N819" s="23">
        <v>1.53636255335397E-4</v>
      </c>
      <c r="O819" s="10" t="str">
        <f>IF(Sales_Data[[#This Row],[Total Profit]]&gt;0,"Profitable","Loss")</f>
        <v>Profitable</v>
      </c>
      <c r="P819" s="10" t="str">
        <f>IF(Sales_Data[[#This Row],[Total Profit]]&gt;100000,"High Value",IF(Sales_Data[[#This Row],[Total Profit]]&gt;60000,"Medium","Low"))</f>
        <v>Low</v>
      </c>
      <c r="Q819" s="11" t="str">
        <f>PROPER(Sales_Data[[#This Row],[Month Name]])</f>
        <v>Março</v>
      </c>
      <c r="R819" s="11" t="str">
        <f>PROPER(Sales_Data[[#This Row],[Sales Manager]])</f>
        <v>Jane Doe</v>
      </c>
    </row>
    <row r="820" spans="1:18" hidden="1" x14ac:dyDescent="0.25">
      <c r="A820">
        <v>10819</v>
      </c>
      <c r="B820">
        <v>2021</v>
      </c>
      <c r="C820" t="s">
        <v>68</v>
      </c>
      <c r="D820" s="8">
        <v>44284</v>
      </c>
      <c r="E820" t="s">
        <v>25</v>
      </c>
      <c r="F820" t="s">
        <v>21</v>
      </c>
      <c r="G820" t="s">
        <v>15</v>
      </c>
      <c r="H820" s="9">
        <v>14</v>
      </c>
      <c r="I820" s="9">
        <v>270</v>
      </c>
      <c r="J820" s="10">
        <v>135000</v>
      </c>
      <c r="K820" s="10">
        <v>45900</v>
      </c>
      <c r="L820">
        <v>14</v>
      </c>
      <c r="M820" s="8">
        <v>44197</v>
      </c>
      <c r="N820" s="23">
        <v>6.8002932689437904E-4</v>
      </c>
      <c r="O820" s="10" t="str">
        <f>IF(Sales_Data[[#This Row],[Total Profit]]&gt;0,"Profitable","Loss")</f>
        <v>Profitable</v>
      </c>
      <c r="P820" s="10" t="str">
        <f>IF(Sales_Data[[#This Row],[Total Profit]]&gt;100000,"High Value",IF(Sales_Data[[#This Row],[Total Profit]]&gt;60000,"Medium","Low"))</f>
        <v>Low</v>
      </c>
      <c r="Q820" s="11" t="str">
        <f>PROPER(Sales_Data[[#This Row],[Month Name]])</f>
        <v>Março</v>
      </c>
      <c r="R820" s="11" t="str">
        <f>PROPER(Sales_Data[[#This Row],[Sales Manager]])</f>
        <v>John Smith</v>
      </c>
    </row>
    <row r="821" spans="1:18" hidden="1" x14ac:dyDescent="0.25">
      <c r="A821">
        <v>10820</v>
      </c>
      <c r="B821">
        <v>2021</v>
      </c>
      <c r="C821" t="s">
        <v>68</v>
      </c>
      <c r="D821" s="8">
        <v>44285</v>
      </c>
      <c r="E821" t="s">
        <v>22</v>
      </c>
      <c r="F821" t="s">
        <v>21</v>
      </c>
      <c r="G821" t="s">
        <v>20</v>
      </c>
      <c r="H821" s="9">
        <v>8</v>
      </c>
      <c r="I821" s="9">
        <v>436</v>
      </c>
      <c r="J821" s="10">
        <v>370600</v>
      </c>
      <c r="K821" s="10">
        <v>159358</v>
      </c>
      <c r="L821">
        <v>14</v>
      </c>
      <c r="M821" s="8">
        <v>44197</v>
      </c>
      <c r="N821" s="23">
        <v>1.8668064336819E-3</v>
      </c>
      <c r="O821" s="10" t="str">
        <f>IF(Sales_Data[[#This Row],[Total Profit]]&gt;0,"Profitable","Loss")</f>
        <v>Profitable</v>
      </c>
      <c r="P821" s="10" t="str">
        <f>IF(Sales_Data[[#This Row],[Total Profit]]&gt;100000,"High Value",IF(Sales_Data[[#This Row],[Total Profit]]&gt;60000,"Medium","Low"))</f>
        <v>High Value</v>
      </c>
      <c r="Q821" s="11" t="str">
        <f>PROPER(Sales_Data[[#This Row],[Month Name]])</f>
        <v>Março</v>
      </c>
      <c r="R821" s="11" t="str">
        <f>PROPER(Sales_Data[[#This Row],[Sales Manager]])</f>
        <v>John Smith</v>
      </c>
    </row>
    <row r="822" spans="1:18" hidden="1" x14ac:dyDescent="0.25">
      <c r="A822">
        <v>10821</v>
      </c>
      <c r="B822">
        <v>2021</v>
      </c>
      <c r="C822" t="s">
        <v>68</v>
      </c>
      <c r="D822" s="8">
        <v>44286</v>
      </c>
      <c r="E822" t="s">
        <v>25</v>
      </c>
      <c r="F822" t="s">
        <v>16</v>
      </c>
      <c r="G822" t="s">
        <v>13</v>
      </c>
      <c r="H822" s="9">
        <v>3</v>
      </c>
      <c r="I822" s="9">
        <v>103</v>
      </c>
      <c r="J822" s="10">
        <v>77250</v>
      </c>
      <c r="K822" s="10">
        <v>27037.5</v>
      </c>
      <c r="L822">
        <v>14</v>
      </c>
      <c r="M822" s="8">
        <v>44197</v>
      </c>
      <c r="N822" s="23">
        <v>3.8912789261178398E-4</v>
      </c>
      <c r="O822" s="10" t="str">
        <f>IF(Sales_Data[[#This Row],[Total Profit]]&gt;0,"Profitable","Loss")</f>
        <v>Profitable</v>
      </c>
      <c r="P822" s="10" t="str">
        <f>IF(Sales_Data[[#This Row],[Total Profit]]&gt;100000,"High Value",IF(Sales_Data[[#This Row],[Total Profit]]&gt;60000,"Medium","Low"))</f>
        <v>Low</v>
      </c>
      <c r="Q822" s="11" t="str">
        <f>PROPER(Sales_Data[[#This Row],[Month Name]])</f>
        <v>Março</v>
      </c>
      <c r="R822" s="11" t="str">
        <f>PROPER(Sales_Data[[#This Row],[Sales Manager]])</f>
        <v>James Brown</v>
      </c>
    </row>
    <row r="823" spans="1:18" hidden="1" x14ac:dyDescent="0.25">
      <c r="A823">
        <v>10822</v>
      </c>
      <c r="B823">
        <v>2021</v>
      </c>
      <c r="C823" t="s">
        <v>69</v>
      </c>
      <c r="D823" s="8">
        <v>44287</v>
      </c>
      <c r="E823" t="s">
        <v>14</v>
      </c>
      <c r="F823" t="s">
        <v>21</v>
      </c>
      <c r="G823" t="s">
        <v>17</v>
      </c>
      <c r="H823" s="9">
        <v>10</v>
      </c>
      <c r="I823" s="9">
        <v>119</v>
      </c>
      <c r="J823" s="10">
        <v>29750</v>
      </c>
      <c r="K823" s="10">
        <v>11007.5</v>
      </c>
      <c r="L823">
        <v>14</v>
      </c>
      <c r="M823" s="8">
        <v>44287</v>
      </c>
      <c r="N823" s="23">
        <v>1.4985831463042799E-4</v>
      </c>
      <c r="O823" s="10" t="str">
        <f>IF(Sales_Data[[#This Row],[Total Profit]]&gt;0,"Profitable","Loss")</f>
        <v>Profitable</v>
      </c>
      <c r="P823" s="10" t="str">
        <f>IF(Sales_Data[[#This Row],[Total Profit]]&gt;100000,"High Value",IF(Sales_Data[[#This Row],[Total Profit]]&gt;60000,"Medium","Low"))</f>
        <v>Low</v>
      </c>
      <c r="Q823" s="11" t="str">
        <f>PROPER(Sales_Data[[#This Row],[Month Name]])</f>
        <v>Abril</v>
      </c>
      <c r="R823" s="11" t="str">
        <f>PROPER(Sales_Data[[#This Row],[Sales Manager]])</f>
        <v>John Smith</v>
      </c>
    </row>
    <row r="824" spans="1:18" hidden="1" x14ac:dyDescent="0.25">
      <c r="A824">
        <v>10823</v>
      </c>
      <c r="B824">
        <v>2021</v>
      </c>
      <c r="C824" t="s">
        <v>69</v>
      </c>
      <c r="D824" s="8">
        <v>44288</v>
      </c>
      <c r="E824" t="s">
        <v>11</v>
      </c>
      <c r="F824" t="s">
        <v>12</v>
      </c>
      <c r="G824" t="s">
        <v>15</v>
      </c>
      <c r="H824" s="9">
        <v>37</v>
      </c>
      <c r="I824" s="9">
        <v>455</v>
      </c>
      <c r="J824" s="10">
        <v>227500</v>
      </c>
      <c r="K824" s="10">
        <v>36400</v>
      </c>
      <c r="L824">
        <v>14</v>
      </c>
      <c r="M824" s="8">
        <v>44287</v>
      </c>
      <c r="N824" s="23">
        <v>1.14597534717386E-3</v>
      </c>
      <c r="O824" s="10" t="str">
        <f>IF(Sales_Data[[#This Row],[Total Profit]]&gt;0,"Profitable","Loss")</f>
        <v>Profitable</v>
      </c>
      <c r="P824" s="10" t="str">
        <f>IF(Sales_Data[[#This Row],[Total Profit]]&gt;100000,"High Value",IF(Sales_Data[[#This Row],[Total Profit]]&gt;60000,"Medium","Low"))</f>
        <v>Low</v>
      </c>
      <c r="Q824" s="11" t="str">
        <f>PROPER(Sales_Data[[#This Row],[Month Name]])</f>
        <v>Abril</v>
      </c>
      <c r="R824" s="11" t="str">
        <f>PROPER(Sales_Data[[#This Row],[Sales Manager]])</f>
        <v>Emily White</v>
      </c>
    </row>
    <row r="825" spans="1:18" hidden="1" x14ac:dyDescent="0.25">
      <c r="A825">
        <v>10824</v>
      </c>
      <c r="B825">
        <v>2021</v>
      </c>
      <c r="C825" t="s">
        <v>69</v>
      </c>
      <c r="D825" s="8">
        <v>44289</v>
      </c>
      <c r="E825" t="s">
        <v>22</v>
      </c>
      <c r="F825" t="s">
        <v>21</v>
      </c>
      <c r="G825" t="s">
        <v>17</v>
      </c>
      <c r="H825" s="9">
        <v>25</v>
      </c>
      <c r="I825" s="9">
        <v>255</v>
      </c>
      <c r="J825" s="10">
        <v>63750</v>
      </c>
      <c r="K825" s="10">
        <v>7012.5</v>
      </c>
      <c r="L825">
        <v>14</v>
      </c>
      <c r="M825" s="8">
        <v>44287</v>
      </c>
      <c r="N825" s="23">
        <v>3.2112495992234598E-4</v>
      </c>
      <c r="O825" s="10" t="str">
        <f>IF(Sales_Data[[#This Row],[Total Profit]]&gt;0,"Profitable","Loss")</f>
        <v>Profitable</v>
      </c>
      <c r="P825" s="10" t="str">
        <f>IF(Sales_Data[[#This Row],[Total Profit]]&gt;100000,"High Value",IF(Sales_Data[[#This Row],[Total Profit]]&gt;60000,"Medium","Low"))</f>
        <v>Low</v>
      </c>
      <c r="Q825" s="11" t="str">
        <f>PROPER(Sales_Data[[#This Row],[Month Name]])</f>
        <v>Abril</v>
      </c>
      <c r="R825" s="11" t="str">
        <f>PROPER(Sales_Data[[#This Row],[Sales Manager]])</f>
        <v>John Smith</v>
      </c>
    </row>
    <row r="826" spans="1:18" hidden="1" x14ac:dyDescent="0.25">
      <c r="A826">
        <v>10825</v>
      </c>
      <c r="B826">
        <v>2021</v>
      </c>
      <c r="C826" t="s">
        <v>69</v>
      </c>
      <c r="D826" s="8">
        <v>44290</v>
      </c>
      <c r="E826" t="s">
        <v>25</v>
      </c>
      <c r="F826" t="s">
        <v>21</v>
      </c>
      <c r="G826" t="s">
        <v>23</v>
      </c>
      <c r="H826" s="9">
        <v>20</v>
      </c>
      <c r="I826" s="9">
        <v>338</v>
      </c>
      <c r="J826" s="10">
        <v>118300</v>
      </c>
      <c r="K826" s="10">
        <v>15379</v>
      </c>
      <c r="L826">
        <v>15</v>
      </c>
      <c r="M826" s="8">
        <v>44287</v>
      </c>
      <c r="N826" s="23">
        <v>5.9590718053040802E-4</v>
      </c>
      <c r="O826" s="10" t="str">
        <f>IF(Sales_Data[[#This Row],[Total Profit]]&gt;0,"Profitable","Loss")</f>
        <v>Profitable</v>
      </c>
      <c r="P826" s="10" t="str">
        <f>IF(Sales_Data[[#This Row],[Total Profit]]&gt;100000,"High Value",IF(Sales_Data[[#This Row],[Total Profit]]&gt;60000,"Medium","Low"))</f>
        <v>Low</v>
      </c>
      <c r="Q826" s="11" t="str">
        <f>PROPER(Sales_Data[[#This Row],[Month Name]])</f>
        <v>Abril</v>
      </c>
      <c r="R826" s="11" t="str">
        <f>PROPER(Sales_Data[[#This Row],[Sales Manager]])</f>
        <v>John Smith</v>
      </c>
    </row>
    <row r="827" spans="1:18" hidden="1" x14ac:dyDescent="0.25">
      <c r="A827">
        <v>10826</v>
      </c>
      <c r="B827">
        <v>2021</v>
      </c>
      <c r="C827" t="s">
        <v>69</v>
      </c>
      <c r="D827" s="8">
        <v>44291</v>
      </c>
      <c r="E827" t="s">
        <v>11</v>
      </c>
      <c r="F827" t="s">
        <v>16</v>
      </c>
      <c r="G827" t="s">
        <v>17</v>
      </c>
      <c r="H827" s="9">
        <v>2</v>
      </c>
      <c r="I827" s="9">
        <v>37</v>
      </c>
      <c r="J827" s="10">
        <v>9250</v>
      </c>
      <c r="K827" s="10">
        <v>2220</v>
      </c>
      <c r="L827">
        <v>15</v>
      </c>
      <c r="M827" s="8">
        <v>44287</v>
      </c>
      <c r="N827" s="23">
        <v>4.6594602027948199E-5</v>
      </c>
      <c r="O827" s="10" t="str">
        <f>IF(Sales_Data[[#This Row],[Total Profit]]&gt;0,"Profitable","Loss")</f>
        <v>Profitable</v>
      </c>
      <c r="P827" s="10" t="str">
        <f>IF(Sales_Data[[#This Row],[Total Profit]]&gt;100000,"High Value",IF(Sales_Data[[#This Row],[Total Profit]]&gt;60000,"Medium","Low"))</f>
        <v>Low</v>
      </c>
      <c r="Q827" s="11" t="str">
        <f>PROPER(Sales_Data[[#This Row],[Month Name]])</f>
        <v>Abril</v>
      </c>
      <c r="R827" s="11" t="str">
        <f>PROPER(Sales_Data[[#This Row],[Sales Manager]])</f>
        <v>James Brown</v>
      </c>
    </row>
    <row r="828" spans="1:18" hidden="1" x14ac:dyDescent="0.25">
      <c r="A828">
        <v>10827</v>
      </c>
      <c r="B828">
        <v>2021</v>
      </c>
      <c r="C828" t="s">
        <v>69</v>
      </c>
      <c r="D828" s="8">
        <v>44292</v>
      </c>
      <c r="E828" t="s">
        <v>14</v>
      </c>
      <c r="F828" t="s">
        <v>16</v>
      </c>
      <c r="G828" t="s">
        <v>23</v>
      </c>
      <c r="H828" s="9">
        <v>2</v>
      </c>
      <c r="I828" s="9">
        <v>26</v>
      </c>
      <c r="J828" s="10">
        <v>9100</v>
      </c>
      <c r="K828" s="10">
        <v>1729</v>
      </c>
      <c r="L828">
        <v>15</v>
      </c>
      <c r="M828" s="8">
        <v>44287</v>
      </c>
      <c r="N828" s="23">
        <v>4.5839013886954398E-5</v>
      </c>
      <c r="O828" s="10" t="str">
        <f>IF(Sales_Data[[#This Row],[Total Profit]]&gt;0,"Profitable","Loss")</f>
        <v>Profitable</v>
      </c>
      <c r="P828" s="10" t="str">
        <f>IF(Sales_Data[[#This Row],[Total Profit]]&gt;100000,"High Value",IF(Sales_Data[[#This Row],[Total Profit]]&gt;60000,"Medium","Low"))</f>
        <v>Low</v>
      </c>
      <c r="Q828" s="11" t="str">
        <f>PROPER(Sales_Data[[#This Row],[Month Name]])</f>
        <v>Abril</v>
      </c>
      <c r="R828" s="11" t="str">
        <f>PROPER(Sales_Data[[#This Row],[Sales Manager]])</f>
        <v>James Brown</v>
      </c>
    </row>
    <row r="829" spans="1:18" hidden="1" x14ac:dyDescent="0.25">
      <c r="A829">
        <v>10828</v>
      </c>
      <c r="B829">
        <v>2021</v>
      </c>
      <c r="C829" t="s">
        <v>69</v>
      </c>
      <c r="D829" s="8">
        <v>44293</v>
      </c>
      <c r="E829" t="s">
        <v>11</v>
      </c>
      <c r="F829" t="s">
        <v>21</v>
      </c>
      <c r="G829" t="s">
        <v>23</v>
      </c>
      <c r="H829" s="9">
        <v>10</v>
      </c>
      <c r="I829" s="9">
        <v>151</v>
      </c>
      <c r="J829" s="10">
        <v>52850</v>
      </c>
      <c r="K829" s="10">
        <v>23782.5</v>
      </c>
      <c r="L829">
        <v>15</v>
      </c>
      <c r="M829" s="8">
        <v>44287</v>
      </c>
      <c r="N829" s="23">
        <v>2.6621888834346599E-4</v>
      </c>
      <c r="O829" s="10" t="str">
        <f>IF(Sales_Data[[#This Row],[Total Profit]]&gt;0,"Profitable","Loss")</f>
        <v>Profitable</v>
      </c>
      <c r="P829" s="10" t="str">
        <f>IF(Sales_Data[[#This Row],[Total Profit]]&gt;100000,"High Value",IF(Sales_Data[[#This Row],[Total Profit]]&gt;60000,"Medium","Low"))</f>
        <v>Low</v>
      </c>
      <c r="Q829" s="11" t="str">
        <f>PROPER(Sales_Data[[#This Row],[Month Name]])</f>
        <v>Abril</v>
      </c>
      <c r="R829" s="11" t="str">
        <f>PROPER(Sales_Data[[#This Row],[Sales Manager]])</f>
        <v>John Smith</v>
      </c>
    </row>
    <row r="830" spans="1:18" hidden="1" x14ac:dyDescent="0.25">
      <c r="A830">
        <v>10829</v>
      </c>
      <c r="B830">
        <v>2021</v>
      </c>
      <c r="C830" t="s">
        <v>69</v>
      </c>
      <c r="D830" s="8">
        <v>44294</v>
      </c>
      <c r="E830" t="s">
        <v>25</v>
      </c>
      <c r="F830" t="s">
        <v>21</v>
      </c>
      <c r="G830" t="s">
        <v>15</v>
      </c>
      <c r="H830" s="9">
        <v>6</v>
      </c>
      <c r="I830" s="9">
        <v>411</v>
      </c>
      <c r="J830" s="10">
        <v>205500</v>
      </c>
      <c r="K830" s="10">
        <v>20550</v>
      </c>
      <c r="L830">
        <v>15</v>
      </c>
      <c r="M830" s="8">
        <v>44287</v>
      </c>
      <c r="N830" s="23">
        <v>1.03515575316144E-3</v>
      </c>
      <c r="O830" s="10" t="str">
        <f>IF(Sales_Data[[#This Row],[Total Profit]]&gt;0,"Profitable","Loss")</f>
        <v>Profitable</v>
      </c>
      <c r="P830" s="10" t="str">
        <f>IF(Sales_Data[[#This Row],[Total Profit]]&gt;100000,"High Value",IF(Sales_Data[[#This Row],[Total Profit]]&gt;60000,"Medium","Low"))</f>
        <v>Low</v>
      </c>
      <c r="Q830" s="11" t="str">
        <f>PROPER(Sales_Data[[#This Row],[Month Name]])</f>
        <v>Abril</v>
      </c>
      <c r="R830" s="11" t="str">
        <f>PROPER(Sales_Data[[#This Row],[Sales Manager]])</f>
        <v>John Smith</v>
      </c>
    </row>
    <row r="831" spans="1:18" hidden="1" x14ac:dyDescent="0.25">
      <c r="A831">
        <v>10830</v>
      </c>
      <c r="B831">
        <v>2021</v>
      </c>
      <c r="C831" t="s">
        <v>69</v>
      </c>
      <c r="D831" s="8">
        <v>44295</v>
      </c>
      <c r="E831" t="s">
        <v>19</v>
      </c>
      <c r="F831" t="s">
        <v>16</v>
      </c>
      <c r="G831" t="s">
        <v>17</v>
      </c>
      <c r="H831" s="9">
        <v>13</v>
      </c>
      <c r="I831" s="9">
        <v>381</v>
      </c>
      <c r="J831" s="10">
        <v>95250</v>
      </c>
      <c r="K831" s="10">
        <v>19050</v>
      </c>
      <c r="L831">
        <v>15</v>
      </c>
      <c r="M831" s="8">
        <v>44287</v>
      </c>
      <c r="N831" s="23">
        <v>4.7979846953103398E-4</v>
      </c>
      <c r="O831" s="10" t="str">
        <f>IF(Sales_Data[[#This Row],[Total Profit]]&gt;0,"Profitable","Loss")</f>
        <v>Profitable</v>
      </c>
      <c r="P831" s="10" t="str">
        <f>IF(Sales_Data[[#This Row],[Total Profit]]&gt;100000,"High Value",IF(Sales_Data[[#This Row],[Total Profit]]&gt;60000,"Medium","Low"))</f>
        <v>Low</v>
      </c>
      <c r="Q831" s="11" t="str">
        <f>PROPER(Sales_Data[[#This Row],[Month Name]])</f>
        <v>Abril</v>
      </c>
      <c r="R831" s="11" t="str">
        <f>PROPER(Sales_Data[[#This Row],[Sales Manager]])</f>
        <v>James Brown</v>
      </c>
    </row>
    <row r="832" spans="1:18" hidden="1" x14ac:dyDescent="0.25">
      <c r="A832">
        <v>10831</v>
      </c>
      <c r="B832">
        <v>2021</v>
      </c>
      <c r="C832" t="s">
        <v>69</v>
      </c>
      <c r="D832" s="8">
        <v>44296</v>
      </c>
      <c r="E832" t="s">
        <v>14</v>
      </c>
      <c r="F832" t="s">
        <v>12</v>
      </c>
      <c r="G832" t="s">
        <v>15</v>
      </c>
      <c r="H832" s="9">
        <v>12</v>
      </c>
      <c r="I832" s="9">
        <v>172</v>
      </c>
      <c r="J832" s="10">
        <v>86000</v>
      </c>
      <c r="K832" s="10">
        <v>11180</v>
      </c>
      <c r="L832">
        <v>15</v>
      </c>
      <c r="M832" s="8">
        <v>44287</v>
      </c>
      <c r="N832" s="23">
        <v>4.3320386750308597E-4</v>
      </c>
      <c r="O832" s="10" t="str">
        <f>IF(Sales_Data[[#This Row],[Total Profit]]&gt;0,"Profitable","Loss")</f>
        <v>Profitable</v>
      </c>
      <c r="P832" s="10" t="str">
        <f>IF(Sales_Data[[#This Row],[Total Profit]]&gt;100000,"High Value",IF(Sales_Data[[#This Row],[Total Profit]]&gt;60000,"Medium","Low"))</f>
        <v>Low</v>
      </c>
      <c r="Q832" s="11" t="str">
        <f>PROPER(Sales_Data[[#This Row],[Month Name]])</f>
        <v>Abril</v>
      </c>
      <c r="R832" s="11" t="str">
        <f>PROPER(Sales_Data[[#This Row],[Sales Manager]])</f>
        <v>Emily White</v>
      </c>
    </row>
    <row r="833" spans="1:18" hidden="1" x14ac:dyDescent="0.25">
      <c r="A833">
        <v>10832</v>
      </c>
      <c r="B833">
        <v>2021</v>
      </c>
      <c r="C833" t="s">
        <v>69</v>
      </c>
      <c r="D833" s="8">
        <v>44297</v>
      </c>
      <c r="E833" t="s">
        <v>25</v>
      </c>
      <c r="F833" t="s">
        <v>12</v>
      </c>
      <c r="G833" t="s">
        <v>13</v>
      </c>
      <c r="H833" s="9">
        <v>13</v>
      </c>
      <c r="I833" s="9">
        <v>492</v>
      </c>
      <c r="J833" s="10">
        <v>369000</v>
      </c>
      <c r="K833" s="10">
        <v>99630</v>
      </c>
      <c r="L833">
        <v>16</v>
      </c>
      <c r="M833" s="8">
        <v>44287</v>
      </c>
      <c r="N833" s="23">
        <v>1.8587468268446399E-3</v>
      </c>
      <c r="O833" s="10" t="str">
        <f>IF(Sales_Data[[#This Row],[Total Profit]]&gt;0,"Profitable","Loss")</f>
        <v>Profitable</v>
      </c>
      <c r="P833" s="10" t="str">
        <f>IF(Sales_Data[[#This Row],[Total Profit]]&gt;100000,"High Value",IF(Sales_Data[[#This Row],[Total Profit]]&gt;60000,"Medium","Low"))</f>
        <v>Medium</v>
      </c>
      <c r="Q833" s="11" t="str">
        <f>PROPER(Sales_Data[[#This Row],[Month Name]])</f>
        <v>Abril</v>
      </c>
      <c r="R833" s="11" t="str">
        <f>PROPER(Sales_Data[[#This Row],[Sales Manager]])</f>
        <v>Emily White</v>
      </c>
    </row>
    <row r="834" spans="1:18" hidden="1" x14ac:dyDescent="0.25">
      <c r="A834">
        <v>10833</v>
      </c>
      <c r="B834">
        <v>2021</v>
      </c>
      <c r="C834" t="s">
        <v>69</v>
      </c>
      <c r="D834" s="8">
        <v>44298</v>
      </c>
      <c r="E834" t="s">
        <v>14</v>
      </c>
      <c r="F834" t="s">
        <v>12</v>
      </c>
      <c r="G834" t="s">
        <v>23</v>
      </c>
      <c r="H834" s="9">
        <v>35</v>
      </c>
      <c r="I834" s="9">
        <v>460</v>
      </c>
      <c r="J834" s="10">
        <v>161000</v>
      </c>
      <c r="K834" s="10">
        <v>72450</v>
      </c>
      <c r="L834">
        <v>16</v>
      </c>
      <c r="M834" s="8">
        <v>44287</v>
      </c>
      <c r="N834" s="23">
        <v>8.1099793799996301E-4</v>
      </c>
      <c r="O834" s="10" t="str">
        <f>IF(Sales_Data[[#This Row],[Total Profit]]&gt;0,"Profitable","Loss")</f>
        <v>Profitable</v>
      </c>
      <c r="P834" s="10" t="str">
        <f>IF(Sales_Data[[#This Row],[Total Profit]]&gt;100000,"High Value",IF(Sales_Data[[#This Row],[Total Profit]]&gt;60000,"Medium","Low"))</f>
        <v>Medium</v>
      </c>
      <c r="Q834" s="11" t="str">
        <f>PROPER(Sales_Data[[#This Row],[Month Name]])</f>
        <v>Abril</v>
      </c>
      <c r="R834" s="11" t="str">
        <f>PROPER(Sales_Data[[#This Row],[Sales Manager]])</f>
        <v>Emily White</v>
      </c>
    </row>
    <row r="835" spans="1:18" hidden="1" x14ac:dyDescent="0.25">
      <c r="A835">
        <v>10834</v>
      </c>
      <c r="B835">
        <v>2021</v>
      </c>
      <c r="C835" t="s">
        <v>69</v>
      </c>
      <c r="D835" s="8">
        <v>44299</v>
      </c>
      <c r="E835" t="s">
        <v>22</v>
      </c>
      <c r="F835" t="s">
        <v>12</v>
      </c>
      <c r="G835" t="s">
        <v>13</v>
      </c>
      <c r="H835" s="9">
        <v>16</v>
      </c>
      <c r="I835" s="9">
        <v>481</v>
      </c>
      <c r="J835" s="10">
        <v>360750</v>
      </c>
      <c r="K835" s="10">
        <v>64935</v>
      </c>
      <c r="L835">
        <v>16</v>
      </c>
      <c r="M835" s="8">
        <v>44287</v>
      </c>
      <c r="N835" s="23">
        <v>1.81718947908998E-3</v>
      </c>
      <c r="O835" s="10" t="str">
        <f>IF(Sales_Data[[#This Row],[Total Profit]]&gt;0,"Profitable","Loss")</f>
        <v>Profitable</v>
      </c>
      <c r="P835" s="10" t="str">
        <f>IF(Sales_Data[[#This Row],[Total Profit]]&gt;100000,"High Value",IF(Sales_Data[[#This Row],[Total Profit]]&gt;60000,"Medium","Low"))</f>
        <v>Medium</v>
      </c>
      <c r="Q835" s="11" t="str">
        <f>PROPER(Sales_Data[[#This Row],[Month Name]])</f>
        <v>Abril</v>
      </c>
      <c r="R835" s="11" t="str">
        <f>PROPER(Sales_Data[[#This Row],[Sales Manager]])</f>
        <v>Emily White</v>
      </c>
    </row>
    <row r="836" spans="1:18" hidden="1" x14ac:dyDescent="0.25">
      <c r="A836">
        <v>10835</v>
      </c>
      <c r="B836">
        <v>2021</v>
      </c>
      <c r="C836" t="s">
        <v>69</v>
      </c>
      <c r="D836" s="8">
        <v>44300</v>
      </c>
      <c r="E836" t="s">
        <v>19</v>
      </c>
      <c r="F836" t="s">
        <v>24</v>
      </c>
      <c r="G836" t="s">
        <v>15</v>
      </c>
      <c r="H836" s="9">
        <v>23</v>
      </c>
      <c r="I836" s="9">
        <v>361</v>
      </c>
      <c r="J836" s="10">
        <v>180500</v>
      </c>
      <c r="K836" s="10">
        <v>36100</v>
      </c>
      <c r="L836">
        <v>16</v>
      </c>
      <c r="M836" s="8">
        <v>44287</v>
      </c>
      <c r="N836" s="23">
        <v>9.0922439632915096E-4</v>
      </c>
      <c r="O836" s="10" t="str">
        <f>IF(Sales_Data[[#This Row],[Total Profit]]&gt;0,"Profitable","Loss")</f>
        <v>Profitable</v>
      </c>
      <c r="P836" s="10" t="str">
        <f>IF(Sales_Data[[#This Row],[Total Profit]]&gt;100000,"High Value",IF(Sales_Data[[#This Row],[Total Profit]]&gt;60000,"Medium","Low"))</f>
        <v>Low</v>
      </c>
      <c r="Q836" s="11" t="str">
        <f>PROPER(Sales_Data[[#This Row],[Month Name]])</f>
        <v>Abril</v>
      </c>
      <c r="R836" s="11" t="str">
        <f>PROPER(Sales_Data[[#This Row],[Sales Manager]])</f>
        <v>Liam Lee</v>
      </c>
    </row>
    <row r="837" spans="1:18" hidden="1" x14ac:dyDescent="0.25">
      <c r="A837">
        <v>10836</v>
      </c>
      <c r="B837">
        <v>2021</v>
      </c>
      <c r="C837" t="s">
        <v>69</v>
      </c>
      <c r="D837" s="8">
        <v>44301</v>
      </c>
      <c r="E837" t="s">
        <v>14</v>
      </c>
      <c r="F837" t="s">
        <v>12</v>
      </c>
      <c r="G837" t="s">
        <v>17</v>
      </c>
      <c r="H837" s="9">
        <v>16</v>
      </c>
      <c r="I837" s="9">
        <v>261</v>
      </c>
      <c r="J837" s="10">
        <v>65250</v>
      </c>
      <c r="K837" s="10">
        <v>25447.5</v>
      </c>
      <c r="L837">
        <v>16</v>
      </c>
      <c r="M837" s="8">
        <v>44287</v>
      </c>
      <c r="N837" s="23">
        <v>3.2868084133228301E-4</v>
      </c>
      <c r="O837" s="10" t="str">
        <f>IF(Sales_Data[[#This Row],[Total Profit]]&gt;0,"Profitable","Loss")</f>
        <v>Profitable</v>
      </c>
      <c r="P837" s="10" t="str">
        <f>IF(Sales_Data[[#This Row],[Total Profit]]&gt;100000,"High Value",IF(Sales_Data[[#This Row],[Total Profit]]&gt;60000,"Medium","Low"))</f>
        <v>Low</v>
      </c>
      <c r="Q837" s="11" t="str">
        <f>PROPER(Sales_Data[[#This Row],[Month Name]])</f>
        <v>Abril</v>
      </c>
      <c r="R837" s="11" t="str">
        <f>PROPER(Sales_Data[[#This Row],[Sales Manager]])</f>
        <v>Emily White</v>
      </c>
    </row>
    <row r="838" spans="1:18" hidden="1" x14ac:dyDescent="0.25">
      <c r="A838">
        <v>10837</v>
      </c>
      <c r="B838">
        <v>2021</v>
      </c>
      <c r="C838" t="s">
        <v>69</v>
      </c>
      <c r="D838" s="8">
        <v>44302</v>
      </c>
      <c r="E838" t="s">
        <v>11</v>
      </c>
      <c r="F838" t="s">
        <v>18</v>
      </c>
      <c r="G838" t="s">
        <v>13</v>
      </c>
      <c r="H838" s="9">
        <v>7</v>
      </c>
      <c r="I838" s="9">
        <v>486</v>
      </c>
      <c r="J838" s="10">
        <v>364500</v>
      </c>
      <c r="K838" s="10">
        <v>120285</v>
      </c>
      <c r="L838">
        <v>16</v>
      </c>
      <c r="M838" s="8">
        <v>44287</v>
      </c>
      <c r="N838" s="23">
        <v>1.83607918261482E-3</v>
      </c>
      <c r="O838" s="10" t="str">
        <f>IF(Sales_Data[[#This Row],[Total Profit]]&gt;0,"Profitable","Loss")</f>
        <v>Profitable</v>
      </c>
      <c r="P838" s="10" t="str">
        <f>IF(Sales_Data[[#This Row],[Total Profit]]&gt;100000,"High Value",IF(Sales_Data[[#This Row],[Total Profit]]&gt;60000,"Medium","Low"))</f>
        <v>High Value</v>
      </c>
      <c r="Q838" s="11" t="str">
        <f>PROPER(Sales_Data[[#This Row],[Month Name]])</f>
        <v>Abril</v>
      </c>
      <c r="R838" s="11" t="str">
        <f>PROPER(Sales_Data[[#This Row],[Sales Manager]])</f>
        <v>Jane Doe</v>
      </c>
    </row>
    <row r="839" spans="1:18" hidden="1" x14ac:dyDescent="0.25">
      <c r="A839">
        <v>10838</v>
      </c>
      <c r="B839">
        <v>2021</v>
      </c>
      <c r="C839" t="s">
        <v>69</v>
      </c>
      <c r="D839" s="8">
        <v>44303</v>
      </c>
      <c r="E839" t="s">
        <v>14</v>
      </c>
      <c r="F839" t="s">
        <v>12</v>
      </c>
      <c r="G839" t="s">
        <v>13</v>
      </c>
      <c r="H839" s="9">
        <v>10</v>
      </c>
      <c r="I839" s="9">
        <v>105</v>
      </c>
      <c r="J839" s="10">
        <v>78750</v>
      </c>
      <c r="K839" s="10">
        <v>33075</v>
      </c>
      <c r="L839">
        <v>16</v>
      </c>
      <c r="M839" s="8">
        <v>44287</v>
      </c>
      <c r="N839" s="23">
        <v>3.9668377402172101E-4</v>
      </c>
      <c r="O839" s="10" t="str">
        <f>IF(Sales_Data[[#This Row],[Total Profit]]&gt;0,"Profitable","Loss")</f>
        <v>Profitable</v>
      </c>
      <c r="P839" s="10" t="str">
        <f>IF(Sales_Data[[#This Row],[Total Profit]]&gt;100000,"High Value",IF(Sales_Data[[#This Row],[Total Profit]]&gt;60000,"Medium","Low"))</f>
        <v>Low</v>
      </c>
      <c r="Q839" s="11" t="str">
        <f>PROPER(Sales_Data[[#This Row],[Month Name]])</f>
        <v>Abril</v>
      </c>
      <c r="R839" s="11" t="str">
        <f>PROPER(Sales_Data[[#This Row],[Sales Manager]])</f>
        <v>Emily White</v>
      </c>
    </row>
    <row r="840" spans="1:18" hidden="1" x14ac:dyDescent="0.25">
      <c r="A840">
        <v>10839</v>
      </c>
      <c r="B840">
        <v>2021</v>
      </c>
      <c r="C840" t="s">
        <v>69</v>
      </c>
      <c r="D840" s="8">
        <v>44304</v>
      </c>
      <c r="E840" t="s">
        <v>11</v>
      </c>
      <c r="F840" t="s">
        <v>21</v>
      </c>
      <c r="G840" t="s">
        <v>23</v>
      </c>
      <c r="H840" s="9">
        <v>25</v>
      </c>
      <c r="I840" s="9">
        <v>258</v>
      </c>
      <c r="J840" s="10">
        <v>90300</v>
      </c>
      <c r="K840" s="10">
        <v>9030</v>
      </c>
      <c r="L840">
        <v>17</v>
      </c>
      <c r="M840" s="8">
        <v>44287</v>
      </c>
      <c r="N840" s="23">
        <v>4.5486406087823998E-4</v>
      </c>
      <c r="O840" s="10" t="str">
        <f>IF(Sales_Data[[#This Row],[Total Profit]]&gt;0,"Profitable","Loss")</f>
        <v>Profitable</v>
      </c>
      <c r="P840" s="10" t="str">
        <f>IF(Sales_Data[[#This Row],[Total Profit]]&gt;100000,"High Value",IF(Sales_Data[[#This Row],[Total Profit]]&gt;60000,"Medium","Low"))</f>
        <v>Low</v>
      </c>
      <c r="Q840" s="11" t="str">
        <f>PROPER(Sales_Data[[#This Row],[Month Name]])</f>
        <v>Abril</v>
      </c>
      <c r="R840" s="11" t="str">
        <f>PROPER(Sales_Data[[#This Row],[Sales Manager]])</f>
        <v>John Smith</v>
      </c>
    </row>
    <row r="841" spans="1:18" hidden="1" x14ac:dyDescent="0.25">
      <c r="A841">
        <v>10840</v>
      </c>
      <c r="B841">
        <v>2021</v>
      </c>
      <c r="C841" t="s">
        <v>69</v>
      </c>
      <c r="D841" s="8">
        <v>44305</v>
      </c>
      <c r="E841" t="s">
        <v>11</v>
      </c>
      <c r="F841" t="s">
        <v>18</v>
      </c>
      <c r="G841" t="s">
        <v>13</v>
      </c>
      <c r="H841" s="9">
        <v>13</v>
      </c>
      <c r="I841" s="9">
        <v>201</v>
      </c>
      <c r="J841" s="10">
        <v>150750</v>
      </c>
      <c r="K841" s="10">
        <v>60300</v>
      </c>
      <c r="L841">
        <v>17</v>
      </c>
      <c r="M841" s="8">
        <v>44287</v>
      </c>
      <c r="N841" s="23">
        <v>7.5936608169872302E-4</v>
      </c>
      <c r="O841" s="10" t="str">
        <f>IF(Sales_Data[[#This Row],[Total Profit]]&gt;0,"Profitable","Loss")</f>
        <v>Profitable</v>
      </c>
      <c r="P841" s="10" t="str">
        <f>IF(Sales_Data[[#This Row],[Total Profit]]&gt;100000,"High Value",IF(Sales_Data[[#This Row],[Total Profit]]&gt;60000,"Medium","Low"))</f>
        <v>Medium</v>
      </c>
      <c r="Q841" s="11" t="str">
        <f>PROPER(Sales_Data[[#This Row],[Month Name]])</f>
        <v>Abril</v>
      </c>
      <c r="R841" s="11" t="str">
        <f>PROPER(Sales_Data[[#This Row],[Sales Manager]])</f>
        <v>Jane Doe</v>
      </c>
    </row>
    <row r="842" spans="1:18" hidden="1" x14ac:dyDescent="0.25">
      <c r="A842">
        <v>10841</v>
      </c>
      <c r="B842">
        <v>2021</v>
      </c>
      <c r="C842" t="s">
        <v>69</v>
      </c>
      <c r="D842" s="8">
        <v>44306</v>
      </c>
      <c r="E842" t="s">
        <v>11</v>
      </c>
      <c r="F842" t="s">
        <v>12</v>
      </c>
      <c r="G842" t="s">
        <v>20</v>
      </c>
      <c r="H842" s="9">
        <v>11</v>
      </c>
      <c r="I842" s="9">
        <v>299</v>
      </c>
      <c r="J842" s="10">
        <v>254150</v>
      </c>
      <c r="K842" s="10">
        <v>40664</v>
      </c>
      <c r="L842">
        <v>17</v>
      </c>
      <c r="M842" s="8">
        <v>44287</v>
      </c>
      <c r="N842" s="23">
        <v>1.28021817355708E-3</v>
      </c>
      <c r="O842" s="10" t="str">
        <f>IF(Sales_Data[[#This Row],[Total Profit]]&gt;0,"Profitable","Loss")</f>
        <v>Profitable</v>
      </c>
      <c r="P842" s="10" t="str">
        <f>IF(Sales_Data[[#This Row],[Total Profit]]&gt;100000,"High Value",IF(Sales_Data[[#This Row],[Total Profit]]&gt;60000,"Medium","Low"))</f>
        <v>Low</v>
      </c>
      <c r="Q842" s="11" t="str">
        <f>PROPER(Sales_Data[[#This Row],[Month Name]])</f>
        <v>Abril</v>
      </c>
      <c r="R842" s="11" t="str">
        <f>PROPER(Sales_Data[[#This Row],[Sales Manager]])</f>
        <v>Emily White</v>
      </c>
    </row>
    <row r="843" spans="1:18" hidden="1" x14ac:dyDescent="0.25">
      <c r="A843">
        <v>10842</v>
      </c>
      <c r="B843">
        <v>2021</v>
      </c>
      <c r="C843" t="s">
        <v>69</v>
      </c>
      <c r="D843" s="8">
        <v>44307</v>
      </c>
      <c r="E843" t="s">
        <v>22</v>
      </c>
      <c r="F843" t="s">
        <v>12</v>
      </c>
      <c r="G843" t="s">
        <v>15</v>
      </c>
      <c r="H843" s="9">
        <v>12</v>
      </c>
      <c r="I843" s="9">
        <v>410</v>
      </c>
      <c r="J843" s="10">
        <v>205000</v>
      </c>
      <c r="K843" s="10">
        <v>43050</v>
      </c>
      <c r="L843">
        <v>17</v>
      </c>
      <c r="M843" s="8">
        <v>44287</v>
      </c>
      <c r="N843" s="23">
        <v>1.0326371260248001E-3</v>
      </c>
      <c r="O843" s="10" t="str">
        <f>IF(Sales_Data[[#This Row],[Total Profit]]&gt;0,"Profitable","Loss")</f>
        <v>Profitable</v>
      </c>
      <c r="P843" s="10" t="str">
        <f>IF(Sales_Data[[#This Row],[Total Profit]]&gt;100000,"High Value",IF(Sales_Data[[#This Row],[Total Profit]]&gt;60000,"Medium","Low"))</f>
        <v>Low</v>
      </c>
      <c r="Q843" s="11" t="str">
        <f>PROPER(Sales_Data[[#This Row],[Month Name]])</f>
        <v>Abril</v>
      </c>
      <c r="R843" s="11" t="str">
        <f>PROPER(Sales_Data[[#This Row],[Sales Manager]])</f>
        <v>Emily White</v>
      </c>
    </row>
    <row r="844" spans="1:18" hidden="1" x14ac:dyDescent="0.25">
      <c r="A844">
        <v>10843</v>
      </c>
      <c r="B844">
        <v>2021</v>
      </c>
      <c r="C844" t="s">
        <v>69</v>
      </c>
      <c r="D844" s="8">
        <v>44308</v>
      </c>
      <c r="E844" t="s">
        <v>14</v>
      </c>
      <c r="F844" t="s">
        <v>24</v>
      </c>
      <c r="G844" t="s">
        <v>13</v>
      </c>
      <c r="H844" s="9">
        <v>13</v>
      </c>
      <c r="I844" s="9">
        <v>179</v>
      </c>
      <c r="J844" s="10">
        <v>134250</v>
      </c>
      <c r="K844" s="10">
        <v>34905</v>
      </c>
      <c r="L844">
        <v>17</v>
      </c>
      <c r="M844" s="8">
        <v>44287</v>
      </c>
      <c r="N844" s="23">
        <v>6.7625138618940999E-4</v>
      </c>
      <c r="O844" s="10" t="str">
        <f>IF(Sales_Data[[#This Row],[Total Profit]]&gt;0,"Profitable","Loss")</f>
        <v>Profitable</v>
      </c>
      <c r="P844" s="10" t="str">
        <f>IF(Sales_Data[[#This Row],[Total Profit]]&gt;100000,"High Value",IF(Sales_Data[[#This Row],[Total Profit]]&gt;60000,"Medium","Low"))</f>
        <v>Low</v>
      </c>
      <c r="Q844" s="11" t="str">
        <f>PROPER(Sales_Data[[#This Row],[Month Name]])</f>
        <v>Abril</v>
      </c>
      <c r="R844" s="11" t="str">
        <f>PROPER(Sales_Data[[#This Row],[Sales Manager]])</f>
        <v>Liam Lee</v>
      </c>
    </row>
    <row r="845" spans="1:18" hidden="1" x14ac:dyDescent="0.25">
      <c r="A845">
        <v>10844</v>
      </c>
      <c r="B845">
        <v>2021</v>
      </c>
      <c r="C845" t="s">
        <v>69</v>
      </c>
      <c r="D845" s="8">
        <v>44309</v>
      </c>
      <c r="E845" t="s">
        <v>22</v>
      </c>
      <c r="F845" t="s">
        <v>21</v>
      </c>
      <c r="G845" t="s">
        <v>20</v>
      </c>
      <c r="H845" s="9">
        <v>18</v>
      </c>
      <c r="I845" s="9">
        <v>288</v>
      </c>
      <c r="J845" s="10">
        <v>244800</v>
      </c>
      <c r="K845" s="10">
        <v>63648</v>
      </c>
      <c r="L845">
        <v>17</v>
      </c>
      <c r="M845" s="8">
        <v>44287</v>
      </c>
      <c r="N845" s="23">
        <v>1.2331198461018099E-3</v>
      </c>
      <c r="O845" s="10" t="str">
        <f>IF(Sales_Data[[#This Row],[Total Profit]]&gt;0,"Profitable","Loss")</f>
        <v>Profitable</v>
      </c>
      <c r="P845" s="10" t="str">
        <f>IF(Sales_Data[[#This Row],[Total Profit]]&gt;100000,"High Value",IF(Sales_Data[[#This Row],[Total Profit]]&gt;60000,"Medium","Low"))</f>
        <v>Medium</v>
      </c>
      <c r="Q845" s="11" t="str">
        <f>PROPER(Sales_Data[[#This Row],[Month Name]])</f>
        <v>Abril</v>
      </c>
      <c r="R845" s="11" t="str">
        <f>PROPER(Sales_Data[[#This Row],[Sales Manager]])</f>
        <v>John Smith</v>
      </c>
    </row>
    <row r="846" spans="1:18" hidden="1" x14ac:dyDescent="0.25">
      <c r="A846">
        <v>10845</v>
      </c>
      <c r="B846">
        <v>2021</v>
      </c>
      <c r="C846" t="s">
        <v>69</v>
      </c>
      <c r="D846" s="8">
        <v>44310</v>
      </c>
      <c r="E846" t="s">
        <v>25</v>
      </c>
      <c r="F846" t="s">
        <v>21</v>
      </c>
      <c r="G846" t="s">
        <v>20</v>
      </c>
      <c r="H846" s="9">
        <v>7</v>
      </c>
      <c r="I846" s="9">
        <v>257</v>
      </c>
      <c r="J846" s="10">
        <v>218450</v>
      </c>
      <c r="K846" s="10">
        <v>21845</v>
      </c>
      <c r="L846">
        <v>17</v>
      </c>
      <c r="M846" s="8">
        <v>44287</v>
      </c>
      <c r="N846" s="23">
        <v>1.10038819600057E-3</v>
      </c>
      <c r="O846" s="10" t="str">
        <f>IF(Sales_Data[[#This Row],[Total Profit]]&gt;0,"Profitable","Loss")</f>
        <v>Profitable</v>
      </c>
      <c r="P846" s="10" t="str">
        <f>IF(Sales_Data[[#This Row],[Total Profit]]&gt;100000,"High Value",IF(Sales_Data[[#This Row],[Total Profit]]&gt;60000,"Medium","Low"))</f>
        <v>Low</v>
      </c>
      <c r="Q846" s="11" t="str">
        <f>PROPER(Sales_Data[[#This Row],[Month Name]])</f>
        <v>Abril</v>
      </c>
      <c r="R846" s="11" t="str">
        <f>PROPER(Sales_Data[[#This Row],[Sales Manager]])</f>
        <v>John Smith</v>
      </c>
    </row>
    <row r="847" spans="1:18" hidden="1" x14ac:dyDescent="0.25">
      <c r="A847">
        <v>10846</v>
      </c>
      <c r="B847">
        <v>2021</v>
      </c>
      <c r="C847" t="s">
        <v>69</v>
      </c>
      <c r="D847" s="8">
        <v>44311</v>
      </c>
      <c r="E847" t="s">
        <v>11</v>
      </c>
      <c r="F847" t="s">
        <v>24</v>
      </c>
      <c r="G847" t="s">
        <v>13</v>
      </c>
      <c r="H847" s="9">
        <v>7</v>
      </c>
      <c r="I847" s="9">
        <v>306</v>
      </c>
      <c r="J847" s="10">
        <v>229500</v>
      </c>
      <c r="K847" s="10">
        <v>29835</v>
      </c>
      <c r="L847">
        <v>18</v>
      </c>
      <c r="M847" s="8">
        <v>44287</v>
      </c>
      <c r="N847" s="23">
        <v>1.15604985572044E-3</v>
      </c>
      <c r="O847" s="10" t="str">
        <f>IF(Sales_Data[[#This Row],[Total Profit]]&gt;0,"Profitable","Loss")</f>
        <v>Profitable</v>
      </c>
      <c r="P847" s="10" t="str">
        <f>IF(Sales_Data[[#This Row],[Total Profit]]&gt;100000,"High Value",IF(Sales_Data[[#This Row],[Total Profit]]&gt;60000,"Medium","Low"))</f>
        <v>Low</v>
      </c>
      <c r="Q847" s="11" t="str">
        <f>PROPER(Sales_Data[[#This Row],[Month Name]])</f>
        <v>Abril</v>
      </c>
      <c r="R847" s="11" t="str">
        <f>PROPER(Sales_Data[[#This Row],[Sales Manager]])</f>
        <v>Liam Lee</v>
      </c>
    </row>
    <row r="848" spans="1:18" hidden="1" x14ac:dyDescent="0.25">
      <c r="A848">
        <v>10847</v>
      </c>
      <c r="B848">
        <v>2021</v>
      </c>
      <c r="C848" t="s">
        <v>69</v>
      </c>
      <c r="D848" s="8">
        <v>44312</v>
      </c>
      <c r="E848" t="s">
        <v>19</v>
      </c>
      <c r="F848" t="s">
        <v>21</v>
      </c>
      <c r="G848" t="s">
        <v>20</v>
      </c>
      <c r="H848" s="9">
        <v>3</v>
      </c>
      <c r="I848" s="9">
        <v>163</v>
      </c>
      <c r="J848" s="10">
        <v>138550</v>
      </c>
      <c r="K848" s="10">
        <v>20782.5</v>
      </c>
      <c r="L848">
        <v>18</v>
      </c>
      <c r="M848" s="8">
        <v>44287</v>
      </c>
      <c r="N848" s="23">
        <v>6.9791157956456502E-4</v>
      </c>
      <c r="O848" s="10" t="str">
        <f>IF(Sales_Data[[#This Row],[Total Profit]]&gt;0,"Profitable","Loss")</f>
        <v>Profitable</v>
      </c>
      <c r="P848" s="10" t="str">
        <f>IF(Sales_Data[[#This Row],[Total Profit]]&gt;100000,"High Value",IF(Sales_Data[[#This Row],[Total Profit]]&gt;60000,"Medium","Low"))</f>
        <v>Low</v>
      </c>
      <c r="Q848" s="11" t="str">
        <f>PROPER(Sales_Data[[#This Row],[Month Name]])</f>
        <v>Abril</v>
      </c>
      <c r="R848" s="11" t="str">
        <f>PROPER(Sales_Data[[#This Row],[Sales Manager]])</f>
        <v>John Smith</v>
      </c>
    </row>
    <row r="849" spans="1:18" hidden="1" x14ac:dyDescent="0.25">
      <c r="A849">
        <v>10848</v>
      </c>
      <c r="B849">
        <v>2021</v>
      </c>
      <c r="C849" t="s">
        <v>69</v>
      </c>
      <c r="D849" s="8">
        <v>44313</v>
      </c>
      <c r="E849" t="s">
        <v>22</v>
      </c>
      <c r="F849" t="s">
        <v>16</v>
      </c>
      <c r="G849" t="s">
        <v>23</v>
      </c>
      <c r="H849" s="9">
        <v>19</v>
      </c>
      <c r="I849" s="9">
        <v>250</v>
      </c>
      <c r="J849" s="10">
        <v>87500</v>
      </c>
      <c r="K849" s="10">
        <v>30624.999999999996</v>
      </c>
      <c r="L849">
        <v>18</v>
      </c>
      <c r="M849" s="8">
        <v>44287</v>
      </c>
      <c r="N849" s="23">
        <v>4.4075974891302398E-4</v>
      </c>
      <c r="O849" s="10" t="str">
        <f>IF(Sales_Data[[#This Row],[Total Profit]]&gt;0,"Profitable","Loss")</f>
        <v>Profitable</v>
      </c>
      <c r="P849" s="10" t="str">
        <f>IF(Sales_Data[[#This Row],[Total Profit]]&gt;100000,"High Value",IF(Sales_Data[[#This Row],[Total Profit]]&gt;60000,"Medium","Low"))</f>
        <v>Low</v>
      </c>
      <c r="Q849" s="11" t="str">
        <f>PROPER(Sales_Data[[#This Row],[Month Name]])</f>
        <v>Abril</v>
      </c>
      <c r="R849" s="11" t="str">
        <f>PROPER(Sales_Data[[#This Row],[Sales Manager]])</f>
        <v>James Brown</v>
      </c>
    </row>
    <row r="850" spans="1:18" hidden="1" x14ac:dyDescent="0.25">
      <c r="A850">
        <v>10849</v>
      </c>
      <c r="B850">
        <v>2021</v>
      </c>
      <c r="C850" t="s">
        <v>69</v>
      </c>
      <c r="D850" s="8">
        <v>44314</v>
      </c>
      <c r="E850" t="s">
        <v>14</v>
      </c>
      <c r="F850" t="s">
        <v>16</v>
      </c>
      <c r="G850" t="s">
        <v>17</v>
      </c>
      <c r="H850" s="9">
        <v>17</v>
      </c>
      <c r="I850" s="9">
        <v>241</v>
      </c>
      <c r="J850" s="10">
        <v>60250</v>
      </c>
      <c r="K850" s="10">
        <v>23497.5</v>
      </c>
      <c r="L850">
        <v>18</v>
      </c>
      <c r="M850" s="8">
        <v>44287</v>
      </c>
      <c r="N850" s="23">
        <v>3.0349456996582499E-4</v>
      </c>
      <c r="O850" s="10" t="str">
        <f>IF(Sales_Data[[#This Row],[Total Profit]]&gt;0,"Profitable","Loss")</f>
        <v>Profitable</v>
      </c>
      <c r="P850" s="10" t="str">
        <f>IF(Sales_Data[[#This Row],[Total Profit]]&gt;100000,"High Value",IF(Sales_Data[[#This Row],[Total Profit]]&gt;60000,"Medium","Low"))</f>
        <v>Low</v>
      </c>
      <c r="Q850" s="11" t="str">
        <f>PROPER(Sales_Data[[#This Row],[Month Name]])</f>
        <v>Abril</v>
      </c>
      <c r="R850" s="11" t="str">
        <f>PROPER(Sales_Data[[#This Row],[Sales Manager]])</f>
        <v>James Brown</v>
      </c>
    </row>
    <row r="851" spans="1:18" hidden="1" x14ac:dyDescent="0.25">
      <c r="A851">
        <v>10850</v>
      </c>
      <c r="B851">
        <v>2021</v>
      </c>
      <c r="C851" t="s">
        <v>69</v>
      </c>
      <c r="D851" s="8">
        <v>44315</v>
      </c>
      <c r="E851" t="s">
        <v>22</v>
      </c>
      <c r="F851" t="s">
        <v>21</v>
      </c>
      <c r="G851" t="s">
        <v>20</v>
      </c>
      <c r="H851" s="9">
        <v>9</v>
      </c>
      <c r="I851" s="9">
        <v>129</v>
      </c>
      <c r="J851" s="10">
        <v>109650</v>
      </c>
      <c r="K851" s="10">
        <v>44956.5</v>
      </c>
      <c r="L851">
        <v>18</v>
      </c>
      <c r="M851" s="8">
        <v>44287</v>
      </c>
      <c r="N851" s="23">
        <v>5.5233493106643502E-4</v>
      </c>
      <c r="O851" s="10" t="str">
        <f>IF(Sales_Data[[#This Row],[Total Profit]]&gt;0,"Profitable","Loss")</f>
        <v>Profitable</v>
      </c>
      <c r="P851" s="10" t="str">
        <f>IF(Sales_Data[[#This Row],[Total Profit]]&gt;100000,"High Value",IF(Sales_Data[[#This Row],[Total Profit]]&gt;60000,"Medium","Low"))</f>
        <v>Low</v>
      </c>
      <c r="Q851" s="11" t="str">
        <f>PROPER(Sales_Data[[#This Row],[Month Name]])</f>
        <v>Abril</v>
      </c>
      <c r="R851" s="11" t="str">
        <f>PROPER(Sales_Data[[#This Row],[Sales Manager]])</f>
        <v>John Smith</v>
      </c>
    </row>
    <row r="852" spans="1:18" hidden="1" x14ac:dyDescent="0.25">
      <c r="A852">
        <v>10851</v>
      </c>
      <c r="B852">
        <v>2021</v>
      </c>
      <c r="C852" t="s">
        <v>69</v>
      </c>
      <c r="D852" s="8">
        <v>44316</v>
      </c>
      <c r="E852" t="s">
        <v>25</v>
      </c>
      <c r="F852" t="s">
        <v>24</v>
      </c>
      <c r="G852" t="s">
        <v>15</v>
      </c>
      <c r="H852" s="9">
        <v>8</v>
      </c>
      <c r="I852" s="9">
        <v>96</v>
      </c>
      <c r="J852" s="10">
        <v>48000</v>
      </c>
      <c r="K852" s="10">
        <v>8640</v>
      </c>
      <c r="L852">
        <v>18</v>
      </c>
      <c r="M852" s="8">
        <v>44287</v>
      </c>
      <c r="N852" s="23">
        <v>2.41788205118001E-4</v>
      </c>
      <c r="O852" s="10" t="str">
        <f>IF(Sales_Data[[#This Row],[Total Profit]]&gt;0,"Profitable","Loss")</f>
        <v>Profitable</v>
      </c>
      <c r="P852" s="10" t="str">
        <f>IF(Sales_Data[[#This Row],[Total Profit]]&gt;100000,"High Value",IF(Sales_Data[[#This Row],[Total Profit]]&gt;60000,"Medium","Low"))</f>
        <v>Low</v>
      </c>
      <c r="Q852" s="11" t="str">
        <f>PROPER(Sales_Data[[#This Row],[Month Name]])</f>
        <v>Abril</v>
      </c>
      <c r="R852" s="11" t="str">
        <f>PROPER(Sales_Data[[#This Row],[Sales Manager]])</f>
        <v>Liam Lee</v>
      </c>
    </row>
    <row r="853" spans="1:18" hidden="1" x14ac:dyDescent="0.25">
      <c r="A853">
        <v>10852</v>
      </c>
      <c r="B853">
        <v>2021</v>
      </c>
      <c r="C853" t="s">
        <v>70</v>
      </c>
      <c r="D853" s="8">
        <v>44317</v>
      </c>
      <c r="E853" t="s">
        <v>25</v>
      </c>
      <c r="F853" t="s">
        <v>16</v>
      </c>
      <c r="G853" t="s">
        <v>13</v>
      </c>
      <c r="H853" s="9">
        <v>3</v>
      </c>
      <c r="I853" s="9">
        <v>71</v>
      </c>
      <c r="J853" s="10">
        <v>53250</v>
      </c>
      <c r="K853" s="10">
        <v>14377.500000000002</v>
      </c>
      <c r="L853">
        <v>18</v>
      </c>
      <c r="M853" s="8">
        <v>44287</v>
      </c>
      <c r="N853" s="23">
        <v>2.6823379005278301E-4</v>
      </c>
      <c r="O853" s="10" t="str">
        <f>IF(Sales_Data[[#This Row],[Total Profit]]&gt;0,"Profitable","Loss")</f>
        <v>Profitable</v>
      </c>
      <c r="P853" s="10" t="str">
        <f>IF(Sales_Data[[#This Row],[Total Profit]]&gt;100000,"High Value",IF(Sales_Data[[#This Row],[Total Profit]]&gt;60000,"Medium","Low"))</f>
        <v>Low</v>
      </c>
      <c r="Q853" s="11" t="str">
        <f>PROPER(Sales_Data[[#This Row],[Month Name]])</f>
        <v>Maio</v>
      </c>
      <c r="R853" s="11" t="str">
        <f>PROPER(Sales_Data[[#This Row],[Sales Manager]])</f>
        <v>James Brown</v>
      </c>
    </row>
    <row r="854" spans="1:18" hidden="1" x14ac:dyDescent="0.25">
      <c r="A854">
        <v>10853</v>
      </c>
      <c r="B854">
        <v>2021</v>
      </c>
      <c r="C854" t="s">
        <v>70</v>
      </c>
      <c r="D854" s="8">
        <v>44318</v>
      </c>
      <c r="E854" t="s">
        <v>19</v>
      </c>
      <c r="F854" t="s">
        <v>24</v>
      </c>
      <c r="G854" t="s">
        <v>13</v>
      </c>
      <c r="H854" s="9">
        <v>2</v>
      </c>
      <c r="I854" s="9">
        <v>146</v>
      </c>
      <c r="J854" s="10">
        <v>109500</v>
      </c>
      <c r="K854" s="10">
        <v>38325</v>
      </c>
      <c r="L854">
        <v>19</v>
      </c>
      <c r="M854" s="8">
        <v>44287</v>
      </c>
      <c r="N854" s="23">
        <v>5.5157934292544104E-4</v>
      </c>
      <c r="O854" s="10" t="str">
        <f>IF(Sales_Data[[#This Row],[Total Profit]]&gt;0,"Profitable","Loss")</f>
        <v>Profitable</v>
      </c>
      <c r="P854" s="10" t="str">
        <f>IF(Sales_Data[[#This Row],[Total Profit]]&gt;100000,"High Value",IF(Sales_Data[[#This Row],[Total Profit]]&gt;60000,"Medium","Low"))</f>
        <v>Low</v>
      </c>
      <c r="Q854" s="11" t="str">
        <f>PROPER(Sales_Data[[#This Row],[Month Name]])</f>
        <v>Maio</v>
      </c>
      <c r="R854" s="11" t="str">
        <f>PROPER(Sales_Data[[#This Row],[Sales Manager]])</f>
        <v>Liam Lee</v>
      </c>
    </row>
    <row r="855" spans="1:18" hidden="1" x14ac:dyDescent="0.25">
      <c r="A855">
        <v>10854</v>
      </c>
      <c r="B855">
        <v>2021</v>
      </c>
      <c r="C855" t="s">
        <v>70</v>
      </c>
      <c r="D855" s="8">
        <v>44319</v>
      </c>
      <c r="E855" t="s">
        <v>22</v>
      </c>
      <c r="F855" t="s">
        <v>24</v>
      </c>
      <c r="G855" t="s">
        <v>23</v>
      </c>
      <c r="H855" s="9">
        <v>3</v>
      </c>
      <c r="I855" s="9">
        <v>37</v>
      </c>
      <c r="J855" s="10">
        <v>12950</v>
      </c>
      <c r="K855" s="10">
        <v>5050.5</v>
      </c>
      <c r="L855">
        <v>19</v>
      </c>
      <c r="M855" s="8">
        <v>44287</v>
      </c>
      <c r="N855" s="23">
        <v>6.5232442839127498E-5</v>
      </c>
      <c r="O855" s="10" t="str">
        <f>IF(Sales_Data[[#This Row],[Total Profit]]&gt;0,"Profitable","Loss")</f>
        <v>Profitable</v>
      </c>
      <c r="P855" s="10" t="str">
        <f>IF(Sales_Data[[#This Row],[Total Profit]]&gt;100000,"High Value",IF(Sales_Data[[#This Row],[Total Profit]]&gt;60000,"Medium","Low"))</f>
        <v>Low</v>
      </c>
      <c r="Q855" s="11" t="str">
        <f>PROPER(Sales_Data[[#This Row],[Month Name]])</f>
        <v>Maio</v>
      </c>
      <c r="R855" s="11" t="str">
        <f>PROPER(Sales_Data[[#This Row],[Sales Manager]])</f>
        <v>Liam Lee</v>
      </c>
    </row>
    <row r="856" spans="1:18" hidden="1" x14ac:dyDescent="0.25">
      <c r="A856">
        <v>10855</v>
      </c>
      <c r="B856">
        <v>2021</v>
      </c>
      <c r="C856" t="s">
        <v>70</v>
      </c>
      <c r="D856" s="8">
        <v>44320</v>
      </c>
      <c r="E856" t="s">
        <v>19</v>
      </c>
      <c r="F856" t="s">
        <v>24</v>
      </c>
      <c r="G856" t="s">
        <v>13</v>
      </c>
      <c r="H856" s="9">
        <v>4</v>
      </c>
      <c r="I856" s="9">
        <v>158</v>
      </c>
      <c r="J856" s="10">
        <v>118500</v>
      </c>
      <c r="K856" s="10">
        <v>40290</v>
      </c>
      <c r="L856">
        <v>19</v>
      </c>
      <c r="M856" s="8">
        <v>44287</v>
      </c>
      <c r="N856" s="23">
        <v>5.9691463138506601E-4</v>
      </c>
      <c r="O856" s="10" t="str">
        <f>IF(Sales_Data[[#This Row],[Total Profit]]&gt;0,"Profitable","Loss")</f>
        <v>Profitable</v>
      </c>
      <c r="P856" s="10" t="str">
        <f>IF(Sales_Data[[#This Row],[Total Profit]]&gt;100000,"High Value",IF(Sales_Data[[#This Row],[Total Profit]]&gt;60000,"Medium","Low"))</f>
        <v>Low</v>
      </c>
      <c r="Q856" s="11" t="str">
        <f>PROPER(Sales_Data[[#This Row],[Month Name]])</f>
        <v>Maio</v>
      </c>
      <c r="R856" s="11" t="str">
        <f>PROPER(Sales_Data[[#This Row],[Sales Manager]])</f>
        <v>Liam Lee</v>
      </c>
    </row>
    <row r="857" spans="1:18" hidden="1" x14ac:dyDescent="0.25">
      <c r="A857">
        <v>10856</v>
      </c>
      <c r="B857">
        <v>2021</v>
      </c>
      <c r="C857" t="s">
        <v>70</v>
      </c>
      <c r="D857" s="8">
        <v>44321</v>
      </c>
      <c r="E857" t="s">
        <v>14</v>
      </c>
      <c r="F857" t="s">
        <v>24</v>
      </c>
      <c r="G857" t="s">
        <v>15</v>
      </c>
      <c r="H857" s="9">
        <v>4</v>
      </c>
      <c r="I857" s="9">
        <v>54</v>
      </c>
      <c r="J857" s="10">
        <v>27000</v>
      </c>
      <c r="K857" s="10">
        <v>9990</v>
      </c>
      <c r="L857">
        <v>19</v>
      </c>
      <c r="M857" s="8">
        <v>44287</v>
      </c>
      <c r="N857" s="23">
        <v>1.36005865378876E-4</v>
      </c>
      <c r="O857" s="10" t="str">
        <f>IF(Sales_Data[[#This Row],[Total Profit]]&gt;0,"Profitable","Loss")</f>
        <v>Profitable</v>
      </c>
      <c r="P857" s="10" t="str">
        <f>IF(Sales_Data[[#This Row],[Total Profit]]&gt;100000,"High Value",IF(Sales_Data[[#This Row],[Total Profit]]&gt;60000,"Medium","Low"))</f>
        <v>Low</v>
      </c>
      <c r="Q857" s="11" t="str">
        <f>PROPER(Sales_Data[[#This Row],[Month Name]])</f>
        <v>Maio</v>
      </c>
      <c r="R857" s="11" t="str">
        <f>PROPER(Sales_Data[[#This Row],[Sales Manager]])</f>
        <v>Liam Lee</v>
      </c>
    </row>
    <row r="858" spans="1:18" hidden="1" x14ac:dyDescent="0.25">
      <c r="A858">
        <v>10857</v>
      </c>
      <c r="B858">
        <v>2021</v>
      </c>
      <c r="C858" t="s">
        <v>70</v>
      </c>
      <c r="D858" s="8">
        <v>44322</v>
      </c>
      <c r="E858" t="s">
        <v>11</v>
      </c>
      <c r="F858" t="s">
        <v>12</v>
      </c>
      <c r="G858" t="s">
        <v>13</v>
      </c>
      <c r="H858" s="9">
        <v>22</v>
      </c>
      <c r="I858" s="9">
        <v>419</v>
      </c>
      <c r="J858" s="10">
        <v>314250</v>
      </c>
      <c r="K858" s="10">
        <v>62850</v>
      </c>
      <c r="L858">
        <v>19</v>
      </c>
      <c r="M858" s="8">
        <v>44287</v>
      </c>
      <c r="N858" s="23">
        <v>1.5829571553819201E-3</v>
      </c>
      <c r="O858" s="10" t="str">
        <f>IF(Sales_Data[[#This Row],[Total Profit]]&gt;0,"Profitable","Loss")</f>
        <v>Profitable</v>
      </c>
      <c r="P858" s="10" t="str">
        <f>IF(Sales_Data[[#This Row],[Total Profit]]&gt;100000,"High Value",IF(Sales_Data[[#This Row],[Total Profit]]&gt;60000,"Medium","Low"))</f>
        <v>Medium</v>
      </c>
      <c r="Q858" s="11" t="str">
        <f>PROPER(Sales_Data[[#This Row],[Month Name]])</f>
        <v>Maio</v>
      </c>
      <c r="R858" s="11" t="str">
        <f>PROPER(Sales_Data[[#This Row],[Sales Manager]])</f>
        <v>Emily White</v>
      </c>
    </row>
    <row r="859" spans="1:18" hidden="1" x14ac:dyDescent="0.25">
      <c r="A859">
        <v>10858</v>
      </c>
      <c r="B859">
        <v>2021</v>
      </c>
      <c r="C859" t="s">
        <v>70</v>
      </c>
      <c r="D859" s="8">
        <v>44323</v>
      </c>
      <c r="E859" t="s">
        <v>11</v>
      </c>
      <c r="F859" t="s">
        <v>18</v>
      </c>
      <c r="G859" t="s">
        <v>15</v>
      </c>
      <c r="H859" s="9">
        <v>23</v>
      </c>
      <c r="I859" s="9">
        <v>493</v>
      </c>
      <c r="J859" s="10">
        <v>246500</v>
      </c>
      <c r="K859" s="10">
        <v>64090</v>
      </c>
      <c r="L859">
        <v>19</v>
      </c>
      <c r="M859" s="8">
        <v>44287</v>
      </c>
      <c r="N859" s="23">
        <v>1.2416831783663999E-3</v>
      </c>
      <c r="O859" s="10" t="str">
        <f>IF(Sales_Data[[#This Row],[Total Profit]]&gt;0,"Profitable","Loss")</f>
        <v>Profitable</v>
      </c>
      <c r="P859" s="10" t="str">
        <f>IF(Sales_Data[[#This Row],[Total Profit]]&gt;100000,"High Value",IF(Sales_Data[[#This Row],[Total Profit]]&gt;60000,"Medium","Low"))</f>
        <v>Medium</v>
      </c>
      <c r="Q859" s="11" t="str">
        <f>PROPER(Sales_Data[[#This Row],[Month Name]])</f>
        <v>Maio</v>
      </c>
      <c r="R859" s="11" t="str">
        <f>PROPER(Sales_Data[[#This Row],[Sales Manager]])</f>
        <v>Jane Doe</v>
      </c>
    </row>
    <row r="860" spans="1:18" hidden="1" x14ac:dyDescent="0.25">
      <c r="A860">
        <v>10859</v>
      </c>
      <c r="B860">
        <v>2021</v>
      </c>
      <c r="C860" t="s">
        <v>70</v>
      </c>
      <c r="D860" s="8">
        <v>44324</v>
      </c>
      <c r="E860" t="s">
        <v>14</v>
      </c>
      <c r="F860" t="s">
        <v>18</v>
      </c>
      <c r="G860" t="s">
        <v>15</v>
      </c>
      <c r="H860" s="9">
        <v>33</v>
      </c>
      <c r="I860" s="9">
        <v>480</v>
      </c>
      <c r="J860" s="10">
        <v>240000</v>
      </c>
      <c r="K860" s="10">
        <v>55200</v>
      </c>
      <c r="L860">
        <v>19</v>
      </c>
      <c r="M860" s="8">
        <v>44287</v>
      </c>
      <c r="N860" s="23">
        <v>1.20894102559001E-3</v>
      </c>
      <c r="O860" s="10" t="str">
        <f>IF(Sales_Data[[#This Row],[Total Profit]]&gt;0,"Profitable","Loss")</f>
        <v>Profitable</v>
      </c>
      <c r="P860" s="10" t="str">
        <f>IF(Sales_Data[[#This Row],[Total Profit]]&gt;100000,"High Value",IF(Sales_Data[[#This Row],[Total Profit]]&gt;60000,"Medium","Low"))</f>
        <v>Low</v>
      </c>
      <c r="Q860" s="11" t="str">
        <f>PROPER(Sales_Data[[#This Row],[Month Name]])</f>
        <v>Maio</v>
      </c>
      <c r="R860" s="11" t="str">
        <f>PROPER(Sales_Data[[#This Row],[Sales Manager]])</f>
        <v>Jane Doe</v>
      </c>
    </row>
    <row r="861" spans="1:18" hidden="1" x14ac:dyDescent="0.25">
      <c r="A861">
        <v>10860</v>
      </c>
      <c r="B861">
        <v>2021</v>
      </c>
      <c r="C861" t="s">
        <v>70</v>
      </c>
      <c r="D861" s="8">
        <v>44325</v>
      </c>
      <c r="E861" t="s">
        <v>19</v>
      </c>
      <c r="F861" t="s">
        <v>12</v>
      </c>
      <c r="G861" t="s">
        <v>20</v>
      </c>
      <c r="H861" s="9">
        <v>45</v>
      </c>
      <c r="I861" s="9">
        <v>465</v>
      </c>
      <c r="J861" s="10">
        <v>395250</v>
      </c>
      <c r="K861" s="10">
        <v>71145</v>
      </c>
      <c r="L861">
        <v>20</v>
      </c>
      <c r="M861" s="8">
        <v>44287</v>
      </c>
      <c r="N861" s="23">
        <v>1.9909747515185401E-3</v>
      </c>
      <c r="O861" s="10" t="str">
        <f>IF(Sales_Data[[#This Row],[Total Profit]]&gt;0,"Profitable","Loss")</f>
        <v>Profitable</v>
      </c>
      <c r="P861" s="10" t="str">
        <f>IF(Sales_Data[[#This Row],[Total Profit]]&gt;100000,"High Value",IF(Sales_Data[[#This Row],[Total Profit]]&gt;60000,"Medium","Low"))</f>
        <v>Medium</v>
      </c>
      <c r="Q861" s="11" t="str">
        <f>PROPER(Sales_Data[[#This Row],[Month Name]])</f>
        <v>Maio</v>
      </c>
      <c r="R861" s="11" t="str">
        <f>PROPER(Sales_Data[[#This Row],[Sales Manager]])</f>
        <v>Emily White</v>
      </c>
    </row>
    <row r="862" spans="1:18" hidden="1" x14ac:dyDescent="0.25">
      <c r="A862">
        <v>10861</v>
      </c>
      <c r="B862">
        <v>2021</v>
      </c>
      <c r="C862" t="s">
        <v>70</v>
      </c>
      <c r="D862" s="8">
        <v>44326</v>
      </c>
      <c r="E862" t="s">
        <v>11</v>
      </c>
      <c r="F862" t="s">
        <v>24</v>
      </c>
      <c r="G862" t="s">
        <v>15</v>
      </c>
      <c r="H862" s="9">
        <v>6</v>
      </c>
      <c r="I862" s="9">
        <v>76</v>
      </c>
      <c r="J862" s="10">
        <v>38000</v>
      </c>
      <c r="K862" s="10">
        <v>8740</v>
      </c>
      <c r="L862">
        <v>20</v>
      </c>
      <c r="M862" s="8">
        <v>44287</v>
      </c>
      <c r="N862" s="23">
        <v>1.9141566238508399E-4</v>
      </c>
      <c r="O862" s="10" t="str">
        <f>IF(Sales_Data[[#This Row],[Total Profit]]&gt;0,"Profitable","Loss")</f>
        <v>Profitable</v>
      </c>
      <c r="P862" s="10" t="str">
        <f>IF(Sales_Data[[#This Row],[Total Profit]]&gt;100000,"High Value",IF(Sales_Data[[#This Row],[Total Profit]]&gt;60000,"Medium","Low"))</f>
        <v>Low</v>
      </c>
      <c r="Q862" s="11" t="str">
        <f>PROPER(Sales_Data[[#This Row],[Month Name]])</f>
        <v>Maio</v>
      </c>
      <c r="R862" s="11" t="str">
        <f>PROPER(Sales_Data[[#This Row],[Sales Manager]])</f>
        <v>Liam Lee</v>
      </c>
    </row>
    <row r="863" spans="1:18" hidden="1" x14ac:dyDescent="0.25">
      <c r="A863">
        <v>10862</v>
      </c>
      <c r="B863">
        <v>2021</v>
      </c>
      <c r="C863" t="s">
        <v>70</v>
      </c>
      <c r="D863" s="8">
        <v>44327</v>
      </c>
      <c r="E863" t="s">
        <v>22</v>
      </c>
      <c r="F863" t="s">
        <v>16</v>
      </c>
      <c r="G863" t="s">
        <v>20</v>
      </c>
      <c r="H863" s="9">
        <v>28</v>
      </c>
      <c r="I863" s="9">
        <v>385</v>
      </c>
      <c r="J863" s="10">
        <v>327250</v>
      </c>
      <c r="K863" s="10">
        <v>32725</v>
      </c>
      <c r="L863">
        <v>20</v>
      </c>
      <c r="M863" s="8">
        <v>44287</v>
      </c>
      <c r="N863" s="23">
        <v>1.6484414609347099E-3</v>
      </c>
      <c r="O863" s="10" t="str">
        <f>IF(Sales_Data[[#This Row],[Total Profit]]&gt;0,"Profitable","Loss")</f>
        <v>Profitable</v>
      </c>
      <c r="P863" s="10" t="str">
        <f>IF(Sales_Data[[#This Row],[Total Profit]]&gt;100000,"High Value",IF(Sales_Data[[#This Row],[Total Profit]]&gt;60000,"Medium","Low"))</f>
        <v>Low</v>
      </c>
      <c r="Q863" s="11" t="str">
        <f>PROPER(Sales_Data[[#This Row],[Month Name]])</f>
        <v>Maio</v>
      </c>
      <c r="R863" s="11" t="str">
        <f>PROPER(Sales_Data[[#This Row],[Sales Manager]])</f>
        <v>James Brown</v>
      </c>
    </row>
    <row r="864" spans="1:18" hidden="1" x14ac:dyDescent="0.25">
      <c r="A864">
        <v>10863</v>
      </c>
      <c r="B864">
        <v>2021</v>
      </c>
      <c r="C864" t="s">
        <v>70</v>
      </c>
      <c r="D864" s="8">
        <v>44328</v>
      </c>
      <c r="E864" t="s">
        <v>19</v>
      </c>
      <c r="F864" t="s">
        <v>24</v>
      </c>
      <c r="G864" t="s">
        <v>20</v>
      </c>
      <c r="H864" s="9">
        <v>43</v>
      </c>
      <c r="I864" s="9">
        <v>446</v>
      </c>
      <c r="J864" s="10">
        <v>379100</v>
      </c>
      <c r="K864" s="10">
        <v>64447.000000000007</v>
      </c>
      <c r="L864">
        <v>20</v>
      </c>
      <c r="M864" s="8">
        <v>44287</v>
      </c>
      <c r="N864" s="23">
        <v>1.9096230950048801E-3</v>
      </c>
      <c r="O864" s="10" t="str">
        <f>IF(Sales_Data[[#This Row],[Total Profit]]&gt;0,"Profitable","Loss")</f>
        <v>Profitable</v>
      </c>
      <c r="P864" s="10" t="str">
        <f>IF(Sales_Data[[#This Row],[Total Profit]]&gt;100000,"High Value",IF(Sales_Data[[#This Row],[Total Profit]]&gt;60000,"Medium","Low"))</f>
        <v>Medium</v>
      </c>
      <c r="Q864" s="11" t="str">
        <f>PROPER(Sales_Data[[#This Row],[Month Name]])</f>
        <v>Maio</v>
      </c>
      <c r="R864" s="11" t="str">
        <f>PROPER(Sales_Data[[#This Row],[Sales Manager]])</f>
        <v>Liam Lee</v>
      </c>
    </row>
    <row r="865" spans="1:18" hidden="1" x14ac:dyDescent="0.25">
      <c r="A865">
        <v>10864</v>
      </c>
      <c r="B865">
        <v>2021</v>
      </c>
      <c r="C865" t="s">
        <v>70</v>
      </c>
      <c r="D865" s="8">
        <v>44329</v>
      </c>
      <c r="E865" t="s">
        <v>22</v>
      </c>
      <c r="F865" t="s">
        <v>24</v>
      </c>
      <c r="G865" t="s">
        <v>17</v>
      </c>
      <c r="H865" s="9">
        <v>11</v>
      </c>
      <c r="I865" s="9">
        <v>232</v>
      </c>
      <c r="J865" s="10">
        <v>58000</v>
      </c>
      <c r="K865" s="10">
        <v>12180</v>
      </c>
      <c r="L865">
        <v>20</v>
      </c>
      <c r="M865" s="8">
        <v>44287</v>
      </c>
      <c r="N865" s="23">
        <v>2.9216074785091799E-4</v>
      </c>
      <c r="O865" s="10" t="str">
        <f>IF(Sales_Data[[#This Row],[Total Profit]]&gt;0,"Profitable","Loss")</f>
        <v>Profitable</v>
      </c>
      <c r="P865" s="10" t="str">
        <f>IF(Sales_Data[[#This Row],[Total Profit]]&gt;100000,"High Value",IF(Sales_Data[[#This Row],[Total Profit]]&gt;60000,"Medium","Low"))</f>
        <v>Low</v>
      </c>
      <c r="Q865" s="11" t="str">
        <f>PROPER(Sales_Data[[#This Row],[Month Name]])</f>
        <v>Maio</v>
      </c>
      <c r="R865" s="11" t="str">
        <f>PROPER(Sales_Data[[#This Row],[Sales Manager]])</f>
        <v>Liam Lee</v>
      </c>
    </row>
    <row r="866" spans="1:18" hidden="1" x14ac:dyDescent="0.25">
      <c r="A866">
        <v>10865</v>
      </c>
      <c r="B866">
        <v>2021</v>
      </c>
      <c r="C866" t="s">
        <v>70</v>
      </c>
      <c r="D866" s="8">
        <v>44330</v>
      </c>
      <c r="E866" t="s">
        <v>19</v>
      </c>
      <c r="F866" t="s">
        <v>24</v>
      </c>
      <c r="G866" t="s">
        <v>13</v>
      </c>
      <c r="H866" s="9">
        <v>18</v>
      </c>
      <c r="I866" s="9">
        <v>490</v>
      </c>
      <c r="J866" s="10">
        <v>367500</v>
      </c>
      <c r="K866" s="10">
        <v>147000</v>
      </c>
      <c r="L866">
        <v>20</v>
      </c>
      <c r="M866" s="8">
        <v>44287</v>
      </c>
      <c r="N866" s="23">
        <v>1.8511909454347001E-3</v>
      </c>
      <c r="O866" s="10" t="str">
        <f>IF(Sales_Data[[#This Row],[Total Profit]]&gt;0,"Profitable","Loss")</f>
        <v>Profitable</v>
      </c>
      <c r="P866" s="10" t="str">
        <f>IF(Sales_Data[[#This Row],[Total Profit]]&gt;100000,"High Value",IF(Sales_Data[[#This Row],[Total Profit]]&gt;60000,"Medium","Low"))</f>
        <v>High Value</v>
      </c>
      <c r="Q866" s="11" t="str">
        <f>PROPER(Sales_Data[[#This Row],[Month Name]])</f>
        <v>Maio</v>
      </c>
      <c r="R866" s="11" t="str">
        <f>PROPER(Sales_Data[[#This Row],[Sales Manager]])</f>
        <v>Liam Lee</v>
      </c>
    </row>
    <row r="867" spans="1:18" hidden="1" x14ac:dyDescent="0.25">
      <c r="A867">
        <v>10866</v>
      </c>
      <c r="B867">
        <v>2021</v>
      </c>
      <c r="C867" t="s">
        <v>70</v>
      </c>
      <c r="D867" s="8">
        <v>44331</v>
      </c>
      <c r="E867" t="s">
        <v>11</v>
      </c>
      <c r="F867" t="s">
        <v>18</v>
      </c>
      <c r="G867" t="s">
        <v>23</v>
      </c>
      <c r="H867" s="9">
        <v>20</v>
      </c>
      <c r="I867" s="9">
        <v>369</v>
      </c>
      <c r="J867" s="10">
        <v>129150</v>
      </c>
      <c r="K867" s="10">
        <v>47785.5</v>
      </c>
      <c r="L867">
        <v>20</v>
      </c>
      <c r="M867" s="8">
        <v>44287</v>
      </c>
      <c r="N867" s="23">
        <v>6.5056138939562297E-4</v>
      </c>
      <c r="O867" s="10" t="str">
        <f>IF(Sales_Data[[#This Row],[Total Profit]]&gt;0,"Profitable","Loss")</f>
        <v>Profitable</v>
      </c>
      <c r="P867" s="10" t="str">
        <f>IF(Sales_Data[[#This Row],[Total Profit]]&gt;100000,"High Value",IF(Sales_Data[[#This Row],[Total Profit]]&gt;60000,"Medium","Low"))</f>
        <v>Low</v>
      </c>
      <c r="Q867" s="11" t="str">
        <f>PROPER(Sales_Data[[#This Row],[Month Name]])</f>
        <v>Maio</v>
      </c>
      <c r="R867" s="11" t="str">
        <f>PROPER(Sales_Data[[#This Row],[Sales Manager]])</f>
        <v>Jane Doe</v>
      </c>
    </row>
    <row r="868" spans="1:18" hidden="1" x14ac:dyDescent="0.25">
      <c r="A868">
        <v>10867</v>
      </c>
      <c r="B868">
        <v>2021</v>
      </c>
      <c r="C868" t="s">
        <v>70</v>
      </c>
      <c r="D868" s="8">
        <v>44332</v>
      </c>
      <c r="E868" t="s">
        <v>14</v>
      </c>
      <c r="F868" t="s">
        <v>21</v>
      </c>
      <c r="G868" t="s">
        <v>20</v>
      </c>
      <c r="H868" s="9">
        <v>11</v>
      </c>
      <c r="I868" s="9">
        <v>249</v>
      </c>
      <c r="J868" s="10">
        <v>211650</v>
      </c>
      <c r="K868" s="10">
        <v>46563</v>
      </c>
      <c r="L868">
        <v>21</v>
      </c>
      <c r="M868" s="8">
        <v>44287</v>
      </c>
      <c r="N868" s="23">
        <v>1.06613486694219E-3</v>
      </c>
      <c r="O868" s="10" t="str">
        <f>IF(Sales_Data[[#This Row],[Total Profit]]&gt;0,"Profitable","Loss")</f>
        <v>Profitable</v>
      </c>
      <c r="P868" s="10" t="str">
        <f>IF(Sales_Data[[#This Row],[Total Profit]]&gt;100000,"High Value",IF(Sales_Data[[#This Row],[Total Profit]]&gt;60000,"Medium","Low"))</f>
        <v>Low</v>
      </c>
      <c r="Q868" s="11" t="str">
        <f>PROPER(Sales_Data[[#This Row],[Month Name]])</f>
        <v>Maio</v>
      </c>
      <c r="R868" s="11" t="str">
        <f>PROPER(Sales_Data[[#This Row],[Sales Manager]])</f>
        <v>John Smith</v>
      </c>
    </row>
    <row r="869" spans="1:18" hidden="1" x14ac:dyDescent="0.25">
      <c r="A869">
        <v>10868</v>
      </c>
      <c r="B869">
        <v>2021</v>
      </c>
      <c r="C869" t="s">
        <v>70</v>
      </c>
      <c r="D869" s="8">
        <v>44333</v>
      </c>
      <c r="E869" t="s">
        <v>11</v>
      </c>
      <c r="F869" t="s">
        <v>16</v>
      </c>
      <c r="G869" t="s">
        <v>23</v>
      </c>
      <c r="H869" s="9">
        <v>1</v>
      </c>
      <c r="I869" s="9">
        <v>50</v>
      </c>
      <c r="J869" s="10">
        <v>17500</v>
      </c>
      <c r="K869" s="10">
        <v>5600</v>
      </c>
      <c r="L869">
        <v>21</v>
      </c>
      <c r="M869" s="8">
        <v>44287</v>
      </c>
      <c r="N869" s="23">
        <v>8.81519497826047E-5</v>
      </c>
      <c r="O869" s="10" t="str">
        <f>IF(Sales_Data[[#This Row],[Total Profit]]&gt;0,"Profitable","Loss")</f>
        <v>Profitable</v>
      </c>
      <c r="P869" s="10" t="str">
        <f>IF(Sales_Data[[#This Row],[Total Profit]]&gt;100000,"High Value",IF(Sales_Data[[#This Row],[Total Profit]]&gt;60000,"Medium","Low"))</f>
        <v>Low</v>
      </c>
      <c r="Q869" s="11" t="str">
        <f>PROPER(Sales_Data[[#This Row],[Month Name]])</f>
        <v>Maio</v>
      </c>
      <c r="R869" s="11" t="str">
        <f>PROPER(Sales_Data[[#This Row],[Sales Manager]])</f>
        <v>James Brown</v>
      </c>
    </row>
    <row r="870" spans="1:18" hidden="1" x14ac:dyDescent="0.25">
      <c r="A870">
        <v>10869</v>
      </c>
      <c r="B870">
        <v>2021</v>
      </c>
      <c r="C870" t="s">
        <v>70</v>
      </c>
      <c r="D870" s="8">
        <v>44334</v>
      </c>
      <c r="E870" t="s">
        <v>19</v>
      </c>
      <c r="F870" t="s">
        <v>21</v>
      </c>
      <c r="G870" t="s">
        <v>20</v>
      </c>
      <c r="H870" s="9">
        <v>12</v>
      </c>
      <c r="I870" s="9">
        <v>134</v>
      </c>
      <c r="J870" s="10">
        <v>113900</v>
      </c>
      <c r="K870" s="10">
        <v>51255</v>
      </c>
      <c r="L870">
        <v>21</v>
      </c>
      <c r="M870" s="8">
        <v>44287</v>
      </c>
      <c r="N870" s="23">
        <v>5.7374326172792399E-4</v>
      </c>
      <c r="O870" s="10" t="str">
        <f>IF(Sales_Data[[#This Row],[Total Profit]]&gt;0,"Profitable","Loss")</f>
        <v>Profitable</v>
      </c>
      <c r="P870" s="10" t="str">
        <f>IF(Sales_Data[[#This Row],[Total Profit]]&gt;100000,"High Value",IF(Sales_Data[[#This Row],[Total Profit]]&gt;60000,"Medium","Low"))</f>
        <v>Low</v>
      </c>
      <c r="Q870" s="11" t="str">
        <f>PROPER(Sales_Data[[#This Row],[Month Name]])</f>
        <v>Maio</v>
      </c>
      <c r="R870" s="11" t="str">
        <f>PROPER(Sales_Data[[#This Row],[Sales Manager]])</f>
        <v>John Smith</v>
      </c>
    </row>
    <row r="871" spans="1:18" hidden="1" x14ac:dyDescent="0.25">
      <c r="A871">
        <v>10870</v>
      </c>
      <c r="B871">
        <v>2021</v>
      </c>
      <c r="C871" t="s">
        <v>70</v>
      </c>
      <c r="D871" s="8">
        <v>44335</v>
      </c>
      <c r="E871" t="s">
        <v>19</v>
      </c>
      <c r="F871" t="s">
        <v>24</v>
      </c>
      <c r="G871" t="s">
        <v>23</v>
      </c>
      <c r="H871" s="9">
        <v>49</v>
      </c>
      <c r="I871" s="9">
        <v>498</v>
      </c>
      <c r="J871" s="10">
        <v>174300</v>
      </c>
      <c r="K871" s="10">
        <v>17430</v>
      </c>
      <c r="L871">
        <v>21</v>
      </c>
      <c r="M871" s="8">
        <v>44287</v>
      </c>
      <c r="N871" s="23">
        <v>8.7799341983474301E-4</v>
      </c>
      <c r="O871" s="10" t="str">
        <f>IF(Sales_Data[[#This Row],[Total Profit]]&gt;0,"Profitable","Loss")</f>
        <v>Profitable</v>
      </c>
      <c r="P871" s="10" t="str">
        <f>IF(Sales_Data[[#This Row],[Total Profit]]&gt;100000,"High Value",IF(Sales_Data[[#This Row],[Total Profit]]&gt;60000,"Medium","Low"))</f>
        <v>Low</v>
      </c>
      <c r="Q871" s="11" t="str">
        <f>PROPER(Sales_Data[[#This Row],[Month Name]])</f>
        <v>Maio</v>
      </c>
      <c r="R871" s="11" t="str">
        <f>PROPER(Sales_Data[[#This Row],[Sales Manager]])</f>
        <v>Liam Lee</v>
      </c>
    </row>
    <row r="872" spans="1:18" hidden="1" x14ac:dyDescent="0.25">
      <c r="A872">
        <v>10871</v>
      </c>
      <c r="B872">
        <v>2021</v>
      </c>
      <c r="C872" t="s">
        <v>70</v>
      </c>
      <c r="D872" s="8">
        <v>44336</v>
      </c>
      <c r="E872" t="s">
        <v>25</v>
      </c>
      <c r="F872" t="s">
        <v>18</v>
      </c>
      <c r="G872" t="s">
        <v>23</v>
      </c>
      <c r="H872" s="9">
        <v>13</v>
      </c>
      <c r="I872" s="9">
        <v>155</v>
      </c>
      <c r="J872" s="10">
        <v>54250</v>
      </c>
      <c r="K872" s="10">
        <v>10850</v>
      </c>
      <c r="L872">
        <v>21</v>
      </c>
      <c r="M872" s="8">
        <v>44287</v>
      </c>
      <c r="N872" s="23">
        <v>2.7327104432607499E-4</v>
      </c>
      <c r="O872" s="10" t="str">
        <f>IF(Sales_Data[[#This Row],[Total Profit]]&gt;0,"Profitable","Loss")</f>
        <v>Profitable</v>
      </c>
      <c r="P872" s="10" t="str">
        <f>IF(Sales_Data[[#This Row],[Total Profit]]&gt;100000,"High Value",IF(Sales_Data[[#This Row],[Total Profit]]&gt;60000,"Medium","Low"))</f>
        <v>Low</v>
      </c>
      <c r="Q872" s="11" t="str">
        <f>PROPER(Sales_Data[[#This Row],[Month Name]])</f>
        <v>Maio</v>
      </c>
      <c r="R872" s="11" t="str">
        <f>PROPER(Sales_Data[[#This Row],[Sales Manager]])</f>
        <v>Jane Doe</v>
      </c>
    </row>
    <row r="873" spans="1:18" hidden="1" x14ac:dyDescent="0.25">
      <c r="A873">
        <v>10872</v>
      </c>
      <c r="B873">
        <v>2021</v>
      </c>
      <c r="C873" t="s">
        <v>70</v>
      </c>
      <c r="D873" s="8">
        <v>44337</v>
      </c>
      <c r="E873" t="s">
        <v>19</v>
      </c>
      <c r="F873" t="s">
        <v>24</v>
      </c>
      <c r="G873" t="s">
        <v>15</v>
      </c>
      <c r="H873" s="9">
        <v>15</v>
      </c>
      <c r="I873" s="9">
        <v>263</v>
      </c>
      <c r="J873" s="10">
        <v>131500</v>
      </c>
      <c r="K873" s="10">
        <v>36820</v>
      </c>
      <c r="L873">
        <v>21</v>
      </c>
      <c r="M873" s="8">
        <v>44287</v>
      </c>
      <c r="N873" s="23">
        <v>6.6239893693785805E-4</v>
      </c>
      <c r="O873" s="10" t="str">
        <f>IF(Sales_Data[[#This Row],[Total Profit]]&gt;0,"Profitable","Loss")</f>
        <v>Profitable</v>
      </c>
      <c r="P873" s="10" t="str">
        <f>IF(Sales_Data[[#This Row],[Total Profit]]&gt;100000,"High Value",IF(Sales_Data[[#This Row],[Total Profit]]&gt;60000,"Medium","Low"))</f>
        <v>Low</v>
      </c>
      <c r="Q873" s="11" t="str">
        <f>PROPER(Sales_Data[[#This Row],[Month Name]])</f>
        <v>Maio</v>
      </c>
      <c r="R873" s="11" t="str">
        <f>PROPER(Sales_Data[[#This Row],[Sales Manager]])</f>
        <v>Liam Lee</v>
      </c>
    </row>
    <row r="874" spans="1:18" hidden="1" x14ac:dyDescent="0.25">
      <c r="A874">
        <v>10873</v>
      </c>
      <c r="B874">
        <v>2021</v>
      </c>
      <c r="C874" t="s">
        <v>70</v>
      </c>
      <c r="D874" s="8">
        <v>44338</v>
      </c>
      <c r="E874" t="s">
        <v>11</v>
      </c>
      <c r="F874" t="s">
        <v>21</v>
      </c>
      <c r="G874" t="s">
        <v>20</v>
      </c>
      <c r="H874" s="9">
        <v>4</v>
      </c>
      <c r="I874" s="9">
        <v>40</v>
      </c>
      <c r="J874" s="10">
        <v>34000</v>
      </c>
      <c r="K874" s="10">
        <v>9520</v>
      </c>
      <c r="L874">
        <v>21</v>
      </c>
      <c r="M874" s="8">
        <v>44287</v>
      </c>
      <c r="N874" s="23">
        <v>1.7126664529191799E-4</v>
      </c>
      <c r="O874" s="10" t="str">
        <f>IF(Sales_Data[[#This Row],[Total Profit]]&gt;0,"Profitable","Loss")</f>
        <v>Profitable</v>
      </c>
      <c r="P874" s="10" t="str">
        <f>IF(Sales_Data[[#This Row],[Total Profit]]&gt;100000,"High Value",IF(Sales_Data[[#This Row],[Total Profit]]&gt;60000,"Medium","Low"))</f>
        <v>Low</v>
      </c>
      <c r="Q874" s="11" t="str">
        <f>PROPER(Sales_Data[[#This Row],[Month Name]])</f>
        <v>Maio</v>
      </c>
      <c r="R874" s="11" t="str">
        <f>PROPER(Sales_Data[[#This Row],[Sales Manager]])</f>
        <v>John Smith</v>
      </c>
    </row>
    <row r="875" spans="1:18" hidden="1" x14ac:dyDescent="0.25">
      <c r="A875">
        <v>10874</v>
      </c>
      <c r="B875">
        <v>2021</v>
      </c>
      <c r="C875" t="s">
        <v>70</v>
      </c>
      <c r="D875" s="8">
        <v>44339</v>
      </c>
      <c r="E875" t="s">
        <v>14</v>
      </c>
      <c r="F875" t="s">
        <v>16</v>
      </c>
      <c r="G875" t="s">
        <v>13</v>
      </c>
      <c r="H875" s="9">
        <v>10</v>
      </c>
      <c r="I875" s="9">
        <v>282</v>
      </c>
      <c r="J875" s="10">
        <v>211500</v>
      </c>
      <c r="K875" s="10">
        <v>82485</v>
      </c>
      <c r="L875">
        <v>22</v>
      </c>
      <c r="M875" s="8">
        <v>44287</v>
      </c>
      <c r="N875" s="23">
        <v>1.06537927880119E-3</v>
      </c>
      <c r="O875" s="10" t="str">
        <f>IF(Sales_Data[[#This Row],[Total Profit]]&gt;0,"Profitable","Loss")</f>
        <v>Profitable</v>
      </c>
      <c r="P875" s="10" t="str">
        <f>IF(Sales_Data[[#This Row],[Total Profit]]&gt;100000,"High Value",IF(Sales_Data[[#This Row],[Total Profit]]&gt;60000,"Medium","Low"))</f>
        <v>Medium</v>
      </c>
      <c r="Q875" s="11" t="str">
        <f>PROPER(Sales_Data[[#This Row],[Month Name]])</f>
        <v>Maio</v>
      </c>
      <c r="R875" s="11" t="str">
        <f>PROPER(Sales_Data[[#This Row],[Sales Manager]])</f>
        <v>James Brown</v>
      </c>
    </row>
    <row r="876" spans="1:18" hidden="1" x14ac:dyDescent="0.25">
      <c r="A876">
        <v>10875</v>
      </c>
      <c r="B876">
        <v>2021</v>
      </c>
      <c r="C876" t="s">
        <v>70</v>
      </c>
      <c r="D876" s="8">
        <v>44340</v>
      </c>
      <c r="E876" t="s">
        <v>14</v>
      </c>
      <c r="F876" t="s">
        <v>24</v>
      </c>
      <c r="G876" t="s">
        <v>15</v>
      </c>
      <c r="H876" s="9">
        <v>23</v>
      </c>
      <c r="I876" s="9">
        <v>257</v>
      </c>
      <c r="J876" s="10">
        <v>128500</v>
      </c>
      <c r="K876" s="10">
        <v>15420</v>
      </c>
      <c r="L876">
        <v>22</v>
      </c>
      <c r="M876" s="8">
        <v>44287</v>
      </c>
      <c r="N876" s="23">
        <v>6.4728717411798302E-4</v>
      </c>
      <c r="O876" s="10" t="str">
        <f>IF(Sales_Data[[#This Row],[Total Profit]]&gt;0,"Profitable","Loss")</f>
        <v>Profitable</v>
      </c>
      <c r="P876" s="10" t="str">
        <f>IF(Sales_Data[[#This Row],[Total Profit]]&gt;100000,"High Value",IF(Sales_Data[[#This Row],[Total Profit]]&gt;60000,"Medium","Low"))</f>
        <v>Low</v>
      </c>
      <c r="Q876" s="11" t="str">
        <f>PROPER(Sales_Data[[#This Row],[Month Name]])</f>
        <v>Maio</v>
      </c>
      <c r="R876" s="11" t="str">
        <f>PROPER(Sales_Data[[#This Row],[Sales Manager]])</f>
        <v>Liam Lee</v>
      </c>
    </row>
    <row r="877" spans="1:18" hidden="1" x14ac:dyDescent="0.25">
      <c r="A877">
        <v>10876</v>
      </c>
      <c r="B877">
        <v>2021</v>
      </c>
      <c r="C877" t="s">
        <v>70</v>
      </c>
      <c r="D877" s="8">
        <v>44341</v>
      </c>
      <c r="E877" t="s">
        <v>14</v>
      </c>
      <c r="F877" t="s">
        <v>16</v>
      </c>
      <c r="G877" t="s">
        <v>17</v>
      </c>
      <c r="H877" s="9">
        <v>20</v>
      </c>
      <c r="I877" s="9">
        <v>233</v>
      </c>
      <c r="J877" s="10">
        <v>58250</v>
      </c>
      <c r="K877" s="10">
        <v>23882.5</v>
      </c>
      <c r="L877">
        <v>22</v>
      </c>
      <c r="M877" s="8">
        <v>44287</v>
      </c>
      <c r="N877" s="23">
        <v>2.9342006141924102E-4</v>
      </c>
      <c r="O877" s="10" t="str">
        <f>IF(Sales_Data[[#This Row],[Total Profit]]&gt;0,"Profitable","Loss")</f>
        <v>Profitable</v>
      </c>
      <c r="P877" s="10" t="str">
        <f>IF(Sales_Data[[#This Row],[Total Profit]]&gt;100000,"High Value",IF(Sales_Data[[#This Row],[Total Profit]]&gt;60000,"Medium","Low"))</f>
        <v>Low</v>
      </c>
      <c r="Q877" s="11" t="str">
        <f>PROPER(Sales_Data[[#This Row],[Month Name]])</f>
        <v>Maio</v>
      </c>
      <c r="R877" s="11" t="str">
        <f>PROPER(Sales_Data[[#This Row],[Sales Manager]])</f>
        <v>James Brown</v>
      </c>
    </row>
    <row r="878" spans="1:18" hidden="1" x14ac:dyDescent="0.25">
      <c r="A878">
        <v>10877</v>
      </c>
      <c r="B878">
        <v>2021</v>
      </c>
      <c r="C878" t="s">
        <v>70</v>
      </c>
      <c r="D878" s="8">
        <v>44342</v>
      </c>
      <c r="E878" t="s">
        <v>14</v>
      </c>
      <c r="F878" t="s">
        <v>18</v>
      </c>
      <c r="G878" t="s">
        <v>15</v>
      </c>
      <c r="H878" s="9">
        <v>9</v>
      </c>
      <c r="I878" s="9">
        <v>304</v>
      </c>
      <c r="J878" s="10">
        <v>152000</v>
      </c>
      <c r="K878" s="10">
        <v>56240</v>
      </c>
      <c r="L878">
        <v>22</v>
      </c>
      <c r="M878" s="8">
        <v>44287</v>
      </c>
      <c r="N878" s="23">
        <v>7.6566264954033804E-4</v>
      </c>
      <c r="O878" s="10" t="str">
        <f>IF(Sales_Data[[#This Row],[Total Profit]]&gt;0,"Profitable","Loss")</f>
        <v>Profitable</v>
      </c>
      <c r="P878" s="10" t="str">
        <f>IF(Sales_Data[[#This Row],[Total Profit]]&gt;100000,"High Value",IF(Sales_Data[[#This Row],[Total Profit]]&gt;60000,"Medium","Low"))</f>
        <v>Low</v>
      </c>
      <c r="Q878" s="11" t="str">
        <f>PROPER(Sales_Data[[#This Row],[Month Name]])</f>
        <v>Maio</v>
      </c>
      <c r="R878" s="11" t="str">
        <f>PROPER(Sales_Data[[#This Row],[Sales Manager]])</f>
        <v>Jane Doe</v>
      </c>
    </row>
    <row r="879" spans="1:18" hidden="1" x14ac:dyDescent="0.25">
      <c r="A879">
        <v>10878</v>
      </c>
      <c r="B879">
        <v>2021</v>
      </c>
      <c r="C879" t="s">
        <v>70</v>
      </c>
      <c r="D879" s="8">
        <v>44343</v>
      </c>
      <c r="E879" t="s">
        <v>25</v>
      </c>
      <c r="F879" t="s">
        <v>16</v>
      </c>
      <c r="G879" t="s">
        <v>17</v>
      </c>
      <c r="H879" s="9">
        <v>1</v>
      </c>
      <c r="I879" s="9">
        <v>13</v>
      </c>
      <c r="J879" s="10">
        <v>3250</v>
      </c>
      <c r="K879" s="10">
        <v>585</v>
      </c>
      <c r="L879">
        <v>22</v>
      </c>
      <c r="M879" s="8">
        <v>44287</v>
      </c>
      <c r="N879" s="23">
        <v>1.6371076388197999E-5</v>
      </c>
      <c r="O879" s="10" t="str">
        <f>IF(Sales_Data[[#This Row],[Total Profit]]&gt;0,"Profitable","Loss")</f>
        <v>Profitable</v>
      </c>
      <c r="P879" s="10" t="str">
        <f>IF(Sales_Data[[#This Row],[Total Profit]]&gt;100000,"High Value",IF(Sales_Data[[#This Row],[Total Profit]]&gt;60000,"Medium","Low"))</f>
        <v>Low</v>
      </c>
      <c r="Q879" s="11" t="str">
        <f>PROPER(Sales_Data[[#This Row],[Month Name]])</f>
        <v>Maio</v>
      </c>
      <c r="R879" s="11" t="str">
        <f>PROPER(Sales_Data[[#This Row],[Sales Manager]])</f>
        <v>James Brown</v>
      </c>
    </row>
    <row r="880" spans="1:18" hidden="1" x14ac:dyDescent="0.25">
      <c r="A880">
        <v>10879</v>
      </c>
      <c r="B880">
        <v>2021</v>
      </c>
      <c r="C880" t="s">
        <v>70</v>
      </c>
      <c r="D880" s="8">
        <v>44344</v>
      </c>
      <c r="E880" t="s">
        <v>25</v>
      </c>
      <c r="F880" t="s">
        <v>21</v>
      </c>
      <c r="G880" t="s">
        <v>17</v>
      </c>
      <c r="H880" s="9">
        <v>6</v>
      </c>
      <c r="I880" s="9">
        <v>254</v>
      </c>
      <c r="J880" s="10">
        <v>63500</v>
      </c>
      <c r="K880" s="10">
        <v>28575</v>
      </c>
      <c r="L880">
        <v>22</v>
      </c>
      <c r="M880" s="8">
        <v>44287</v>
      </c>
      <c r="N880" s="23">
        <v>3.19865646354023E-4</v>
      </c>
      <c r="O880" s="10" t="str">
        <f>IF(Sales_Data[[#This Row],[Total Profit]]&gt;0,"Profitable","Loss")</f>
        <v>Profitable</v>
      </c>
      <c r="P880" s="10" t="str">
        <f>IF(Sales_Data[[#This Row],[Total Profit]]&gt;100000,"High Value",IF(Sales_Data[[#This Row],[Total Profit]]&gt;60000,"Medium","Low"))</f>
        <v>Low</v>
      </c>
      <c r="Q880" s="11" t="str">
        <f>PROPER(Sales_Data[[#This Row],[Month Name]])</f>
        <v>Maio</v>
      </c>
      <c r="R880" s="11" t="str">
        <f>PROPER(Sales_Data[[#This Row],[Sales Manager]])</f>
        <v>John Smith</v>
      </c>
    </row>
    <row r="881" spans="1:18" hidden="1" x14ac:dyDescent="0.25">
      <c r="A881">
        <v>10880</v>
      </c>
      <c r="B881">
        <v>2021</v>
      </c>
      <c r="C881" t="s">
        <v>70</v>
      </c>
      <c r="D881" s="8">
        <v>44345</v>
      </c>
      <c r="E881" t="s">
        <v>19</v>
      </c>
      <c r="F881" t="s">
        <v>18</v>
      </c>
      <c r="G881" t="s">
        <v>15</v>
      </c>
      <c r="H881" s="9">
        <v>19</v>
      </c>
      <c r="I881" s="9">
        <v>369</v>
      </c>
      <c r="J881" s="10">
        <v>184500</v>
      </c>
      <c r="K881" s="10">
        <v>22140</v>
      </c>
      <c r="L881">
        <v>22</v>
      </c>
      <c r="M881" s="8">
        <v>44287</v>
      </c>
      <c r="N881" s="23">
        <v>9.2937341342231802E-4</v>
      </c>
      <c r="O881" s="10" t="str">
        <f>IF(Sales_Data[[#This Row],[Total Profit]]&gt;0,"Profitable","Loss")</f>
        <v>Profitable</v>
      </c>
      <c r="P881" s="10" t="str">
        <f>IF(Sales_Data[[#This Row],[Total Profit]]&gt;100000,"High Value",IF(Sales_Data[[#This Row],[Total Profit]]&gt;60000,"Medium","Low"))</f>
        <v>Low</v>
      </c>
      <c r="Q881" s="11" t="str">
        <f>PROPER(Sales_Data[[#This Row],[Month Name]])</f>
        <v>Maio</v>
      </c>
      <c r="R881" s="11" t="str">
        <f>PROPER(Sales_Data[[#This Row],[Sales Manager]])</f>
        <v>Jane Doe</v>
      </c>
    </row>
    <row r="882" spans="1:18" hidden="1" x14ac:dyDescent="0.25">
      <c r="A882">
        <v>10881</v>
      </c>
      <c r="B882">
        <v>2021</v>
      </c>
      <c r="C882" t="s">
        <v>70</v>
      </c>
      <c r="D882" s="8">
        <v>44346</v>
      </c>
      <c r="E882" t="s">
        <v>22</v>
      </c>
      <c r="F882" t="s">
        <v>12</v>
      </c>
      <c r="G882" t="s">
        <v>23</v>
      </c>
      <c r="H882" s="9">
        <v>7</v>
      </c>
      <c r="I882" s="9">
        <v>211</v>
      </c>
      <c r="J882" s="10">
        <v>73850</v>
      </c>
      <c r="K882" s="10">
        <v>17724</v>
      </c>
      <c r="L882">
        <v>23</v>
      </c>
      <c r="M882" s="8">
        <v>44287</v>
      </c>
      <c r="N882" s="23">
        <v>3.7200122808259199E-4</v>
      </c>
      <c r="O882" s="10" t="str">
        <f>IF(Sales_Data[[#This Row],[Total Profit]]&gt;0,"Profitable","Loss")</f>
        <v>Profitable</v>
      </c>
      <c r="P882" s="10" t="str">
        <f>IF(Sales_Data[[#This Row],[Total Profit]]&gt;100000,"High Value",IF(Sales_Data[[#This Row],[Total Profit]]&gt;60000,"Medium","Low"))</f>
        <v>Low</v>
      </c>
      <c r="Q882" s="11" t="str">
        <f>PROPER(Sales_Data[[#This Row],[Month Name]])</f>
        <v>Maio</v>
      </c>
      <c r="R882" s="11" t="str">
        <f>PROPER(Sales_Data[[#This Row],[Sales Manager]])</f>
        <v>Emily White</v>
      </c>
    </row>
    <row r="883" spans="1:18" hidden="1" x14ac:dyDescent="0.25">
      <c r="A883">
        <v>10882</v>
      </c>
      <c r="B883">
        <v>2021</v>
      </c>
      <c r="C883" t="s">
        <v>70</v>
      </c>
      <c r="D883" s="8">
        <v>44347</v>
      </c>
      <c r="E883" t="s">
        <v>14</v>
      </c>
      <c r="F883" t="s">
        <v>24</v>
      </c>
      <c r="G883" t="s">
        <v>17</v>
      </c>
      <c r="H883" s="9">
        <v>28</v>
      </c>
      <c r="I883" s="9">
        <v>459</v>
      </c>
      <c r="J883" s="10">
        <v>114750</v>
      </c>
      <c r="K883" s="10">
        <v>14917.5</v>
      </c>
      <c r="L883">
        <v>23</v>
      </c>
      <c r="M883" s="8">
        <v>44287</v>
      </c>
      <c r="N883" s="23">
        <v>5.7802492786022204E-4</v>
      </c>
      <c r="O883" s="10" t="str">
        <f>IF(Sales_Data[[#This Row],[Total Profit]]&gt;0,"Profitable","Loss")</f>
        <v>Profitable</v>
      </c>
      <c r="P883" s="10" t="str">
        <f>IF(Sales_Data[[#This Row],[Total Profit]]&gt;100000,"High Value",IF(Sales_Data[[#This Row],[Total Profit]]&gt;60000,"Medium","Low"))</f>
        <v>Low</v>
      </c>
      <c r="Q883" s="11" t="str">
        <f>PROPER(Sales_Data[[#This Row],[Month Name]])</f>
        <v>Maio</v>
      </c>
      <c r="R883" s="11" t="str">
        <f>PROPER(Sales_Data[[#This Row],[Sales Manager]])</f>
        <v>Liam Lee</v>
      </c>
    </row>
    <row r="884" spans="1:18" hidden="1" x14ac:dyDescent="0.25">
      <c r="A884">
        <v>10883</v>
      </c>
      <c r="B884">
        <v>2021</v>
      </c>
      <c r="C884" t="s">
        <v>71</v>
      </c>
      <c r="D884" s="8">
        <v>44348</v>
      </c>
      <c r="E884" t="s">
        <v>14</v>
      </c>
      <c r="F884" t="s">
        <v>16</v>
      </c>
      <c r="G884" t="s">
        <v>15</v>
      </c>
      <c r="H884" s="9">
        <v>1</v>
      </c>
      <c r="I884" s="9">
        <v>23</v>
      </c>
      <c r="J884" s="10">
        <v>11500</v>
      </c>
      <c r="K884" s="10">
        <v>2070</v>
      </c>
      <c r="L884">
        <v>23</v>
      </c>
      <c r="M884" s="8">
        <v>44287</v>
      </c>
      <c r="N884" s="23">
        <v>5.7928424142854497E-5</v>
      </c>
      <c r="O884" s="10" t="str">
        <f>IF(Sales_Data[[#This Row],[Total Profit]]&gt;0,"Profitable","Loss")</f>
        <v>Profitable</v>
      </c>
      <c r="P884" s="10" t="str">
        <f>IF(Sales_Data[[#This Row],[Total Profit]]&gt;100000,"High Value",IF(Sales_Data[[#This Row],[Total Profit]]&gt;60000,"Medium","Low"))</f>
        <v>Low</v>
      </c>
      <c r="Q884" s="11" t="str">
        <f>PROPER(Sales_Data[[#This Row],[Month Name]])</f>
        <v>Junho</v>
      </c>
      <c r="R884" s="11" t="str">
        <f>PROPER(Sales_Data[[#This Row],[Sales Manager]])</f>
        <v>James Brown</v>
      </c>
    </row>
    <row r="885" spans="1:18" hidden="1" x14ac:dyDescent="0.25">
      <c r="A885">
        <v>10884</v>
      </c>
      <c r="B885">
        <v>2021</v>
      </c>
      <c r="C885" t="s">
        <v>71</v>
      </c>
      <c r="D885" s="8">
        <v>44349</v>
      </c>
      <c r="E885" t="s">
        <v>25</v>
      </c>
      <c r="F885" t="s">
        <v>12</v>
      </c>
      <c r="G885" t="s">
        <v>15</v>
      </c>
      <c r="H885" s="9">
        <v>5</v>
      </c>
      <c r="I885" s="9">
        <v>189</v>
      </c>
      <c r="J885" s="10">
        <v>94500</v>
      </c>
      <c r="K885" s="10">
        <v>34020</v>
      </c>
      <c r="L885">
        <v>23</v>
      </c>
      <c r="M885" s="8">
        <v>44287</v>
      </c>
      <c r="N885" s="23">
        <v>4.7602052882606498E-4</v>
      </c>
      <c r="O885" s="10" t="str">
        <f>IF(Sales_Data[[#This Row],[Total Profit]]&gt;0,"Profitable","Loss")</f>
        <v>Profitable</v>
      </c>
      <c r="P885" s="10" t="str">
        <f>IF(Sales_Data[[#This Row],[Total Profit]]&gt;100000,"High Value",IF(Sales_Data[[#This Row],[Total Profit]]&gt;60000,"Medium","Low"))</f>
        <v>Low</v>
      </c>
      <c r="Q885" s="11" t="str">
        <f>PROPER(Sales_Data[[#This Row],[Month Name]])</f>
        <v>Junho</v>
      </c>
      <c r="R885" s="11" t="str">
        <f>PROPER(Sales_Data[[#This Row],[Sales Manager]])</f>
        <v>Emily White</v>
      </c>
    </row>
    <row r="886" spans="1:18" hidden="1" x14ac:dyDescent="0.25">
      <c r="A886">
        <v>10885</v>
      </c>
      <c r="B886">
        <v>2021</v>
      </c>
      <c r="C886" t="s">
        <v>71</v>
      </c>
      <c r="D886" s="8">
        <v>44350</v>
      </c>
      <c r="E886" t="s">
        <v>22</v>
      </c>
      <c r="F886" t="s">
        <v>24</v>
      </c>
      <c r="G886" t="s">
        <v>13</v>
      </c>
      <c r="H886" s="9">
        <v>13</v>
      </c>
      <c r="I886" s="9">
        <v>249</v>
      </c>
      <c r="J886" s="10">
        <v>186750</v>
      </c>
      <c r="K886" s="10">
        <v>35482.5</v>
      </c>
      <c r="L886">
        <v>23</v>
      </c>
      <c r="M886" s="8">
        <v>44287</v>
      </c>
      <c r="N886" s="23">
        <v>9.4070723553722399E-4</v>
      </c>
      <c r="O886" s="10" t="str">
        <f>IF(Sales_Data[[#This Row],[Total Profit]]&gt;0,"Profitable","Loss")</f>
        <v>Profitable</v>
      </c>
      <c r="P886" s="10" t="str">
        <f>IF(Sales_Data[[#This Row],[Total Profit]]&gt;100000,"High Value",IF(Sales_Data[[#This Row],[Total Profit]]&gt;60000,"Medium","Low"))</f>
        <v>Low</v>
      </c>
      <c r="Q886" s="11" t="str">
        <f>PROPER(Sales_Data[[#This Row],[Month Name]])</f>
        <v>Junho</v>
      </c>
      <c r="R886" s="11" t="str">
        <f>PROPER(Sales_Data[[#This Row],[Sales Manager]])</f>
        <v>Liam Lee</v>
      </c>
    </row>
    <row r="887" spans="1:18" hidden="1" x14ac:dyDescent="0.25">
      <c r="A887">
        <v>10886</v>
      </c>
      <c r="B887">
        <v>2021</v>
      </c>
      <c r="C887" t="s">
        <v>71</v>
      </c>
      <c r="D887" s="8">
        <v>44351</v>
      </c>
      <c r="E887" t="s">
        <v>19</v>
      </c>
      <c r="F887" t="s">
        <v>12</v>
      </c>
      <c r="G887" t="s">
        <v>13</v>
      </c>
      <c r="H887" s="9">
        <v>8</v>
      </c>
      <c r="I887" s="9">
        <v>112</v>
      </c>
      <c r="J887" s="10">
        <v>84000</v>
      </c>
      <c r="K887" s="10">
        <v>17640</v>
      </c>
      <c r="L887">
        <v>23</v>
      </c>
      <c r="M887" s="8">
        <v>44287</v>
      </c>
      <c r="N887" s="23">
        <v>4.2312935895650298E-4</v>
      </c>
      <c r="O887" s="10" t="str">
        <f>IF(Sales_Data[[#This Row],[Total Profit]]&gt;0,"Profitable","Loss")</f>
        <v>Profitable</v>
      </c>
      <c r="P887" s="10" t="str">
        <f>IF(Sales_Data[[#This Row],[Total Profit]]&gt;100000,"High Value",IF(Sales_Data[[#This Row],[Total Profit]]&gt;60000,"Medium","Low"))</f>
        <v>Low</v>
      </c>
      <c r="Q887" s="11" t="str">
        <f>PROPER(Sales_Data[[#This Row],[Month Name]])</f>
        <v>Junho</v>
      </c>
      <c r="R887" s="11" t="str">
        <f>PROPER(Sales_Data[[#This Row],[Sales Manager]])</f>
        <v>Emily White</v>
      </c>
    </row>
    <row r="888" spans="1:18" hidden="1" x14ac:dyDescent="0.25">
      <c r="A888">
        <v>10887</v>
      </c>
      <c r="B888">
        <v>2021</v>
      </c>
      <c r="C888" t="s">
        <v>71</v>
      </c>
      <c r="D888" s="8">
        <v>44352</v>
      </c>
      <c r="E888" t="s">
        <v>25</v>
      </c>
      <c r="F888" t="s">
        <v>18</v>
      </c>
      <c r="G888" t="s">
        <v>20</v>
      </c>
      <c r="H888" s="9">
        <v>16</v>
      </c>
      <c r="I888" s="9">
        <v>165</v>
      </c>
      <c r="J888" s="10">
        <v>140250</v>
      </c>
      <c r="K888" s="10">
        <v>56100</v>
      </c>
      <c r="L888">
        <v>23</v>
      </c>
      <c r="M888" s="8">
        <v>44287</v>
      </c>
      <c r="N888" s="23">
        <v>7.0647491182916004E-4</v>
      </c>
      <c r="O888" s="10" t="str">
        <f>IF(Sales_Data[[#This Row],[Total Profit]]&gt;0,"Profitable","Loss")</f>
        <v>Profitable</v>
      </c>
      <c r="P888" s="10" t="str">
        <f>IF(Sales_Data[[#This Row],[Total Profit]]&gt;100000,"High Value",IF(Sales_Data[[#This Row],[Total Profit]]&gt;60000,"Medium","Low"))</f>
        <v>Low</v>
      </c>
      <c r="Q888" s="11" t="str">
        <f>PROPER(Sales_Data[[#This Row],[Month Name]])</f>
        <v>Junho</v>
      </c>
      <c r="R888" s="11" t="str">
        <f>PROPER(Sales_Data[[#This Row],[Sales Manager]])</f>
        <v>Jane Doe</v>
      </c>
    </row>
    <row r="889" spans="1:18" hidden="1" x14ac:dyDescent="0.25">
      <c r="A889">
        <v>10888</v>
      </c>
      <c r="B889">
        <v>2021</v>
      </c>
      <c r="C889" t="s">
        <v>71</v>
      </c>
      <c r="D889" s="8">
        <v>44353</v>
      </c>
      <c r="E889" t="s">
        <v>11</v>
      </c>
      <c r="F889" t="s">
        <v>21</v>
      </c>
      <c r="G889" t="s">
        <v>15</v>
      </c>
      <c r="H889" s="9">
        <v>3</v>
      </c>
      <c r="I889" s="9">
        <v>30</v>
      </c>
      <c r="J889" s="10">
        <v>15000</v>
      </c>
      <c r="K889" s="10">
        <v>1650</v>
      </c>
      <c r="L889">
        <v>24</v>
      </c>
      <c r="M889" s="8">
        <v>44287</v>
      </c>
      <c r="N889" s="23">
        <v>7.5558814099375502E-5</v>
      </c>
      <c r="O889" s="10" t="str">
        <f>IF(Sales_Data[[#This Row],[Total Profit]]&gt;0,"Profitable","Loss")</f>
        <v>Profitable</v>
      </c>
      <c r="P889" s="10" t="str">
        <f>IF(Sales_Data[[#This Row],[Total Profit]]&gt;100000,"High Value",IF(Sales_Data[[#This Row],[Total Profit]]&gt;60000,"Medium","Low"))</f>
        <v>Low</v>
      </c>
      <c r="Q889" s="11" t="str">
        <f>PROPER(Sales_Data[[#This Row],[Month Name]])</f>
        <v>Junho</v>
      </c>
      <c r="R889" s="11" t="str">
        <f>PROPER(Sales_Data[[#This Row],[Sales Manager]])</f>
        <v>John Smith</v>
      </c>
    </row>
    <row r="890" spans="1:18" hidden="1" x14ac:dyDescent="0.25">
      <c r="A890">
        <v>10889</v>
      </c>
      <c r="B890">
        <v>2021</v>
      </c>
      <c r="C890" t="s">
        <v>71</v>
      </c>
      <c r="D890" s="8">
        <v>44354</v>
      </c>
      <c r="E890" t="s">
        <v>22</v>
      </c>
      <c r="F890" t="s">
        <v>16</v>
      </c>
      <c r="G890" t="s">
        <v>20</v>
      </c>
      <c r="H890" s="9">
        <v>24</v>
      </c>
      <c r="I890" s="9">
        <v>266</v>
      </c>
      <c r="J890" s="10">
        <v>226100</v>
      </c>
      <c r="K890" s="10">
        <v>90440</v>
      </c>
      <c r="L890">
        <v>24</v>
      </c>
      <c r="M890" s="8">
        <v>44287</v>
      </c>
      <c r="N890" s="23">
        <v>1.1389231911912499E-3</v>
      </c>
      <c r="O890" s="10" t="str">
        <f>IF(Sales_Data[[#This Row],[Total Profit]]&gt;0,"Profitable","Loss")</f>
        <v>Profitable</v>
      </c>
      <c r="P890" s="10" t="str">
        <f>IF(Sales_Data[[#This Row],[Total Profit]]&gt;100000,"High Value",IF(Sales_Data[[#This Row],[Total Profit]]&gt;60000,"Medium","Low"))</f>
        <v>Medium</v>
      </c>
      <c r="Q890" s="11" t="str">
        <f>PROPER(Sales_Data[[#This Row],[Month Name]])</f>
        <v>Junho</v>
      </c>
      <c r="R890" s="11" t="str">
        <f>PROPER(Sales_Data[[#This Row],[Sales Manager]])</f>
        <v>James Brown</v>
      </c>
    </row>
    <row r="891" spans="1:18" hidden="1" x14ac:dyDescent="0.25">
      <c r="A891">
        <v>10890</v>
      </c>
      <c r="B891">
        <v>2021</v>
      </c>
      <c r="C891" t="s">
        <v>71</v>
      </c>
      <c r="D891" s="8">
        <v>44355</v>
      </c>
      <c r="E891" t="s">
        <v>11</v>
      </c>
      <c r="F891" t="s">
        <v>18</v>
      </c>
      <c r="G891" t="s">
        <v>17</v>
      </c>
      <c r="H891" s="9">
        <v>3</v>
      </c>
      <c r="I891" s="9">
        <v>132</v>
      </c>
      <c r="J891" s="10">
        <v>33000</v>
      </c>
      <c r="K891" s="10">
        <v>7260</v>
      </c>
      <c r="L891">
        <v>24</v>
      </c>
      <c r="M891" s="8">
        <v>44287</v>
      </c>
      <c r="N891" s="23">
        <v>1.66229391018626E-4</v>
      </c>
      <c r="O891" s="10" t="str">
        <f>IF(Sales_Data[[#This Row],[Total Profit]]&gt;0,"Profitable","Loss")</f>
        <v>Profitable</v>
      </c>
      <c r="P891" s="10" t="str">
        <f>IF(Sales_Data[[#This Row],[Total Profit]]&gt;100000,"High Value",IF(Sales_Data[[#This Row],[Total Profit]]&gt;60000,"Medium","Low"))</f>
        <v>Low</v>
      </c>
      <c r="Q891" s="11" t="str">
        <f>PROPER(Sales_Data[[#This Row],[Month Name]])</f>
        <v>Junho</v>
      </c>
      <c r="R891" s="11" t="str">
        <f>PROPER(Sales_Data[[#This Row],[Sales Manager]])</f>
        <v>Jane Doe</v>
      </c>
    </row>
    <row r="892" spans="1:18" hidden="1" x14ac:dyDescent="0.25">
      <c r="A892">
        <v>10891</v>
      </c>
      <c r="B892">
        <v>2021</v>
      </c>
      <c r="C892" t="s">
        <v>71</v>
      </c>
      <c r="D892" s="8">
        <v>44356</v>
      </c>
      <c r="E892" t="s">
        <v>25</v>
      </c>
      <c r="F892" t="s">
        <v>12</v>
      </c>
      <c r="G892" t="s">
        <v>13</v>
      </c>
      <c r="H892" s="9">
        <v>22</v>
      </c>
      <c r="I892" s="9">
        <v>500</v>
      </c>
      <c r="J892" s="10">
        <v>375000</v>
      </c>
      <c r="K892" s="10">
        <v>37500</v>
      </c>
      <c r="L892">
        <v>24</v>
      </c>
      <c r="M892" s="8">
        <v>44287</v>
      </c>
      <c r="N892" s="23">
        <v>1.88897035248439E-3</v>
      </c>
      <c r="O892" s="10" t="str">
        <f>IF(Sales_Data[[#This Row],[Total Profit]]&gt;0,"Profitable","Loss")</f>
        <v>Profitable</v>
      </c>
      <c r="P892" s="10" t="str">
        <f>IF(Sales_Data[[#This Row],[Total Profit]]&gt;100000,"High Value",IF(Sales_Data[[#This Row],[Total Profit]]&gt;60000,"Medium","Low"))</f>
        <v>Low</v>
      </c>
      <c r="Q892" s="11" t="str">
        <f>PROPER(Sales_Data[[#This Row],[Month Name]])</f>
        <v>Junho</v>
      </c>
      <c r="R892" s="11" t="str">
        <f>PROPER(Sales_Data[[#This Row],[Sales Manager]])</f>
        <v>Emily White</v>
      </c>
    </row>
    <row r="893" spans="1:18" hidden="1" x14ac:dyDescent="0.25">
      <c r="A893">
        <v>10892</v>
      </c>
      <c r="B893">
        <v>2021</v>
      </c>
      <c r="C893" t="s">
        <v>71</v>
      </c>
      <c r="D893" s="8">
        <v>44357</v>
      </c>
      <c r="E893" t="s">
        <v>19</v>
      </c>
      <c r="F893" t="s">
        <v>18</v>
      </c>
      <c r="G893" t="s">
        <v>17</v>
      </c>
      <c r="H893" s="9">
        <v>23</v>
      </c>
      <c r="I893" s="9">
        <v>359</v>
      </c>
      <c r="J893" s="10">
        <v>89750</v>
      </c>
      <c r="K893" s="10">
        <v>36797.5</v>
      </c>
      <c r="L893">
        <v>24</v>
      </c>
      <c r="M893" s="8">
        <v>44287</v>
      </c>
      <c r="N893" s="23">
        <v>4.5209357102793E-4</v>
      </c>
      <c r="O893" s="10" t="str">
        <f>IF(Sales_Data[[#This Row],[Total Profit]]&gt;0,"Profitable","Loss")</f>
        <v>Profitable</v>
      </c>
      <c r="P893" s="10" t="str">
        <f>IF(Sales_Data[[#This Row],[Total Profit]]&gt;100000,"High Value",IF(Sales_Data[[#This Row],[Total Profit]]&gt;60000,"Medium","Low"))</f>
        <v>Low</v>
      </c>
      <c r="Q893" s="11" t="str">
        <f>PROPER(Sales_Data[[#This Row],[Month Name]])</f>
        <v>Junho</v>
      </c>
      <c r="R893" s="11" t="str">
        <f>PROPER(Sales_Data[[#This Row],[Sales Manager]])</f>
        <v>Jane Doe</v>
      </c>
    </row>
    <row r="894" spans="1:18" hidden="1" x14ac:dyDescent="0.25">
      <c r="A894">
        <v>10893</v>
      </c>
      <c r="B894">
        <v>2021</v>
      </c>
      <c r="C894" t="s">
        <v>71</v>
      </c>
      <c r="D894" s="8">
        <v>44358</v>
      </c>
      <c r="E894" t="s">
        <v>14</v>
      </c>
      <c r="F894" t="s">
        <v>18</v>
      </c>
      <c r="G894" t="s">
        <v>20</v>
      </c>
      <c r="H894" s="9">
        <v>39</v>
      </c>
      <c r="I894" s="9">
        <v>398</v>
      </c>
      <c r="J894" s="10">
        <v>338300</v>
      </c>
      <c r="K894" s="10">
        <v>33830</v>
      </c>
      <c r="L894">
        <v>24</v>
      </c>
      <c r="M894" s="8">
        <v>44287</v>
      </c>
      <c r="N894" s="23">
        <v>1.7041031206545801E-3</v>
      </c>
      <c r="O894" s="10" t="str">
        <f>IF(Sales_Data[[#This Row],[Total Profit]]&gt;0,"Profitable","Loss")</f>
        <v>Profitable</v>
      </c>
      <c r="P894" s="10" t="str">
        <f>IF(Sales_Data[[#This Row],[Total Profit]]&gt;100000,"High Value",IF(Sales_Data[[#This Row],[Total Profit]]&gt;60000,"Medium","Low"))</f>
        <v>Low</v>
      </c>
      <c r="Q894" s="11" t="str">
        <f>PROPER(Sales_Data[[#This Row],[Month Name]])</f>
        <v>Junho</v>
      </c>
      <c r="R894" s="11" t="str">
        <f>PROPER(Sales_Data[[#This Row],[Sales Manager]])</f>
        <v>Jane Doe</v>
      </c>
    </row>
    <row r="895" spans="1:18" hidden="1" x14ac:dyDescent="0.25">
      <c r="A895">
        <v>10894</v>
      </c>
      <c r="B895">
        <v>2021</v>
      </c>
      <c r="C895" t="s">
        <v>71</v>
      </c>
      <c r="D895" s="8">
        <v>44359</v>
      </c>
      <c r="E895" t="s">
        <v>22</v>
      </c>
      <c r="F895" t="s">
        <v>21</v>
      </c>
      <c r="G895" t="s">
        <v>15</v>
      </c>
      <c r="H895" s="9">
        <v>1</v>
      </c>
      <c r="I895" s="9">
        <v>89</v>
      </c>
      <c r="J895" s="10">
        <v>44500</v>
      </c>
      <c r="K895" s="10">
        <v>13350</v>
      </c>
      <c r="L895">
        <v>24</v>
      </c>
      <c r="M895" s="8">
        <v>44287</v>
      </c>
      <c r="N895" s="23">
        <v>2.2415781516148099E-4</v>
      </c>
      <c r="O895" s="10" t="str">
        <f>IF(Sales_Data[[#This Row],[Total Profit]]&gt;0,"Profitable","Loss")</f>
        <v>Profitable</v>
      </c>
      <c r="P895" s="10" t="str">
        <f>IF(Sales_Data[[#This Row],[Total Profit]]&gt;100000,"High Value",IF(Sales_Data[[#This Row],[Total Profit]]&gt;60000,"Medium","Low"))</f>
        <v>Low</v>
      </c>
      <c r="Q895" s="11" t="str">
        <f>PROPER(Sales_Data[[#This Row],[Month Name]])</f>
        <v>Junho</v>
      </c>
      <c r="R895" s="11" t="str">
        <f>PROPER(Sales_Data[[#This Row],[Sales Manager]])</f>
        <v>John Smith</v>
      </c>
    </row>
    <row r="896" spans="1:18" hidden="1" x14ac:dyDescent="0.25">
      <c r="A896">
        <v>10895</v>
      </c>
      <c r="B896">
        <v>2021</v>
      </c>
      <c r="C896" t="s">
        <v>71</v>
      </c>
      <c r="D896" s="8">
        <v>44360</v>
      </c>
      <c r="E896" t="s">
        <v>14</v>
      </c>
      <c r="F896" t="s">
        <v>16</v>
      </c>
      <c r="G896" t="s">
        <v>15</v>
      </c>
      <c r="H896" s="9">
        <v>7</v>
      </c>
      <c r="I896" s="9">
        <v>168</v>
      </c>
      <c r="J896" s="10">
        <v>84000</v>
      </c>
      <c r="K896" s="10">
        <v>12600</v>
      </c>
      <c r="L896">
        <v>25</v>
      </c>
      <c r="M896" s="8">
        <v>44287</v>
      </c>
      <c r="N896" s="23">
        <v>4.2312935895650298E-4</v>
      </c>
      <c r="O896" s="10" t="str">
        <f>IF(Sales_Data[[#This Row],[Total Profit]]&gt;0,"Profitable","Loss")</f>
        <v>Profitable</v>
      </c>
      <c r="P896" s="10" t="str">
        <f>IF(Sales_Data[[#This Row],[Total Profit]]&gt;100000,"High Value",IF(Sales_Data[[#This Row],[Total Profit]]&gt;60000,"Medium","Low"))</f>
        <v>Low</v>
      </c>
      <c r="Q896" s="11" t="str">
        <f>PROPER(Sales_Data[[#This Row],[Month Name]])</f>
        <v>Junho</v>
      </c>
      <c r="R896" s="11" t="str">
        <f>PROPER(Sales_Data[[#This Row],[Sales Manager]])</f>
        <v>James Brown</v>
      </c>
    </row>
    <row r="897" spans="1:18" hidden="1" x14ac:dyDescent="0.25">
      <c r="A897">
        <v>10896</v>
      </c>
      <c r="B897">
        <v>2021</v>
      </c>
      <c r="C897" t="s">
        <v>71</v>
      </c>
      <c r="D897" s="8">
        <v>44361</v>
      </c>
      <c r="E897" t="s">
        <v>11</v>
      </c>
      <c r="F897" t="s">
        <v>12</v>
      </c>
      <c r="G897" t="s">
        <v>15</v>
      </c>
      <c r="H897" s="9">
        <v>2</v>
      </c>
      <c r="I897" s="9">
        <v>29</v>
      </c>
      <c r="J897" s="10">
        <v>14500</v>
      </c>
      <c r="K897" s="10">
        <v>1450</v>
      </c>
      <c r="L897">
        <v>25</v>
      </c>
      <c r="M897" s="8">
        <v>44287</v>
      </c>
      <c r="N897" s="23">
        <v>7.3040186962729605E-5</v>
      </c>
      <c r="O897" s="10" t="str">
        <f>IF(Sales_Data[[#This Row],[Total Profit]]&gt;0,"Profitable","Loss")</f>
        <v>Profitable</v>
      </c>
      <c r="P897" s="10" t="str">
        <f>IF(Sales_Data[[#This Row],[Total Profit]]&gt;100000,"High Value",IF(Sales_Data[[#This Row],[Total Profit]]&gt;60000,"Medium","Low"))</f>
        <v>Low</v>
      </c>
      <c r="Q897" s="11" t="str">
        <f>PROPER(Sales_Data[[#This Row],[Month Name]])</f>
        <v>Junho</v>
      </c>
      <c r="R897" s="11" t="str">
        <f>PROPER(Sales_Data[[#This Row],[Sales Manager]])</f>
        <v>Emily White</v>
      </c>
    </row>
    <row r="898" spans="1:18" hidden="1" x14ac:dyDescent="0.25">
      <c r="A898">
        <v>10897</v>
      </c>
      <c r="B898">
        <v>2021</v>
      </c>
      <c r="C898" t="s">
        <v>71</v>
      </c>
      <c r="D898" s="8">
        <v>44362</v>
      </c>
      <c r="E898" t="s">
        <v>25</v>
      </c>
      <c r="F898" t="s">
        <v>21</v>
      </c>
      <c r="G898" t="s">
        <v>13</v>
      </c>
      <c r="H898" s="9">
        <v>2</v>
      </c>
      <c r="I898" s="9">
        <v>28</v>
      </c>
      <c r="J898" s="10">
        <v>21000</v>
      </c>
      <c r="K898" s="10">
        <v>8400</v>
      </c>
      <c r="L898">
        <v>25</v>
      </c>
      <c r="M898" s="8">
        <v>44287</v>
      </c>
      <c r="N898" s="23">
        <v>1.05782339739126E-4</v>
      </c>
      <c r="O898" s="10" t="str">
        <f>IF(Sales_Data[[#This Row],[Total Profit]]&gt;0,"Profitable","Loss")</f>
        <v>Profitable</v>
      </c>
      <c r="P898" s="10" t="str">
        <f>IF(Sales_Data[[#This Row],[Total Profit]]&gt;100000,"High Value",IF(Sales_Data[[#This Row],[Total Profit]]&gt;60000,"Medium","Low"))</f>
        <v>Low</v>
      </c>
      <c r="Q898" s="11" t="str">
        <f>PROPER(Sales_Data[[#This Row],[Month Name]])</f>
        <v>Junho</v>
      </c>
      <c r="R898" s="11" t="str">
        <f>PROPER(Sales_Data[[#This Row],[Sales Manager]])</f>
        <v>John Smith</v>
      </c>
    </row>
    <row r="899" spans="1:18" hidden="1" x14ac:dyDescent="0.25">
      <c r="A899">
        <v>10898</v>
      </c>
      <c r="B899">
        <v>2021</v>
      </c>
      <c r="C899" t="s">
        <v>71</v>
      </c>
      <c r="D899" s="8">
        <v>44363</v>
      </c>
      <c r="E899" t="s">
        <v>25</v>
      </c>
      <c r="F899" t="s">
        <v>21</v>
      </c>
      <c r="G899" t="s">
        <v>15</v>
      </c>
      <c r="H899" s="9">
        <v>17</v>
      </c>
      <c r="I899" s="9">
        <v>462</v>
      </c>
      <c r="J899" s="10">
        <v>231000</v>
      </c>
      <c r="K899" s="10">
        <v>94710</v>
      </c>
      <c r="L899">
        <v>25</v>
      </c>
      <c r="M899" s="8">
        <v>44287</v>
      </c>
      <c r="N899" s="23">
        <v>1.16360573713038E-3</v>
      </c>
      <c r="O899" s="10" t="str">
        <f>IF(Sales_Data[[#This Row],[Total Profit]]&gt;0,"Profitable","Loss")</f>
        <v>Profitable</v>
      </c>
      <c r="P899" s="10" t="str">
        <f>IF(Sales_Data[[#This Row],[Total Profit]]&gt;100000,"High Value",IF(Sales_Data[[#This Row],[Total Profit]]&gt;60000,"Medium","Low"))</f>
        <v>Medium</v>
      </c>
      <c r="Q899" s="11" t="str">
        <f>PROPER(Sales_Data[[#This Row],[Month Name]])</f>
        <v>Junho</v>
      </c>
      <c r="R899" s="11" t="str">
        <f>PROPER(Sales_Data[[#This Row],[Sales Manager]])</f>
        <v>John Smith</v>
      </c>
    </row>
    <row r="900" spans="1:18" hidden="1" x14ac:dyDescent="0.25">
      <c r="A900">
        <v>10899</v>
      </c>
      <c r="B900">
        <v>2021</v>
      </c>
      <c r="C900" t="s">
        <v>71</v>
      </c>
      <c r="D900" s="8">
        <v>44364</v>
      </c>
      <c r="E900" t="s">
        <v>22</v>
      </c>
      <c r="F900" t="s">
        <v>16</v>
      </c>
      <c r="G900" t="s">
        <v>13</v>
      </c>
      <c r="H900" s="9">
        <v>5</v>
      </c>
      <c r="I900" s="9">
        <v>331</v>
      </c>
      <c r="J900" s="10">
        <v>248250</v>
      </c>
      <c r="K900" s="10">
        <v>84405</v>
      </c>
      <c r="L900">
        <v>25</v>
      </c>
      <c r="M900" s="8">
        <v>44287</v>
      </c>
      <c r="N900" s="23">
        <v>1.2504983733446599E-3</v>
      </c>
      <c r="O900" s="10" t="str">
        <f>IF(Sales_Data[[#This Row],[Total Profit]]&gt;0,"Profitable","Loss")</f>
        <v>Profitable</v>
      </c>
      <c r="P900" s="10" t="str">
        <f>IF(Sales_Data[[#This Row],[Total Profit]]&gt;100000,"High Value",IF(Sales_Data[[#This Row],[Total Profit]]&gt;60000,"Medium","Low"))</f>
        <v>Medium</v>
      </c>
      <c r="Q900" s="11" t="str">
        <f>PROPER(Sales_Data[[#This Row],[Month Name]])</f>
        <v>Junho</v>
      </c>
      <c r="R900" s="11" t="str">
        <f>PROPER(Sales_Data[[#This Row],[Sales Manager]])</f>
        <v>James Brown</v>
      </c>
    </row>
    <row r="901" spans="1:18" hidden="1" x14ac:dyDescent="0.25">
      <c r="A901">
        <v>10900</v>
      </c>
      <c r="B901">
        <v>2021</v>
      </c>
      <c r="C901" t="s">
        <v>71</v>
      </c>
      <c r="D901" s="8">
        <v>44365</v>
      </c>
      <c r="E901" t="s">
        <v>25</v>
      </c>
      <c r="F901" t="s">
        <v>18</v>
      </c>
      <c r="G901" t="s">
        <v>15</v>
      </c>
      <c r="H901" s="9">
        <v>22</v>
      </c>
      <c r="I901" s="9">
        <v>309</v>
      </c>
      <c r="J901" s="10">
        <v>154500</v>
      </c>
      <c r="K901" s="10">
        <v>64890</v>
      </c>
      <c r="L901">
        <v>25</v>
      </c>
      <c r="M901" s="8">
        <v>44287</v>
      </c>
      <c r="N901" s="23">
        <v>7.7825578522356699E-4</v>
      </c>
      <c r="O901" s="10" t="str">
        <f>IF(Sales_Data[[#This Row],[Total Profit]]&gt;0,"Profitable","Loss")</f>
        <v>Profitable</v>
      </c>
      <c r="P901" s="10" t="str">
        <f>IF(Sales_Data[[#This Row],[Total Profit]]&gt;100000,"High Value",IF(Sales_Data[[#This Row],[Total Profit]]&gt;60000,"Medium","Low"))</f>
        <v>Medium</v>
      </c>
      <c r="Q901" s="11" t="str">
        <f>PROPER(Sales_Data[[#This Row],[Month Name]])</f>
        <v>Junho</v>
      </c>
      <c r="R901" s="11" t="str">
        <f>PROPER(Sales_Data[[#This Row],[Sales Manager]])</f>
        <v>Jane Doe</v>
      </c>
    </row>
    <row r="902" spans="1:18" hidden="1" x14ac:dyDescent="0.25">
      <c r="A902">
        <v>10901</v>
      </c>
      <c r="B902">
        <v>2021</v>
      </c>
      <c r="C902" t="s">
        <v>71</v>
      </c>
      <c r="D902" s="8">
        <v>44366</v>
      </c>
      <c r="E902" t="s">
        <v>11</v>
      </c>
      <c r="F902" t="s">
        <v>12</v>
      </c>
      <c r="G902" t="s">
        <v>13</v>
      </c>
      <c r="H902" s="9">
        <v>8</v>
      </c>
      <c r="I902" s="9">
        <v>111</v>
      </c>
      <c r="J902" s="10">
        <v>83250</v>
      </c>
      <c r="K902" s="10">
        <v>21645</v>
      </c>
      <c r="L902">
        <v>25</v>
      </c>
      <c r="M902" s="8">
        <v>44287</v>
      </c>
      <c r="N902" s="23">
        <v>4.1935141825153398E-4</v>
      </c>
      <c r="O902" s="10" t="str">
        <f>IF(Sales_Data[[#This Row],[Total Profit]]&gt;0,"Profitable","Loss")</f>
        <v>Profitable</v>
      </c>
      <c r="P902" s="10" t="str">
        <f>IF(Sales_Data[[#This Row],[Total Profit]]&gt;100000,"High Value",IF(Sales_Data[[#This Row],[Total Profit]]&gt;60000,"Medium","Low"))</f>
        <v>Low</v>
      </c>
      <c r="Q902" s="11" t="str">
        <f>PROPER(Sales_Data[[#This Row],[Month Name]])</f>
        <v>Junho</v>
      </c>
      <c r="R902" s="11" t="str">
        <f>PROPER(Sales_Data[[#This Row],[Sales Manager]])</f>
        <v>Emily White</v>
      </c>
    </row>
    <row r="903" spans="1:18" hidden="1" x14ac:dyDescent="0.25">
      <c r="A903">
        <v>10902</v>
      </c>
      <c r="B903">
        <v>2021</v>
      </c>
      <c r="C903" t="s">
        <v>71</v>
      </c>
      <c r="D903" s="8">
        <v>44367</v>
      </c>
      <c r="E903" t="s">
        <v>19</v>
      </c>
      <c r="F903" t="s">
        <v>16</v>
      </c>
      <c r="G903" t="s">
        <v>13</v>
      </c>
      <c r="H903" s="9">
        <v>6</v>
      </c>
      <c r="I903" s="9">
        <v>328</v>
      </c>
      <c r="J903" s="10">
        <v>246000</v>
      </c>
      <c r="K903" s="10">
        <v>49200</v>
      </c>
      <c r="L903">
        <v>26</v>
      </c>
      <c r="M903" s="8">
        <v>44287</v>
      </c>
      <c r="N903" s="23">
        <v>1.23916455122976E-3</v>
      </c>
      <c r="O903" s="10" t="str">
        <f>IF(Sales_Data[[#This Row],[Total Profit]]&gt;0,"Profitable","Loss")</f>
        <v>Profitable</v>
      </c>
      <c r="P903" s="10" t="str">
        <f>IF(Sales_Data[[#This Row],[Total Profit]]&gt;100000,"High Value",IF(Sales_Data[[#This Row],[Total Profit]]&gt;60000,"Medium","Low"))</f>
        <v>Low</v>
      </c>
      <c r="Q903" s="11" t="str">
        <f>PROPER(Sales_Data[[#This Row],[Month Name]])</f>
        <v>Junho</v>
      </c>
      <c r="R903" s="11" t="str">
        <f>PROPER(Sales_Data[[#This Row],[Sales Manager]])</f>
        <v>James Brown</v>
      </c>
    </row>
    <row r="904" spans="1:18" hidden="1" x14ac:dyDescent="0.25">
      <c r="A904">
        <v>10903</v>
      </c>
      <c r="B904">
        <v>2021</v>
      </c>
      <c r="C904" t="s">
        <v>71</v>
      </c>
      <c r="D904" s="8">
        <v>44368</v>
      </c>
      <c r="E904" t="s">
        <v>19</v>
      </c>
      <c r="F904" t="s">
        <v>12</v>
      </c>
      <c r="G904" t="s">
        <v>15</v>
      </c>
      <c r="H904" s="9">
        <v>17</v>
      </c>
      <c r="I904" s="9">
        <v>224</v>
      </c>
      <c r="J904" s="10">
        <v>112000</v>
      </c>
      <c r="K904" s="10">
        <v>38080</v>
      </c>
      <c r="L904">
        <v>26</v>
      </c>
      <c r="M904" s="8">
        <v>44287</v>
      </c>
      <c r="N904" s="23">
        <v>5.6417247860866999E-4</v>
      </c>
      <c r="O904" s="10" t="str">
        <f>IF(Sales_Data[[#This Row],[Total Profit]]&gt;0,"Profitable","Loss")</f>
        <v>Profitable</v>
      </c>
      <c r="P904" s="10" t="str">
        <f>IF(Sales_Data[[#This Row],[Total Profit]]&gt;100000,"High Value",IF(Sales_Data[[#This Row],[Total Profit]]&gt;60000,"Medium","Low"))</f>
        <v>Low</v>
      </c>
      <c r="Q904" s="11" t="str">
        <f>PROPER(Sales_Data[[#This Row],[Month Name]])</f>
        <v>Junho</v>
      </c>
      <c r="R904" s="11" t="str">
        <f>PROPER(Sales_Data[[#This Row],[Sales Manager]])</f>
        <v>Emily White</v>
      </c>
    </row>
    <row r="905" spans="1:18" hidden="1" x14ac:dyDescent="0.25">
      <c r="A905">
        <v>10904</v>
      </c>
      <c r="B905">
        <v>2021</v>
      </c>
      <c r="C905" t="s">
        <v>71</v>
      </c>
      <c r="D905" s="8">
        <v>44369</v>
      </c>
      <c r="E905" t="s">
        <v>25</v>
      </c>
      <c r="F905" t="s">
        <v>21</v>
      </c>
      <c r="G905" t="s">
        <v>23</v>
      </c>
      <c r="H905" s="9">
        <v>15</v>
      </c>
      <c r="I905" s="9">
        <v>282</v>
      </c>
      <c r="J905" s="10">
        <v>98700</v>
      </c>
      <c r="K905" s="10">
        <v>21714</v>
      </c>
      <c r="L905">
        <v>26</v>
      </c>
      <c r="M905" s="8">
        <v>44287</v>
      </c>
      <c r="N905" s="23">
        <v>4.9717699677388999E-4</v>
      </c>
      <c r="O905" s="10" t="str">
        <f>IF(Sales_Data[[#This Row],[Total Profit]]&gt;0,"Profitable","Loss")</f>
        <v>Profitable</v>
      </c>
      <c r="P905" s="10" t="str">
        <f>IF(Sales_Data[[#This Row],[Total Profit]]&gt;100000,"High Value",IF(Sales_Data[[#This Row],[Total Profit]]&gt;60000,"Medium","Low"))</f>
        <v>Low</v>
      </c>
      <c r="Q905" s="11" t="str">
        <f>PROPER(Sales_Data[[#This Row],[Month Name]])</f>
        <v>Junho</v>
      </c>
      <c r="R905" s="11" t="str">
        <f>PROPER(Sales_Data[[#This Row],[Sales Manager]])</f>
        <v>John Smith</v>
      </c>
    </row>
    <row r="906" spans="1:18" hidden="1" x14ac:dyDescent="0.25">
      <c r="A906">
        <v>10905</v>
      </c>
      <c r="B906">
        <v>2021</v>
      </c>
      <c r="C906" t="s">
        <v>71</v>
      </c>
      <c r="D906" s="8">
        <v>44370</v>
      </c>
      <c r="E906" t="s">
        <v>22</v>
      </c>
      <c r="F906" t="s">
        <v>21</v>
      </c>
      <c r="G906" t="s">
        <v>13</v>
      </c>
      <c r="H906" s="9">
        <v>35</v>
      </c>
      <c r="I906" s="9">
        <v>422</v>
      </c>
      <c r="J906" s="10">
        <v>316500</v>
      </c>
      <c r="K906" s="10">
        <v>91785</v>
      </c>
      <c r="L906">
        <v>26</v>
      </c>
      <c r="M906" s="8">
        <v>44287</v>
      </c>
      <c r="N906" s="23">
        <v>1.59429097749682E-3</v>
      </c>
      <c r="O906" s="10" t="str">
        <f>IF(Sales_Data[[#This Row],[Total Profit]]&gt;0,"Profitable","Loss")</f>
        <v>Profitable</v>
      </c>
      <c r="P906" s="10" t="str">
        <f>IF(Sales_Data[[#This Row],[Total Profit]]&gt;100000,"High Value",IF(Sales_Data[[#This Row],[Total Profit]]&gt;60000,"Medium","Low"))</f>
        <v>Medium</v>
      </c>
      <c r="Q906" s="11" t="str">
        <f>PROPER(Sales_Data[[#This Row],[Month Name]])</f>
        <v>Junho</v>
      </c>
      <c r="R906" s="11" t="str">
        <f>PROPER(Sales_Data[[#This Row],[Sales Manager]])</f>
        <v>John Smith</v>
      </c>
    </row>
    <row r="907" spans="1:18" hidden="1" x14ac:dyDescent="0.25">
      <c r="A907">
        <v>10906</v>
      </c>
      <c r="B907">
        <v>2021</v>
      </c>
      <c r="C907" t="s">
        <v>71</v>
      </c>
      <c r="D907" s="8">
        <v>44371</v>
      </c>
      <c r="E907" t="s">
        <v>19</v>
      </c>
      <c r="F907" t="s">
        <v>16</v>
      </c>
      <c r="G907" t="s">
        <v>20</v>
      </c>
      <c r="H907" s="9">
        <v>12</v>
      </c>
      <c r="I907" s="9">
        <v>468</v>
      </c>
      <c r="J907" s="10">
        <v>397800</v>
      </c>
      <c r="K907" s="10">
        <v>167076</v>
      </c>
      <c r="L907">
        <v>26</v>
      </c>
      <c r="M907" s="8">
        <v>44287</v>
      </c>
      <c r="N907" s="23">
        <v>2.0038197499154401E-3</v>
      </c>
      <c r="O907" s="10" t="str">
        <f>IF(Sales_Data[[#This Row],[Total Profit]]&gt;0,"Profitable","Loss")</f>
        <v>Profitable</v>
      </c>
      <c r="P907" s="10" t="str">
        <f>IF(Sales_Data[[#This Row],[Total Profit]]&gt;100000,"High Value",IF(Sales_Data[[#This Row],[Total Profit]]&gt;60000,"Medium","Low"))</f>
        <v>High Value</v>
      </c>
      <c r="Q907" s="11" t="str">
        <f>PROPER(Sales_Data[[#This Row],[Month Name]])</f>
        <v>Junho</v>
      </c>
      <c r="R907" s="11" t="str">
        <f>PROPER(Sales_Data[[#This Row],[Sales Manager]])</f>
        <v>James Brown</v>
      </c>
    </row>
    <row r="908" spans="1:18" hidden="1" x14ac:dyDescent="0.25">
      <c r="A908">
        <v>10907</v>
      </c>
      <c r="B908">
        <v>2021</v>
      </c>
      <c r="C908" t="s">
        <v>71</v>
      </c>
      <c r="D908" s="8">
        <v>44372</v>
      </c>
      <c r="E908" t="s">
        <v>25</v>
      </c>
      <c r="F908" t="s">
        <v>12</v>
      </c>
      <c r="G908" t="s">
        <v>17</v>
      </c>
      <c r="H908" s="9">
        <v>6</v>
      </c>
      <c r="I908" s="9">
        <v>184</v>
      </c>
      <c r="J908" s="10">
        <v>46000</v>
      </c>
      <c r="K908" s="10">
        <v>6440.0000000000009</v>
      </c>
      <c r="L908">
        <v>26</v>
      </c>
      <c r="M908" s="8">
        <v>44287</v>
      </c>
      <c r="N908" s="23">
        <v>2.3171369657141799E-4</v>
      </c>
      <c r="O908" s="10" t="str">
        <f>IF(Sales_Data[[#This Row],[Total Profit]]&gt;0,"Profitable","Loss")</f>
        <v>Profitable</v>
      </c>
      <c r="P908" s="10" t="str">
        <f>IF(Sales_Data[[#This Row],[Total Profit]]&gt;100000,"High Value",IF(Sales_Data[[#This Row],[Total Profit]]&gt;60000,"Medium","Low"))</f>
        <v>Low</v>
      </c>
      <c r="Q908" s="11" t="str">
        <f>PROPER(Sales_Data[[#This Row],[Month Name]])</f>
        <v>Junho</v>
      </c>
      <c r="R908" s="11" t="str">
        <f>PROPER(Sales_Data[[#This Row],[Sales Manager]])</f>
        <v>Emily White</v>
      </c>
    </row>
    <row r="909" spans="1:18" hidden="1" x14ac:dyDescent="0.25">
      <c r="A909">
        <v>10908</v>
      </c>
      <c r="B909">
        <v>2021</v>
      </c>
      <c r="C909" t="s">
        <v>71</v>
      </c>
      <c r="D909" s="8">
        <v>44373</v>
      </c>
      <c r="E909" t="s">
        <v>25</v>
      </c>
      <c r="F909" t="s">
        <v>24</v>
      </c>
      <c r="G909" t="s">
        <v>13</v>
      </c>
      <c r="H909" s="9">
        <v>4</v>
      </c>
      <c r="I909" s="9">
        <v>254</v>
      </c>
      <c r="J909" s="10">
        <v>190500</v>
      </c>
      <c r="K909" s="10">
        <v>78105</v>
      </c>
      <c r="L909">
        <v>26</v>
      </c>
      <c r="M909" s="8">
        <v>44287</v>
      </c>
      <c r="N909" s="23">
        <v>9.5959693906206797E-4</v>
      </c>
      <c r="O909" s="10" t="str">
        <f>IF(Sales_Data[[#This Row],[Total Profit]]&gt;0,"Profitable","Loss")</f>
        <v>Profitable</v>
      </c>
      <c r="P909" s="10" t="str">
        <f>IF(Sales_Data[[#This Row],[Total Profit]]&gt;100000,"High Value",IF(Sales_Data[[#This Row],[Total Profit]]&gt;60000,"Medium","Low"))</f>
        <v>Medium</v>
      </c>
      <c r="Q909" s="11" t="str">
        <f>PROPER(Sales_Data[[#This Row],[Month Name]])</f>
        <v>Junho</v>
      </c>
      <c r="R909" s="11" t="str">
        <f>PROPER(Sales_Data[[#This Row],[Sales Manager]])</f>
        <v>Liam Lee</v>
      </c>
    </row>
    <row r="910" spans="1:18" hidden="1" x14ac:dyDescent="0.25">
      <c r="A910">
        <v>10909</v>
      </c>
      <c r="B910">
        <v>2021</v>
      </c>
      <c r="C910" t="s">
        <v>71</v>
      </c>
      <c r="D910" s="8">
        <v>44374</v>
      </c>
      <c r="E910" t="s">
        <v>14</v>
      </c>
      <c r="F910" t="s">
        <v>16</v>
      </c>
      <c r="G910" t="s">
        <v>20</v>
      </c>
      <c r="H910" s="9">
        <v>12</v>
      </c>
      <c r="I910" s="9">
        <v>165</v>
      </c>
      <c r="J910" s="10">
        <v>140250</v>
      </c>
      <c r="K910" s="10">
        <v>42075</v>
      </c>
      <c r="L910">
        <v>27</v>
      </c>
      <c r="M910" s="8">
        <v>44287</v>
      </c>
      <c r="N910" s="23">
        <v>7.0647491182916004E-4</v>
      </c>
      <c r="O910" s="10" t="str">
        <f>IF(Sales_Data[[#This Row],[Total Profit]]&gt;0,"Profitable","Loss")</f>
        <v>Profitable</v>
      </c>
      <c r="P910" s="10" t="str">
        <f>IF(Sales_Data[[#This Row],[Total Profit]]&gt;100000,"High Value",IF(Sales_Data[[#This Row],[Total Profit]]&gt;60000,"Medium","Low"))</f>
        <v>Low</v>
      </c>
      <c r="Q910" s="11" t="str">
        <f>PROPER(Sales_Data[[#This Row],[Month Name]])</f>
        <v>Junho</v>
      </c>
      <c r="R910" s="11" t="str">
        <f>PROPER(Sales_Data[[#This Row],[Sales Manager]])</f>
        <v>James Brown</v>
      </c>
    </row>
    <row r="911" spans="1:18" hidden="1" x14ac:dyDescent="0.25">
      <c r="A911">
        <v>10910</v>
      </c>
      <c r="B911">
        <v>2021</v>
      </c>
      <c r="C911" t="s">
        <v>71</v>
      </c>
      <c r="D911" s="8">
        <v>44375</v>
      </c>
      <c r="E911" t="s">
        <v>22</v>
      </c>
      <c r="F911" t="s">
        <v>12</v>
      </c>
      <c r="G911" t="s">
        <v>15</v>
      </c>
      <c r="H911" s="9">
        <v>11</v>
      </c>
      <c r="I911" s="9">
        <v>396</v>
      </c>
      <c r="J911" s="10">
        <v>198000</v>
      </c>
      <c r="K911" s="10">
        <v>89100</v>
      </c>
      <c r="L911">
        <v>27</v>
      </c>
      <c r="M911" s="8">
        <v>44287</v>
      </c>
      <c r="N911" s="23">
        <v>9.9737634611175591E-4</v>
      </c>
      <c r="O911" s="10" t="str">
        <f>IF(Sales_Data[[#This Row],[Total Profit]]&gt;0,"Profitable","Loss")</f>
        <v>Profitable</v>
      </c>
      <c r="P911" s="10" t="str">
        <f>IF(Sales_Data[[#This Row],[Total Profit]]&gt;100000,"High Value",IF(Sales_Data[[#This Row],[Total Profit]]&gt;60000,"Medium","Low"))</f>
        <v>Medium</v>
      </c>
      <c r="Q911" s="11" t="str">
        <f>PROPER(Sales_Data[[#This Row],[Month Name]])</f>
        <v>Junho</v>
      </c>
      <c r="R911" s="11" t="str">
        <f>PROPER(Sales_Data[[#This Row],[Sales Manager]])</f>
        <v>Emily White</v>
      </c>
    </row>
    <row r="912" spans="1:18" hidden="1" x14ac:dyDescent="0.25">
      <c r="A912">
        <v>10911</v>
      </c>
      <c r="B912">
        <v>2021</v>
      </c>
      <c r="C912" t="s">
        <v>71</v>
      </c>
      <c r="D912" s="8">
        <v>44376</v>
      </c>
      <c r="E912" t="s">
        <v>11</v>
      </c>
      <c r="F912" t="s">
        <v>21</v>
      </c>
      <c r="G912" t="s">
        <v>15</v>
      </c>
      <c r="H912" s="9">
        <v>12</v>
      </c>
      <c r="I912" s="9">
        <v>233</v>
      </c>
      <c r="J912" s="10">
        <v>116500</v>
      </c>
      <c r="K912" s="10">
        <v>17475</v>
      </c>
      <c r="L912">
        <v>27</v>
      </c>
      <c r="M912" s="8">
        <v>44287</v>
      </c>
      <c r="N912" s="23">
        <v>5.8684012283848302E-4</v>
      </c>
      <c r="O912" s="10" t="str">
        <f>IF(Sales_Data[[#This Row],[Total Profit]]&gt;0,"Profitable","Loss")</f>
        <v>Profitable</v>
      </c>
      <c r="P912" s="10" t="str">
        <f>IF(Sales_Data[[#This Row],[Total Profit]]&gt;100000,"High Value",IF(Sales_Data[[#This Row],[Total Profit]]&gt;60000,"Medium","Low"))</f>
        <v>Low</v>
      </c>
      <c r="Q912" s="11" t="str">
        <f>PROPER(Sales_Data[[#This Row],[Month Name]])</f>
        <v>Junho</v>
      </c>
      <c r="R912" s="11" t="str">
        <f>PROPER(Sales_Data[[#This Row],[Sales Manager]])</f>
        <v>John Smith</v>
      </c>
    </row>
    <row r="913" spans="1:18" hidden="1" x14ac:dyDescent="0.25">
      <c r="A913">
        <v>10912</v>
      </c>
      <c r="B913">
        <v>2021</v>
      </c>
      <c r="C913" t="s">
        <v>71</v>
      </c>
      <c r="D913" s="8">
        <v>44377</v>
      </c>
      <c r="E913" t="s">
        <v>11</v>
      </c>
      <c r="F913" t="s">
        <v>12</v>
      </c>
      <c r="G913" t="s">
        <v>17</v>
      </c>
      <c r="H913" s="9">
        <v>20</v>
      </c>
      <c r="I913" s="9">
        <v>418</v>
      </c>
      <c r="J913" s="10">
        <v>104500</v>
      </c>
      <c r="K913" s="10">
        <v>20900</v>
      </c>
      <c r="L913">
        <v>27</v>
      </c>
      <c r="M913" s="8">
        <v>44287</v>
      </c>
      <c r="N913" s="23">
        <v>5.2639307155898205E-4</v>
      </c>
      <c r="O913" s="10" t="str">
        <f>IF(Sales_Data[[#This Row],[Total Profit]]&gt;0,"Profitable","Loss")</f>
        <v>Profitable</v>
      </c>
      <c r="P913" s="10" t="str">
        <f>IF(Sales_Data[[#This Row],[Total Profit]]&gt;100000,"High Value",IF(Sales_Data[[#This Row],[Total Profit]]&gt;60000,"Medium","Low"))</f>
        <v>Low</v>
      </c>
      <c r="Q913" s="11" t="str">
        <f>PROPER(Sales_Data[[#This Row],[Month Name]])</f>
        <v>Junho</v>
      </c>
      <c r="R913" s="11" t="str">
        <f>PROPER(Sales_Data[[#This Row],[Sales Manager]])</f>
        <v>Emily White</v>
      </c>
    </row>
    <row r="914" spans="1:18" hidden="1" x14ac:dyDescent="0.25">
      <c r="A914">
        <v>10913</v>
      </c>
      <c r="B914">
        <v>2021</v>
      </c>
      <c r="C914" t="s">
        <v>72</v>
      </c>
      <c r="D914" s="8">
        <v>44378</v>
      </c>
      <c r="E914" t="s">
        <v>22</v>
      </c>
      <c r="F914" t="s">
        <v>21</v>
      </c>
      <c r="G914" t="s">
        <v>13</v>
      </c>
      <c r="H914" s="9">
        <v>1</v>
      </c>
      <c r="I914" s="9">
        <v>17</v>
      </c>
      <c r="J914" s="10">
        <v>12750</v>
      </c>
      <c r="K914" s="10">
        <v>3825</v>
      </c>
      <c r="L914">
        <v>27</v>
      </c>
      <c r="M914" s="8">
        <v>44378</v>
      </c>
      <c r="N914" s="23">
        <v>6.4224991984469096E-5</v>
      </c>
      <c r="O914" s="10" t="str">
        <f>IF(Sales_Data[[#This Row],[Total Profit]]&gt;0,"Profitable","Loss")</f>
        <v>Profitable</v>
      </c>
      <c r="P914" s="10" t="str">
        <f>IF(Sales_Data[[#This Row],[Total Profit]]&gt;100000,"High Value",IF(Sales_Data[[#This Row],[Total Profit]]&gt;60000,"Medium","Low"))</f>
        <v>Low</v>
      </c>
      <c r="Q914" s="11" t="str">
        <f>PROPER(Sales_Data[[#This Row],[Month Name]])</f>
        <v>Julho</v>
      </c>
      <c r="R914" s="11" t="str">
        <f>PROPER(Sales_Data[[#This Row],[Sales Manager]])</f>
        <v>John Smith</v>
      </c>
    </row>
    <row r="915" spans="1:18" hidden="1" x14ac:dyDescent="0.25">
      <c r="A915">
        <v>10914</v>
      </c>
      <c r="B915">
        <v>2021</v>
      </c>
      <c r="C915" t="s">
        <v>72</v>
      </c>
      <c r="D915" s="8">
        <v>44379</v>
      </c>
      <c r="E915" t="s">
        <v>25</v>
      </c>
      <c r="F915" t="s">
        <v>24</v>
      </c>
      <c r="G915" t="s">
        <v>15</v>
      </c>
      <c r="H915" s="9">
        <v>5</v>
      </c>
      <c r="I915" s="9">
        <v>450</v>
      </c>
      <c r="J915" s="10">
        <v>225000</v>
      </c>
      <c r="K915" s="10">
        <v>42750</v>
      </c>
      <c r="L915">
        <v>27</v>
      </c>
      <c r="M915" s="8">
        <v>44378</v>
      </c>
      <c r="N915" s="23">
        <v>1.13338221149063E-3</v>
      </c>
      <c r="O915" s="10" t="str">
        <f>IF(Sales_Data[[#This Row],[Total Profit]]&gt;0,"Profitable","Loss")</f>
        <v>Profitable</v>
      </c>
      <c r="P915" s="10" t="str">
        <f>IF(Sales_Data[[#This Row],[Total Profit]]&gt;100000,"High Value",IF(Sales_Data[[#This Row],[Total Profit]]&gt;60000,"Medium","Low"))</f>
        <v>Low</v>
      </c>
      <c r="Q915" s="11" t="str">
        <f>PROPER(Sales_Data[[#This Row],[Month Name]])</f>
        <v>Julho</v>
      </c>
      <c r="R915" s="11" t="str">
        <f>PROPER(Sales_Data[[#This Row],[Sales Manager]])</f>
        <v>Liam Lee</v>
      </c>
    </row>
    <row r="916" spans="1:18" hidden="1" x14ac:dyDescent="0.25">
      <c r="A916">
        <v>10915</v>
      </c>
      <c r="B916">
        <v>2021</v>
      </c>
      <c r="C916" t="s">
        <v>72</v>
      </c>
      <c r="D916" s="8">
        <v>44380</v>
      </c>
      <c r="E916" t="s">
        <v>14</v>
      </c>
      <c r="F916" t="s">
        <v>12</v>
      </c>
      <c r="G916" t="s">
        <v>20</v>
      </c>
      <c r="H916" s="9">
        <v>12</v>
      </c>
      <c r="I916" s="9">
        <v>342</v>
      </c>
      <c r="J916" s="10">
        <v>290700</v>
      </c>
      <c r="K916" s="10">
        <v>93024</v>
      </c>
      <c r="L916">
        <v>27</v>
      </c>
      <c r="M916" s="8">
        <v>44378</v>
      </c>
      <c r="N916" s="23">
        <v>1.4643298172459E-3</v>
      </c>
      <c r="O916" s="10" t="str">
        <f>IF(Sales_Data[[#This Row],[Total Profit]]&gt;0,"Profitable","Loss")</f>
        <v>Profitable</v>
      </c>
      <c r="P916" s="10" t="str">
        <f>IF(Sales_Data[[#This Row],[Total Profit]]&gt;100000,"High Value",IF(Sales_Data[[#This Row],[Total Profit]]&gt;60000,"Medium","Low"))</f>
        <v>Medium</v>
      </c>
      <c r="Q916" s="11" t="str">
        <f>PROPER(Sales_Data[[#This Row],[Month Name]])</f>
        <v>Julho</v>
      </c>
      <c r="R916" s="11" t="str">
        <f>PROPER(Sales_Data[[#This Row],[Sales Manager]])</f>
        <v>Emily White</v>
      </c>
    </row>
    <row r="917" spans="1:18" hidden="1" x14ac:dyDescent="0.25">
      <c r="A917">
        <v>10916</v>
      </c>
      <c r="B917">
        <v>2021</v>
      </c>
      <c r="C917" t="s">
        <v>72</v>
      </c>
      <c r="D917" s="8">
        <v>44381</v>
      </c>
      <c r="E917" t="s">
        <v>22</v>
      </c>
      <c r="F917" t="s">
        <v>18</v>
      </c>
      <c r="G917" t="s">
        <v>15</v>
      </c>
      <c r="H917" s="9">
        <v>15</v>
      </c>
      <c r="I917" s="9">
        <v>386</v>
      </c>
      <c r="J917" s="10">
        <v>193000</v>
      </c>
      <c r="K917" s="10">
        <v>46320</v>
      </c>
      <c r="L917">
        <v>28</v>
      </c>
      <c r="M917" s="8">
        <v>44378</v>
      </c>
      <c r="N917" s="23">
        <v>9.7219007474529801E-4</v>
      </c>
      <c r="O917" s="10" t="str">
        <f>IF(Sales_Data[[#This Row],[Total Profit]]&gt;0,"Profitable","Loss")</f>
        <v>Profitable</v>
      </c>
      <c r="P917" s="10" t="str">
        <f>IF(Sales_Data[[#This Row],[Total Profit]]&gt;100000,"High Value",IF(Sales_Data[[#This Row],[Total Profit]]&gt;60000,"Medium","Low"))</f>
        <v>Low</v>
      </c>
      <c r="Q917" s="11" t="str">
        <f>PROPER(Sales_Data[[#This Row],[Month Name]])</f>
        <v>Julho</v>
      </c>
      <c r="R917" s="11" t="str">
        <f>PROPER(Sales_Data[[#This Row],[Sales Manager]])</f>
        <v>Jane Doe</v>
      </c>
    </row>
    <row r="918" spans="1:18" hidden="1" x14ac:dyDescent="0.25">
      <c r="A918">
        <v>10917</v>
      </c>
      <c r="B918">
        <v>2021</v>
      </c>
      <c r="C918" t="s">
        <v>72</v>
      </c>
      <c r="D918" s="8">
        <v>44382</v>
      </c>
      <c r="E918" t="s">
        <v>22</v>
      </c>
      <c r="F918" t="s">
        <v>18</v>
      </c>
      <c r="G918" t="s">
        <v>15</v>
      </c>
      <c r="H918" s="9">
        <v>7</v>
      </c>
      <c r="I918" s="9">
        <v>100</v>
      </c>
      <c r="J918" s="10">
        <v>50000</v>
      </c>
      <c r="K918" s="10">
        <v>17500</v>
      </c>
      <c r="L918">
        <v>28</v>
      </c>
      <c r="M918" s="8">
        <v>44378</v>
      </c>
      <c r="N918" s="23">
        <v>2.51862713664585E-4</v>
      </c>
      <c r="O918" s="10" t="str">
        <f>IF(Sales_Data[[#This Row],[Total Profit]]&gt;0,"Profitable","Loss")</f>
        <v>Profitable</v>
      </c>
      <c r="P918" s="10" t="str">
        <f>IF(Sales_Data[[#This Row],[Total Profit]]&gt;100000,"High Value",IF(Sales_Data[[#This Row],[Total Profit]]&gt;60000,"Medium","Low"))</f>
        <v>Low</v>
      </c>
      <c r="Q918" s="11" t="str">
        <f>PROPER(Sales_Data[[#This Row],[Month Name]])</f>
        <v>Julho</v>
      </c>
      <c r="R918" s="11" t="str">
        <f>PROPER(Sales_Data[[#This Row],[Sales Manager]])</f>
        <v>Jane Doe</v>
      </c>
    </row>
    <row r="919" spans="1:18" hidden="1" x14ac:dyDescent="0.25">
      <c r="A919">
        <v>10918</v>
      </c>
      <c r="B919">
        <v>2021</v>
      </c>
      <c r="C919" t="s">
        <v>72</v>
      </c>
      <c r="D919" s="8">
        <v>44383</v>
      </c>
      <c r="E919" t="s">
        <v>22</v>
      </c>
      <c r="F919" t="s">
        <v>24</v>
      </c>
      <c r="G919" t="s">
        <v>23</v>
      </c>
      <c r="H919" s="9">
        <v>4</v>
      </c>
      <c r="I919" s="9">
        <v>121</v>
      </c>
      <c r="J919" s="10">
        <v>42350</v>
      </c>
      <c r="K919" s="10">
        <v>19057.5</v>
      </c>
      <c r="L919">
        <v>28</v>
      </c>
      <c r="M919" s="8">
        <v>44378</v>
      </c>
      <c r="N919" s="23">
        <v>2.1332771847390301E-4</v>
      </c>
      <c r="O919" s="10" t="str">
        <f>IF(Sales_Data[[#This Row],[Total Profit]]&gt;0,"Profitable","Loss")</f>
        <v>Profitable</v>
      </c>
      <c r="P919" s="10" t="str">
        <f>IF(Sales_Data[[#This Row],[Total Profit]]&gt;100000,"High Value",IF(Sales_Data[[#This Row],[Total Profit]]&gt;60000,"Medium","Low"))</f>
        <v>Low</v>
      </c>
      <c r="Q919" s="11" t="str">
        <f>PROPER(Sales_Data[[#This Row],[Month Name]])</f>
        <v>Julho</v>
      </c>
      <c r="R919" s="11" t="str">
        <f>PROPER(Sales_Data[[#This Row],[Sales Manager]])</f>
        <v>Liam Lee</v>
      </c>
    </row>
    <row r="920" spans="1:18" hidden="1" x14ac:dyDescent="0.25">
      <c r="A920">
        <v>10919</v>
      </c>
      <c r="B920">
        <v>2021</v>
      </c>
      <c r="C920" t="s">
        <v>72</v>
      </c>
      <c r="D920" s="8">
        <v>44384</v>
      </c>
      <c r="E920" t="s">
        <v>19</v>
      </c>
      <c r="F920" t="s">
        <v>24</v>
      </c>
      <c r="G920" t="s">
        <v>23</v>
      </c>
      <c r="H920" s="9">
        <v>17</v>
      </c>
      <c r="I920" s="9">
        <v>245</v>
      </c>
      <c r="J920" s="10">
        <v>85750</v>
      </c>
      <c r="K920" s="10">
        <v>36015</v>
      </c>
      <c r="L920">
        <v>28</v>
      </c>
      <c r="M920" s="8">
        <v>44378</v>
      </c>
      <c r="N920" s="23">
        <v>4.3194455393476299E-4</v>
      </c>
      <c r="O920" s="10" t="str">
        <f>IF(Sales_Data[[#This Row],[Total Profit]]&gt;0,"Profitable","Loss")</f>
        <v>Profitable</v>
      </c>
      <c r="P920" s="10" t="str">
        <f>IF(Sales_Data[[#This Row],[Total Profit]]&gt;100000,"High Value",IF(Sales_Data[[#This Row],[Total Profit]]&gt;60000,"Medium","Low"))</f>
        <v>Low</v>
      </c>
      <c r="Q920" s="11" t="str">
        <f>PROPER(Sales_Data[[#This Row],[Month Name]])</f>
        <v>Julho</v>
      </c>
      <c r="R920" s="11" t="str">
        <f>PROPER(Sales_Data[[#This Row],[Sales Manager]])</f>
        <v>Liam Lee</v>
      </c>
    </row>
    <row r="921" spans="1:18" hidden="1" x14ac:dyDescent="0.25">
      <c r="A921">
        <v>10920</v>
      </c>
      <c r="B921">
        <v>2021</v>
      </c>
      <c r="C921" t="s">
        <v>72</v>
      </c>
      <c r="D921" s="8">
        <v>44385</v>
      </c>
      <c r="E921" t="s">
        <v>19</v>
      </c>
      <c r="F921" t="s">
        <v>24</v>
      </c>
      <c r="G921" t="s">
        <v>23</v>
      </c>
      <c r="H921" s="9">
        <v>2</v>
      </c>
      <c r="I921" s="9">
        <v>34</v>
      </c>
      <c r="J921" s="10">
        <v>11900</v>
      </c>
      <c r="K921" s="10">
        <v>3450.9999999999995</v>
      </c>
      <c r="L921">
        <v>28</v>
      </c>
      <c r="M921" s="8">
        <v>44378</v>
      </c>
      <c r="N921" s="23">
        <v>5.9943325852171199E-5</v>
      </c>
      <c r="O921" s="10" t="str">
        <f>IF(Sales_Data[[#This Row],[Total Profit]]&gt;0,"Profitable","Loss")</f>
        <v>Profitable</v>
      </c>
      <c r="P921" s="10" t="str">
        <f>IF(Sales_Data[[#This Row],[Total Profit]]&gt;100000,"High Value",IF(Sales_Data[[#This Row],[Total Profit]]&gt;60000,"Medium","Low"))</f>
        <v>Low</v>
      </c>
      <c r="Q921" s="11" t="str">
        <f>PROPER(Sales_Data[[#This Row],[Month Name]])</f>
        <v>Julho</v>
      </c>
      <c r="R921" s="11" t="str">
        <f>PROPER(Sales_Data[[#This Row],[Sales Manager]])</f>
        <v>Liam Lee</v>
      </c>
    </row>
    <row r="922" spans="1:18" hidden="1" x14ac:dyDescent="0.25">
      <c r="A922">
        <v>10921</v>
      </c>
      <c r="B922">
        <v>2021</v>
      </c>
      <c r="C922" t="s">
        <v>72</v>
      </c>
      <c r="D922" s="8">
        <v>44386</v>
      </c>
      <c r="E922" t="s">
        <v>14</v>
      </c>
      <c r="F922" t="s">
        <v>16</v>
      </c>
      <c r="G922" t="s">
        <v>13</v>
      </c>
      <c r="H922" s="9">
        <v>5</v>
      </c>
      <c r="I922" s="9">
        <v>293</v>
      </c>
      <c r="J922" s="10">
        <v>219750</v>
      </c>
      <c r="K922" s="10">
        <v>32962.5</v>
      </c>
      <c r="L922">
        <v>28</v>
      </c>
      <c r="M922" s="8">
        <v>44378</v>
      </c>
      <c r="N922" s="23">
        <v>1.1069366265558499E-3</v>
      </c>
      <c r="O922" s="10" t="str">
        <f>IF(Sales_Data[[#This Row],[Total Profit]]&gt;0,"Profitable","Loss")</f>
        <v>Profitable</v>
      </c>
      <c r="P922" s="10" t="str">
        <f>IF(Sales_Data[[#This Row],[Total Profit]]&gt;100000,"High Value",IF(Sales_Data[[#This Row],[Total Profit]]&gt;60000,"Medium","Low"))</f>
        <v>Low</v>
      </c>
      <c r="Q922" s="11" t="str">
        <f>PROPER(Sales_Data[[#This Row],[Month Name]])</f>
        <v>Julho</v>
      </c>
      <c r="R922" s="11" t="str">
        <f>PROPER(Sales_Data[[#This Row],[Sales Manager]])</f>
        <v>James Brown</v>
      </c>
    </row>
    <row r="923" spans="1:18" hidden="1" x14ac:dyDescent="0.25">
      <c r="A923">
        <v>10922</v>
      </c>
      <c r="B923">
        <v>2021</v>
      </c>
      <c r="C923" t="s">
        <v>72</v>
      </c>
      <c r="D923" s="8">
        <v>44387</v>
      </c>
      <c r="E923" t="s">
        <v>11</v>
      </c>
      <c r="F923" t="s">
        <v>21</v>
      </c>
      <c r="G923" t="s">
        <v>13</v>
      </c>
      <c r="H923" s="9">
        <v>5</v>
      </c>
      <c r="I923" s="9">
        <v>70</v>
      </c>
      <c r="J923" s="10">
        <v>52500</v>
      </c>
      <c r="K923" s="10">
        <v>10500</v>
      </c>
      <c r="L923">
        <v>28</v>
      </c>
      <c r="M923" s="8">
        <v>44378</v>
      </c>
      <c r="N923" s="23">
        <v>2.6445584934781401E-4</v>
      </c>
      <c r="O923" s="10" t="str">
        <f>IF(Sales_Data[[#This Row],[Total Profit]]&gt;0,"Profitable","Loss")</f>
        <v>Profitable</v>
      </c>
      <c r="P923" s="10" t="str">
        <f>IF(Sales_Data[[#This Row],[Total Profit]]&gt;100000,"High Value",IF(Sales_Data[[#This Row],[Total Profit]]&gt;60000,"Medium","Low"))</f>
        <v>Low</v>
      </c>
      <c r="Q923" s="11" t="str">
        <f>PROPER(Sales_Data[[#This Row],[Month Name]])</f>
        <v>Julho</v>
      </c>
      <c r="R923" s="11" t="str">
        <f>PROPER(Sales_Data[[#This Row],[Sales Manager]])</f>
        <v>John Smith</v>
      </c>
    </row>
    <row r="924" spans="1:18" hidden="1" x14ac:dyDescent="0.25">
      <c r="A924">
        <v>10923</v>
      </c>
      <c r="B924">
        <v>2021</v>
      </c>
      <c r="C924" t="s">
        <v>72</v>
      </c>
      <c r="D924" s="8">
        <v>44388</v>
      </c>
      <c r="E924" t="s">
        <v>14</v>
      </c>
      <c r="F924" t="s">
        <v>21</v>
      </c>
      <c r="G924" t="s">
        <v>17</v>
      </c>
      <c r="H924" s="9">
        <v>16</v>
      </c>
      <c r="I924" s="9">
        <v>234</v>
      </c>
      <c r="J924" s="10">
        <v>58500</v>
      </c>
      <c r="K924" s="10">
        <v>12870</v>
      </c>
      <c r="L924">
        <v>29</v>
      </c>
      <c r="M924" s="8">
        <v>44378</v>
      </c>
      <c r="N924" s="23">
        <v>2.9467937498756401E-4</v>
      </c>
      <c r="O924" s="10" t="str">
        <f>IF(Sales_Data[[#This Row],[Total Profit]]&gt;0,"Profitable","Loss")</f>
        <v>Profitable</v>
      </c>
      <c r="P924" s="10" t="str">
        <f>IF(Sales_Data[[#This Row],[Total Profit]]&gt;100000,"High Value",IF(Sales_Data[[#This Row],[Total Profit]]&gt;60000,"Medium","Low"))</f>
        <v>Low</v>
      </c>
      <c r="Q924" s="11" t="str">
        <f>PROPER(Sales_Data[[#This Row],[Month Name]])</f>
        <v>Julho</v>
      </c>
      <c r="R924" s="11" t="str">
        <f>PROPER(Sales_Data[[#This Row],[Sales Manager]])</f>
        <v>John Smith</v>
      </c>
    </row>
    <row r="925" spans="1:18" hidden="1" x14ac:dyDescent="0.25">
      <c r="A925">
        <v>10924</v>
      </c>
      <c r="B925">
        <v>2021</v>
      </c>
      <c r="C925" t="s">
        <v>72</v>
      </c>
      <c r="D925" s="8">
        <v>44389</v>
      </c>
      <c r="E925" t="s">
        <v>11</v>
      </c>
      <c r="F925" t="s">
        <v>21</v>
      </c>
      <c r="G925" t="s">
        <v>20</v>
      </c>
      <c r="H925" s="9">
        <v>15</v>
      </c>
      <c r="I925" s="9">
        <v>155</v>
      </c>
      <c r="J925" s="10">
        <v>131750</v>
      </c>
      <c r="K925" s="10">
        <v>54017.5</v>
      </c>
      <c r="L925">
        <v>29</v>
      </c>
      <c r="M925" s="8">
        <v>44378</v>
      </c>
      <c r="N925" s="23">
        <v>6.6365825050618103E-4</v>
      </c>
      <c r="O925" s="10" t="str">
        <f>IF(Sales_Data[[#This Row],[Total Profit]]&gt;0,"Profitable","Loss")</f>
        <v>Profitable</v>
      </c>
      <c r="P925" s="10" t="str">
        <f>IF(Sales_Data[[#This Row],[Total Profit]]&gt;100000,"High Value",IF(Sales_Data[[#This Row],[Total Profit]]&gt;60000,"Medium","Low"))</f>
        <v>Low</v>
      </c>
      <c r="Q925" s="11" t="str">
        <f>PROPER(Sales_Data[[#This Row],[Month Name]])</f>
        <v>Julho</v>
      </c>
      <c r="R925" s="11" t="str">
        <f>PROPER(Sales_Data[[#This Row],[Sales Manager]])</f>
        <v>John Smith</v>
      </c>
    </row>
    <row r="926" spans="1:18" hidden="1" x14ac:dyDescent="0.25">
      <c r="A926">
        <v>10925</v>
      </c>
      <c r="B926">
        <v>2021</v>
      </c>
      <c r="C926" t="s">
        <v>72</v>
      </c>
      <c r="D926" s="8">
        <v>44390</v>
      </c>
      <c r="E926" t="s">
        <v>11</v>
      </c>
      <c r="F926" t="s">
        <v>12</v>
      </c>
      <c r="G926" t="s">
        <v>17</v>
      </c>
      <c r="H926" s="9">
        <v>19</v>
      </c>
      <c r="I926" s="9">
        <v>460</v>
      </c>
      <c r="J926" s="10">
        <v>115000</v>
      </c>
      <c r="K926" s="10">
        <v>12650</v>
      </c>
      <c r="L926">
        <v>29</v>
      </c>
      <c r="M926" s="8">
        <v>44378</v>
      </c>
      <c r="N926" s="23">
        <v>5.7928424142854502E-4</v>
      </c>
      <c r="O926" s="10" t="str">
        <f>IF(Sales_Data[[#This Row],[Total Profit]]&gt;0,"Profitable","Loss")</f>
        <v>Profitable</v>
      </c>
      <c r="P926" s="10" t="str">
        <f>IF(Sales_Data[[#This Row],[Total Profit]]&gt;100000,"High Value",IF(Sales_Data[[#This Row],[Total Profit]]&gt;60000,"Medium","Low"))</f>
        <v>Low</v>
      </c>
      <c r="Q926" s="11" t="str">
        <f>PROPER(Sales_Data[[#This Row],[Month Name]])</f>
        <v>Julho</v>
      </c>
      <c r="R926" s="11" t="str">
        <f>PROPER(Sales_Data[[#This Row],[Sales Manager]])</f>
        <v>Emily White</v>
      </c>
    </row>
    <row r="927" spans="1:18" hidden="1" x14ac:dyDescent="0.25">
      <c r="A927">
        <v>10926</v>
      </c>
      <c r="B927">
        <v>2021</v>
      </c>
      <c r="C927" t="s">
        <v>72</v>
      </c>
      <c r="D927" s="8">
        <v>44391</v>
      </c>
      <c r="E927" t="s">
        <v>25</v>
      </c>
      <c r="F927" t="s">
        <v>18</v>
      </c>
      <c r="G927" t="s">
        <v>17</v>
      </c>
      <c r="H927" s="9">
        <v>47</v>
      </c>
      <c r="I927" s="9">
        <v>475</v>
      </c>
      <c r="J927" s="10">
        <v>118750</v>
      </c>
      <c r="K927" s="10">
        <v>16625</v>
      </c>
      <c r="L927">
        <v>29</v>
      </c>
      <c r="M927" s="8">
        <v>44378</v>
      </c>
      <c r="N927" s="23">
        <v>5.98173944953389E-4</v>
      </c>
      <c r="O927" s="10" t="str">
        <f>IF(Sales_Data[[#This Row],[Total Profit]]&gt;0,"Profitable","Loss")</f>
        <v>Profitable</v>
      </c>
      <c r="P927" s="10" t="str">
        <f>IF(Sales_Data[[#This Row],[Total Profit]]&gt;100000,"High Value",IF(Sales_Data[[#This Row],[Total Profit]]&gt;60000,"Medium","Low"))</f>
        <v>Low</v>
      </c>
      <c r="Q927" s="11" t="str">
        <f>PROPER(Sales_Data[[#This Row],[Month Name]])</f>
        <v>Julho</v>
      </c>
      <c r="R927" s="11" t="str">
        <f>PROPER(Sales_Data[[#This Row],[Sales Manager]])</f>
        <v>Jane Doe</v>
      </c>
    </row>
    <row r="928" spans="1:18" hidden="1" x14ac:dyDescent="0.25">
      <c r="A928">
        <v>10927</v>
      </c>
      <c r="B928">
        <v>2021</v>
      </c>
      <c r="C928" t="s">
        <v>72</v>
      </c>
      <c r="D928" s="8">
        <v>44392</v>
      </c>
      <c r="E928" t="s">
        <v>25</v>
      </c>
      <c r="F928" t="s">
        <v>18</v>
      </c>
      <c r="G928" t="s">
        <v>20</v>
      </c>
      <c r="H928" s="9">
        <v>9</v>
      </c>
      <c r="I928" s="9">
        <v>466</v>
      </c>
      <c r="J928" s="10">
        <v>396100</v>
      </c>
      <c r="K928" s="10">
        <v>110908.00000000001</v>
      </c>
      <c r="L928">
        <v>29</v>
      </c>
      <c r="M928" s="8">
        <v>44378</v>
      </c>
      <c r="N928" s="23">
        <v>1.9952564176508401E-3</v>
      </c>
      <c r="O928" s="10" t="str">
        <f>IF(Sales_Data[[#This Row],[Total Profit]]&gt;0,"Profitable","Loss")</f>
        <v>Profitable</v>
      </c>
      <c r="P928" s="10" t="str">
        <f>IF(Sales_Data[[#This Row],[Total Profit]]&gt;100000,"High Value",IF(Sales_Data[[#This Row],[Total Profit]]&gt;60000,"Medium","Low"))</f>
        <v>High Value</v>
      </c>
      <c r="Q928" s="11" t="str">
        <f>PROPER(Sales_Data[[#This Row],[Month Name]])</f>
        <v>Julho</v>
      </c>
      <c r="R928" s="11" t="str">
        <f>PROPER(Sales_Data[[#This Row],[Sales Manager]])</f>
        <v>Jane Doe</v>
      </c>
    </row>
    <row r="929" spans="1:18" hidden="1" x14ac:dyDescent="0.25">
      <c r="A929">
        <v>10928</v>
      </c>
      <c r="B929">
        <v>2021</v>
      </c>
      <c r="C929" t="s">
        <v>72</v>
      </c>
      <c r="D929" s="8">
        <v>44393</v>
      </c>
      <c r="E929" t="s">
        <v>14</v>
      </c>
      <c r="F929" t="s">
        <v>16</v>
      </c>
      <c r="G929" t="s">
        <v>15</v>
      </c>
      <c r="H929" s="9">
        <v>8</v>
      </c>
      <c r="I929" s="9">
        <v>157</v>
      </c>
      <c r="J929" s="10">
        <v>78500</v>
      </c>
      <c r="K929" s="10">
        <v>29830</v>
      </c>
      <c r="L929">
        <v>29</v>
      </c>
      <c r="M929" s="8">
        <v>44378</v>
      </c>
      <c r="N929" s="23">
        <v>3.9542446045339803E-4</v>
      </c>
      <c r="O929" s="10" t="str">
        <f>IF(Sales_Data[[#This Row],[Total Profit]]&gt;0,"Profitable","Loss")</f>
        <v>Profitable</v>
      </c>
      <c r="P929" s="10" t="str">
        <f>IF(Sales_Data[[#This Row],[Total Profit]]&gt;100000,"High Value",IF(Sales_Data[[#This Row],[Total Profit]]&gt;60000,"Medium","Low"))</f>
        <v>Low</v>
      </c>
      <c r="Q929" s="11" t="str">
        <f>PROPER(Sales_Data[[#This Row],[Month Name]])</f>
        <v>Julho</v>
      </c>
      <c r="R929" s="11" t="str">
        <f>PROPER(Sales_Data[[#This Row],[Sales Manager]])</f>
        <v>James Brown</v>
      </c>
    </row>
    <row r="930" spans="1:18" hidden="1" x14ac:dyDescent="0.25">
      <c r="A930">
        <v>10929</v>
      </c>
      <c r="B930">
        <v>2021</v>
      </c>
      <c r="C930" t="s">
        <v>72</v>
      </c>
      <c r="D930" s="8">
        <v>44394</v>
      </c>
      <c r="E930" t="s">
        <v>25</v>
      </c>
      <c r="F930" t="s">
        <v>24</v>
      </c>
      <c r="G930" t="s">
        <v>17</v>
      </c>
      <c r="H930" s="9">
        <v>2</v>
      </c>
      <c r="I930" s="9">
        <v>66</v>
      </c>
      <c r="J930" s="10">
        <v>16500</v>
      </c>
      <c r="K930" s="10">
        <v>4620</v>
      </c>
      <c r="L930">
        <v>29</v>
      </c>
      <c r="M930" s="8">
        <v>44378</v>
      </c>
      <c r="N930" s="23">
        <v>8.3114695509313002E-5</v>
      </c>
      <c r="O930" s="10" t="str">
        <f>IF(Sales_Data[[#This Row],[Total Profit]]&gt;0,"Profitable","Loss")</f>
        <v>Profitable</v>
      </c>
      <c r="P930" s="10" t="str">
        <f>IF(Sales_Data[[#This Row],[Total Profit]]&gt;100000,"High Value",IF(Sales_Data[[#This Row],[Total Profit]]&gt;60000,"Medium","Low"))</f>
        <v>Low</v>
      </c>
      <c r="Q930" s="11" t="str">
        <f>PROPER(Sales_Data[[#This Row],[Month Name]])</f>
        <v>Julho</v>
      </c>
      <c r="R930" s="11" t="str">
        <f>PROPER(Sales_Data[[#This Row],[Sales Manager]])</f>
        <v>Liam Lee</v>
      </c>
    </row>
    <row r="931" spans="1:18" hidden="1" x14ac:dyDescent="0.25">
      <c r="A931">
        <v>10930</v>
      </c>
      <c r="B931">
        <v>2021</v>
      </c>
      <c r="C931" t="s">
        <v>72</v>
      </c>
      <c r="D931" s="8">
        <v>44395</v>
      </c>
      <c r="E931" t="s">
        <v>25</v>
      </c>
      <c r="F931" t="s">
        <v>12</v>
      </c>
      <c r="G931" t="s">
        <v>17</v>
      </c>
      <c r="H931" s="9">
        <v>22</v>
      </c>
      <c r="I931" s="9">
        <v>238</v>
      </c>
      <c r="J931" s="10">
        <v>59500</v>
      </c>
      <c r="K931" s="10">
        <v>16660</v>
      </c>
      <c r="L931">
        <v>30</v>
      </c>
      <c r="M931" s="8">
        <v>44378</v>
      </c>
      <c r="N931" s="23">
        <v>2.9971662926085599E-4</v>
      </c>
      <c r="O931" s="10" t="str">
        <f>IF(Sales_Data[[#This Row],[Total Profit]]&gt;0,"Profitable","Loss")</f>
        <v>Profitable</v>
      </c>
      <c r="P931" s="10" t="str">
        <f>IF(Sales_Data[[#This Row],[Total Profit]]&gt;100000,"High Value",IF(Sales_Data[[#This Row],[Total Profit]]&gt;60000,"Medium","Low"))</f>
        <v>Low</v>
      </c>
      <c r="Q931" s="11" t="str">
        <f>PROPER(Sales_Data[[#This Row],[Month Name]])</f>
        <v>Julho</v>
      </c>
      <c r="R931" s="11" t="str">
        <f>PROPER(Sales_Data[[#This Row],[Sales Manager]])</f>
        <v>Emily White</v>
      </c>
    </row>
    <row r="932" spans="1:18" hidden="1" x14ac:dyDescent="0.25">
      <c r="A932">
        <v>10931</v>
      </c>
      <c r="B932">
        <v>2021</v>
      </c>
      <c r="C932" t="s">
        <v>72</v>
      </c>
      <c r="D932" s="8">
        <v>44396</v>
      </c>
      <c r="E932" t="s">
        <v>19</v>
      </c>
      <c r="F932" t="s">
        <v>24</v>
      </c>
      <c r="G932" t="s">
        <v>23</v>
      </c>
      <c r="H932" s="9">
        <v>18</v>
      </c>
      <c r="I932" s="9">
        <v>206</v>
      </c>
      <c r="J932" s="10">
        <v>72100</v>
      </c>
      <c r="K932" s="10">
        <v>23793</v>
      </c>
      <c r="L932">
        <v>30</v>
      </c>
      <c r="M932" s="8">
        <v>44378</v>
      </c>
      <c r="N932" s="23">
        <v>3.6318603310433101E-4</v>
      </c>
      <c r="O932" s="10" t="str">
        <f>IF(Sales_Data[[#This Row],[Total Profit]]&gt;0,"Profitable","Loss")</f>
        <v>Profitable</v>
      </c>
      <c r="P932" s="10" t="str">
        <f>IF(Sales_Data[[#This Row],[Total Profit]]&gt;100000,"High Value",IF(Sales_Data[[#This Row],[Total Profit]]&gt;60000,"Medium","Low"))</f>
        <v>Low</v>
      </c>
      <c r="Q932" s="11" t="str">
        <f>PROPER(Sales_Data[[#This Row],[Month Name]])</f>
        <v>Julho</v>
      </c>
      <c r="R932" s="11" t="str">
        <f>PROPER(Sales_Data[[#This Row],[Sales Manager]])</f>
        <v>Liam Lee</v>
      </c>
    </row>
    <row r="933" spans="1:18" hidden="1" x14ac:dyDescent="0.25">
      <c r="A933">
        <v>10932</v>
      </c>
      <c r="B933">
        <v>2021</v>
      </c>
      <c r="C933" t="s">
        <v>72</v>
      </c>
      <c r="D933" s="8">
        <v>44397</v>
      </c>
      <c r="E933" t="s">
        <v>25</v>
      </c>
      <c r="F933" t="s">
        <v>21</v>
      </c>
      <c r="G933" t="s">
        <v>13</v>
      </c>
      <c r="H933" s="9">
        <v>22</v>
      </c>
      <c r="I933" s="9">
        <v>237</v>
      </c>
      <c r="J933" s="10">
        <v>177750</v>
      </c>
      <c r="K933" s="10">
        <v>37327.5</v>
      </c>
      <c r="L933">
        <v>30</v>
      </c>
      <c r="M933" s="8">
        <v>44378</v>
      </c>
      <c r="N933" s="23">
        <v>8.9537194707759902E-4</v>
      </c>
      <c r="O933" s="10" t="str">
        <f>IF(Sales_Data[[#This Row],[Total Profit]]&gt;0,"Profitable","Loss")</f>
        <v>Profitable</v>
      </c>
      <c r="P933" s="10" t="str">
        <f>IF(Sales_Data[[#This Row],[Total Profit]]&gt;100000,"High Value",IF(Sales_Data[[#This Row],[Total Profit]]&gt;60000,"Medium","Low"))</f>
        <v>Low</v>
      </c>
      <c r="Q933" s="11" t="str">
        <f>PROPER(Sales_Data[[#This Row],[Month Name]])</f>
        <v>Julho</v>
      </c>
      <c r="R933" s="11" t="str">
        <f>PROPER(Sales_Data[[#This Row],[Sales Manager]])</f>
        <v>John Smith</v>
      </c>
    </row>
    <row r="934" spans="1:18" hidden="1" x14ac:dyDescent="0.25">
      <c r="A934">
        <v>10933</v>
      </c>
      <c r="B934">
        <v>2021</v>
      </c>
      <c r="C934" t="s">
        <v>72</v>
      </c>
      <c r="D934" s="8">
        <v>44398</v>
      </c>
      <c r="E934" t="s">
        <v>25</v>
      </c>
      <c r="F934" t="s">
        <v>18</v>
      </c>
      <c r="G934" t="s">
        <v>23</v>
      </c>
      <c r="H934" s="9">
        <v>10</v>
      </c>
      <c r="I934" s="9">
        <v>174</v>
      </c>
      <c r="J934" s="10">
        <v>60900</v>
      </c>
      <c r="K934" s="10">
        <v>9135</v>
      </c>
      <c r="L934">
        <v>30</v>
      </c>
      <c r="M934" s="8">
        <v>44378</v>
      </c>
      <c r="N934" s="23">
        <v>3.0676878524346402E-4</v>
      </c>
      <c r="O934" s="10" t="str">
        <f>IF(Sales_Data[[#This Row],[Total Profit]]&gt;0,"Profitable","Loss")</f>
        <v>Profitable</v>
      </c>
      <c r="P934" s="10" t="str">
        <f>IF(Sales_Data[[#This Row],[Total Profit]]&gt;100000,"High Value",IF(Sales_Data[[#This Row],[Total Profit]]&gt;60000,"Medium","Low"))</f>
        <v>Low</v>
      </c>
      <c r="Q934" s="11" t="str">
        <f>PROPER(Sales_Data[[#This Row],[Month Name]])</f>
        <v>Julho</v>
      </c>
      <c r="R934" s="11" t="str">
        <f>PROPER(Sales_Data[[#This Row],[Sales Manager]])</f>
        <v>Jane Doe</v>
      </c>
    </row>
    <row r="935" spans="1:18" hidden="1" x14ac:dyDescent="0.25">
      <c r="A935">
        <v>10934</v>
      </c>
      <c r="B935">
        <v>2021</v>
      </c>
      <c r="C935" t="s">
        <v>72</v>
      </c>
      <c r="D935" s="8">
        <v>44399</v>
      </c>
      <c r="E935" t="s">
        <v>11</v>
      </c>
      <c r="F935" t="s">
        <v>18</v>
      </c>
      <c r="G935" t="s">
        <v>15</v>
      </c>
      <c r="H935" s="9">
        <v>3</v>
      </c>
      <c r="I935" s="9">
        <v>34</v>
      </c>
      <c r="J935" s="10">
        <v>17000</v>
      </c>
      <c r="K935" s="10">
        <v>4590</v>
      </c>
      <c r="L935">
        <v>30</v>
      </c>
      <c r="M935" s="8">
        <v>44378</v>
      </c>
      <c r="N935" s="23">
        <v>8.5633322645958804E-5</v>
      </c>
      <c r="O935" s="10" t="str">
        <f>IF(Sales_Data[[#This Row],[Total Profit]]&gt;0,"Profitable","Loss")</f>
        <v>Profitable</v>
      </c>
      <c r="P935" s="10" t="str">
        <f>IF(Sales_Data[[#This Row],[Total Profit]]&gt;100000,"High Value",IF(Sales_Data[[#This Row],[Total Profit]]&gt;60000,"Medium","Low"))</f>
        <v>Low</v>
      </c>
      <c r="Q935" s="11" t="str">
        <f>PROPER(Sales_Data[[#This Row],[Month Name]])</f>
        <v>Julho</v>
      </c>
      <c r="R935" s="11" t="str">
        <f>PROPER(Sales_Data[[#This Row],[Sales Manager]])</f>
        <v>Jane Doe</v>
      </c>
    </row>
    <row r="936" spans="1:18" hidden="1" x14ac:dyDescent="0.25">
      <c r="A936">
        <v>10935</v>
      </c>
      <c r="B936">
        <v>2021</v>
      </c>
      <c r="C936" t="s">
        <v>72</v>
      </c>
      <c r="D936" s="8">
        <v>44400</v>
      </c>
      <c r="E936" t="s">
        <v>11</v>
      </c>
      <c r="F936" t="s">
        <v>24</v>
      </c>
      <c r="G936" t="s">
        <v>23</v>
      </c>
      <c r="H936" s="9">
        <v>1</v>
      </c>
      <c r="I936" s="9">
        <v>15</v>
      </c>
      <c r="J936" s="10">
        <v>5250</v>
      </c>
      <c r="K936" s="10">
        <v>1785.0000000000002</v>
      </c>
      <c r="L936">
        <v>30</v>
      </c>
      <c r="M936" s="8">
        <v>44378</v>
      </c>
      <c r="N936" s="23">
        <v>2.6445584934781399E-5</v>
      </c>
      <c r="O936" s="10" t="str">
        <f>IF(Sales_Data[[#This Row],[Total Profit]]&gt;0,"Profitable","Loss")</f>
        <v>Profitable</v>
      </c>
      <c r="P936" s="10" t="str">
        <f>IF(Sales_Data[[#This Row],[Total Profit]]&gt;100000,"High Value",IF(Sales_Data[[#This Row],[Total Profit]]&gt;60000,"Medium","Low"))</f>
        <v>Low</v>
      </c>
      <c r="Q936" s="11" t="str">
        <f>PROPER(Sales_Data[[#This Row],[Month Name]])</f>
        <v>Julho</v>
      </c>
      <c r="R936" s="11" t="str">
        <f>PROPER(Sales_Data[[#This Row],[Sales Manager]])</f>
        <v>Liam Lee</v>
      </c>
    </row>
    <row r="937" spans="1:18" hidden="1" x14ac:dyDescent="0.25">
      <c r="A937">
        <v>10936</v>
      </c>
      <c r="B937">
        <v>2021</v>
      </c>
      <c r="C937" t="s">
        <v>72</v>
      </c>
      <c r="D937" s="8">
        <v>44401</v>
      </c>
      <c r="E937" t="s">
        <v>11</v>
      </c>
      <c r="F937" t="s">
        <v>16</v>
      </c>
      <c r="G937" t="s">
        <v>15</v>
      </c>
      <c r="H937" s="9">
        <v>9</v>
      </c>
      <c r="I937" s="9">
        <v>383</v>
      </c>
      <c r="J937" s="10">
        <v>191500</v>
      </c>
      <c r="K937" s="10">
        <v>22980</v>
      </c>
      <c r="L937">
        <v>30</v>
      </c>
      <c r="M937" s="8">
        <v>44378</v>
      </c>
      <c r="N937" s="23">
        <v>9.6463419333536E-4</v>
      </c>
      <c r="O937" s="10" t="str">
        <f>IF(Sales_Data[[#This Row],[Total Profit]]&gt;0,"Profitable","Loss")</f>
        <v>Profitable</v>
      </c>
      <c r="P937" s="10" t="str">
        <f>IF(Sales_Data[[#This Row],[Total Profit]]&gt;100000,"High Value",IF(Sales_Data[[#This Row],[Total Profit]]&gt;60000,"Medium","Low"))</f>
        <v>Low</v>
      </c>
      <c r="Q937" s="11" t="str">
        <f>PROPER(Sales_Data[[#This Row],[Month Name]])</f>
        <v>Julho</v>
      </c>
      <c r="R937" s="11" t="str">
        <f>PROPER(Sales_Data[[#This Row],[Sales Manager]])</f>
        <v>James Brown</v>
      </c>
    </row>
    <row r="938" spans="1:18" hidden="1" x14ac:dyDescent="0.25">
      <c r="A938">
        <v>10937</v>
      </c>
      <c r="B938">
        <v>2021</v>
      </c>
      <c r="C938" t="s">
        <v>72</v>
      </c>
      <c r="D938" s="8">
        <v>44402</v>
      </c>
      <c r="E938" t="s">
        <v>11</v>
      </c>
      <c r="F938" t="s">
        <v>18</v>
      </c>
      <c r="G938" t="s">
        <v>20</v>
      </c>
      <c r="H938" s="9">
        <v>11</v>
      </c>
      <c r="I938" s="9">
        <v>119</v>
      </c>
      <c r="J938" s="10">
        <v>101150</v>
      </c>
      <c r="K938" s="10">
        <v>18207</v>
      </c>
      <c r="L938">
        <v>31</v>
      </c>
      <c r="M938" s="8">
        <v>44378</v>
      </c>
      <c r="N938" s="23">
        <v>5.0951826974345504E-4</v>
      </c>
      <c r="O938" s="10" t="str">
        <f>IF(Sales_Data[[#This Row],[Total Profit]]&gt;0,"Profitable","Loss")</f>
        <v>Profitable</v>
      </c>
      <c r="P938" s="10" t="str">
        <f>IF(Sales_Data[[#This Row],[Total Profit]]&gt;100000,"High Value",IF(Sales_Data[[#This Row],[Total Profit]]&gt;60000,"Medium","Low"))</f>
        <v>Low</v>
      </c>
      <c r="Q938" s="11" t="str">
        <f>PROPER(Sales_Data[[#This Row],[Month Name]])</f>
        <v>Julho</v>
      </c>
      <c r="R938" s="11" t="str">
        <f>PROPER(Sales_Data[[#This Row],[Sales Manager]])</f>
        <v>Jane Doe</v>
      </c>
    </row>
    <row r="939" spans="1:18" hidden="1" x14ac:dyDescent="0.25">
      <c r="A939">
        <v>10938</v>
      </c>
      <c r="B939">
        <v>2021</v>
      </c>
      <c r="C939" t="s">
        <v>72</v>
      </c>
      <c r="D939" s="8">
        <v>44403</v>
      </c>
      <c r="E939" t="s">
        <v>11</v>
      </c>
      <c r="F939" t="s">
        <v>21</v>
      </c>
      <c r="G939" t="s">
        <v>15</v>
      </c>
      <c r="H939" s="9">
        <v>1</v>
      </c>
      <c r="I939" s="9">
        <v>15</v>
      </c>
      <c r="J939" s="10">
        <v>7500</v>
      </c>
      <c r="K939" s="10">
        <v>2025.0000000000002</v>
      </c>
      <c r="L939">
        <v>31</v>
      </c>
      <c r="M939" s="8">
        <v>44378</v>
      </c>
      <c r="N939" s="23">
        <v>3.7779407049687697E-5</v>
      </c>
      <c r="O939" s="10" t="str">
        <f>IF(Sales_Data[[#This Row],[Total Profit]]&gt;0,"Profitable","Loss")</f>
        <v>Profitable</v>
      </c>
      <c r="P939" s="10" t="str">
        <f>IF(Sales_Data[[#This Row],[Total Profit]]&gt;100000,"High Value",IF(Sales_Data[[#This Row],[Total Profit]]&gt;60000,"Medium","Low"))</f>
        <v>Low</v>
      </c>
      <c r="Q939" s="11" t="str">
        <f>PROPER(Sales_Data[[#This Row],[Month Name]])</f>
        <v>Julho</v>
      </c>
      <c r="R939" s="11" t="str">
        <f>PROPER(Sales_Data[[#This Row],[Sales Manager]])</f>
        <v>John Smith</v>
      </c>
    </row>
    <row r="940" spans="1:18" hidden="1" x14ac:dyDescent="0.25">
      <c r="A940">
        <v>10939</v>
      </c>
      <c r="B940">
        <v>2021</v>
      </c>
      <c r="C940" t="s">
        <v>72</v>
      </c>
      <c r="D940" s="8">
        <v>44404</v>
      </c>
      <c r="E940" t="s">
        <v>22</v>
      </c>
      <c r="F940" t="s">
        <v>12</v>
      </c>
      <c r="G940" t="s">
        <v>15</v>
      </c>
      <c r="H940" s="9">
        <v>5</v>
      </c>
      <c r="I940" s="9">
        <v>81</v>
      </c>
      <c r="J940" s="10">
        <v>40500</v>
      </c>
      <c r="K940" s="10">
        <v>14175</v>
      </c>
      <c r="L940">
        <v>31</v>
      </c>
      <c r="M940" s="8">
        <v>44378</v>
      </c>
      <c r="N940" s="23">
        <v>2.0400879806831401E-4</v>
      </c>
      <c r="O940" s="10" t="str">
        <f>IF(Sales_Data[[#This Row],[Total Profit]]&gt;0,"Profitable","Loss")</f>
        <v>Profitable</v>
      </c>
      <c r="P940" s="10" t="str">
        <f>IF(Sales_Data[[#This Row],[Total Profit]]&gt;100000,"High Value",IF(Sales_Data[[#This Row],[Total Profit]]&gt;60000,"Medium","Low"))</f>
        <v>Low</v>
      </c>
      <c r="Q940" s="11" t="str">
        <f>PROPER(Sales_Data[[#This Row],[Month Name]])</f>
        <v>Julho</v>
      </c>
      <c r="R940" s="11" t="str">
        <f>PROPER(Sales_Data[[#This Row],[Sales Manager]])</f>
        <v>Emily White</v>
      </c>
    </row>
    <row r="941" spans="1:18" hidden="1" x14ac:dyDescent="0.25">
      <c r="A941">
        <v>10940</v>
      </c>
      <c r="B941">
        <v>2021</v>
      </c>
      <c r="C941" t="s">
        <v>72</v>
      </c>
      <c r="D941" s="8">
        <v>44405</v>
      </c>
      <c r="E941" t="s">
        <v>14</v>
      </c>
      <c r="F941" t="s">
        <v>18</v>
      </c>
      <c r="G941" t="s">
        <v>23</v>
      </c>
      <c r="H941" s="9">
        <v>27</v>
      </c>
      <c r="I941" s="9">
        <v>441</v>
      </c>
      <c r="J941" s="10">
        <v>154350</v>
      </c>
      <c r="K941" s="10">
        <v>69457.5</v>
      </c>
      <c r="L941">
        <v>31</v>
      </c>
      <c r="M941" s="8">
        <v>44378</v>
      </c>
      <c r="N941" s="23">
        <v>7.7750019708257398E-4</v>
      </c>
      <c r="O941" s="10" t="str">
        <f>IF(Sales_Data[[#This Row],[Total Profit]]&gt;0,"Profitable","Loss")</f>
        <v>Profitable</v>
      </c>
      <c r="P941" s="10" t="str">
        <f>IF(Sales_Data[[#This Row],[Total Profit]]&gt;100000,"High Value",IF(Sales_Data[[#This Row],[Total Profit]]&gt;60000,"Medium","Low"))</f>
        <v>Medium</v>
      </c>
      <c r="Q941" s="11" t="str">
        <f>PROPER(Sales_Data[[#This Row],[Month Name]])</f>
        <v>Julho</v>
      </c>
      <c r="R941" s="11" t="str">
        <f>PROPER(Sales_Data[[#This Row],[Sales Manager]])</f>
        <v>Jane Doe</v>
      </c>
    </row>
    <row r="942" spans="1:18" hidden="1" x14ac:dyDescent="0.25">
      <c r="A942">
        <v>10941</v>
      </c>
      <c r="B942">
        <v>2021</v>
      </c>
      <c r="C942" t="s">
        <v>72</v>
      </c>
      <c r="D942" s="8">
        <v>44406</v>
      </c>
      <c r="E942" t="s">
        <v>25</v>
      </c>
      <c r="F942" t="s">
        <v>16</v>
      </c>
      <c r="G942" t="s">
        <v>23</v>
      </c>
      <c r="H942" s="9">
        <v>15</v>
      </c>
      <c r="I942" s="9">
        <v>455</v>
      </c>
      <c r="J942" s="10">
        <v>159250</v>
      </c>
      <c r="K942" s="10">
        <v>39812.5</v>
      </c>
      <c r="L942">
        <v>31</v>
      </c>
      <c r="M942" s="8">
        <v>44378</v>
      </c>
      <c r="N942" s="23">
        <v>8.02182743021703E-4</v>
      </c>
      <c r="O942" s="10" t="str">
        <f>IF(Sales_Data[[#This Row],[Total Profit]]&gt;0,"Profitable","Loss")</f>
        <v>Profitable</v>
      </c>
      <c r="P942" s="10" t="str">
        <f>IF(Sales_Data[[#This Row],[Total Profit]]&gt;100000,"High Value",IF(Sales_Data[[#This Row],[Total Profit]]&gt;60000,"Medium","Low"))</f>
        <v>Low</v>
      </c>
      <c r="Q942" s="11" t="str">
        <f>PROPER(Sales_Data[[#This Row],[Month Name]])</f>
        <v>Julho</v>
      </c>
      <c r="R942" s="11" t="str">
        <f>PROPER(Sales_Data[[#This Row],[Sales Manager]])</f>
        <v>James Brown</v>
      </c>
    </row>
    <row r="943" spans="1:18" hidden="1" x14ac:dyDescent="0.25">
      <c r="A943">
        <v>10942</v>
      </c>
      <c r="B943">
        <v>2021</v>
      </c>
      <c r="C943" t="s">
        <v>72</v>
      </c>
      <c r="D943" s="8">
        <v>44407</v>
      </c>
      <c r="E943" t="s">
        <v>14</v>
      </c>
      <c r="F943" t="s">
        <v>16</v>
      </c>
      <c r="G943" t="s">
        <v>15</v>
      </c>
      <c r="H943" s="9">
        <v>29</v>
      </c>
      <c r="I943" s="9">
        <v>330</v>
      </c>
      <c r="J943" s="10">
        <v>165000</v>
      </c>
      <c r="K943" s="10">
        <v>59400</v>
      </c>
      <c r="L943">
        <v>31</v>
      </c>
      <c r="M943" s="8">
        <v>44378</v>
      </c>
      <c r="N943" s="23">
        <v>8.3114695509312996E-4</v>
      </c>
      <c r="O943" s="10" t="str">
        <f>IF(Sales_Data[[#This Row],[Total Profit]]&gt;0,"Profitable","Loss")</f>
        <v>Profitable</v>
      </c>
      <c r="P943" s="10" t="str">
        <f>IF(Sales_Data[[#This Row],[Total Profit]]&gt;100000,"High Value",IF(Sales_Data[[#This Row],[Total Profit]]&gt;60000,"Medium","Low"))</f>
        <v>Low</v>
      </c>
      <c r="Q943" s="11" t="str">
        <f>PROPER(Sales_Data[[#This Row],[Month Name]])</f>
        <v>Julho</v>
      </c>
      <c r="R943" s="11" t="str">
        <f>PROPER(Sales_Data[[#This Row],[Sales Manager]])</f>
        <v>James Brown</v>
      </c>
    </row>
    <row r="944" spans="1:18" hidden="1" x14ac:dyDescent="0.25">
      <c r="A944">
        <v>10943</v>
      </c>
      <c r="B944">
        <v>2021</v>
      </c>
      <c r="C944" t="s">
        <v>72</v>
      </c>
      <c r="D944" s="8">
        <v>44408</v>
      </c>
      <c r="E944" t="s">
        <v>11</v>
      </c>
      <c r="F944" t="s">
        <v>18</v>
      </c>
      <c r="G944" t="s">
        <v>17</v>
      </c>
      <c r="H944" s="9">
        <v>26</v>
      </c>
      <c r="I944" s="9">
        <v>442</v>
      </c>
      <c r="J944" s="10">
        <v>110500</v>
      </c>
      <c r="K944" s="10">
        <v>44200</v>
      </c>
      <c r="L944">
        <v>31</v>
      </c>
      <c r="M944" s="8">
        <v>44378</v>
      </c>
      <c r="N944" s="23">
        <v>5.5661659719873297E-4</v>
      </c>
      <c r="O944" s="10" t="str">
        <f>IF(Sales_Data[[#This Row],[Total Profit]]&gt;0,"Profitable","Loss")</f>
        <v>Profitable</v>
      </c>
      <c r="P944" s="10" t="str">
        <f>IF(Sales_Data[[#This Row],[Total Profit]]&gt;100000,"High Value",IF(Sales_Data[[#This Row],[Total Profit]]&gt;60000,"Medium","Low"))</f>
        <v>Low</v>
      </c>
      <c r="Q944" s="11" t="str">
        <f>PROPER(Sales_Data[[#This Row],[Month Name]])</f>
        <v>Julho</v>
      </c>
      <c r="R944" s="11" t="str">
        <f>PROPER(Sales_Data[[#This Row],[Sales Manager]])</f>
        <v>Jane Doe</v>
      </c>
    </row>
    <row r="945" spans="1:18" hidden="1" x14ac:dyDescent="0.25">
      <c r="A945">
        <v>10944</v>
      </c>
      <c r="B945">
        <v>2021</v>
      </c>
      <c r="C945" t="s">
        <v>73</v>
      </c>
      <c r="D945" s="8">
        <v>44409</v>
      </c>
      <c r="E945" t="s">
        <v>22</v>
      </c>
      <c r="F945" t="s">
        <v>21</v>
      </c>
      <c r="G945" t="s">
        <v>23</v>
      </c>
      <c r="H945" s="9">
        <v>23</v>
      </c>
      <c r="I945" s="9">
        <v>397</v>
      </c>
      <c r="J945" s="10">
        <v>138950</v>
      </c>
      <c r="K945" s="10">
        <v>56969.5</v>
      </c>
      <c r="L945">
        <v>32</v>
      </c>
      <c r="M945" s="8">
        <v>44378</v>
      </c>
      <c r="N945" s="23">
        <v>6.9992648127388101E-4</v>
      </c>
      <c r="O945" s="10" t="str">
        <f>IF(Sales_Data[[#This Row],[Total Profit]]&gt;0,"Profitable","Loss")</f>
        <v>Profitable</v>
      </c>
      <c r="P945" s="10" t="str">
        <f>IF(Sales_Data[[#This Row],[Total Profit]]&gt;100000,"High Value",IF(Sales_Data[[#This Row],[Total Profit]]&gt;60000,"Medium","Low"))</f>
        <v>Low</v>
      </c>
      <c r="Q945" s="11" t="str">
        <f>PROPER(Sales_Data[[#This Row],[Month Name]])</f>
        <v>Agosto</v>
      </c>
      <c r="R945" s="11" t="str">
        <f>PROPER(Sales_Data[[#This Row],[Sales Manager]])</f>
        <v>John Smith</v>
      </c>
    </row>
    <row r="946" spans="1:18" hidden="1" x14ac:dyDescent="0.25">
      <c r="A946">
        <v>10945</v>
      </c>
      <c r="B946">
        <v>2021</v>
      </c>
      <c r="C946" t="s">
        <v>73</v>
      </c>
      <c r="D946" s="8">
        <v>44410</v>
      </c>
      <c r="E946" t="s">
        <v>14</v>
      </c>
      <c r="F946" t="s">
        <v>16</v>
      </c>
      <c r="G946" t="s">
        <v>13</v>
      </c>
      <c r="H946" s="9">
        <v>19</v>
      </c>
      <c r="I946" s="9">
        <v>359</v>
      </c>
      <c r="J946" s="10">
        <v>269250</v>
      </c>
      <c r="K946" s="10">
        <v>64620</v>
      </c>
      <c r="L946">
        <v>32</v>
      </c>
      <c r="M946" s="8">
        <v>44378</v>
      </c>
      <c r="N946" s="23">
        <v>1.35628071308379E-3</v>
      </c>
      <c r="O946" s="10" t="str">
        <f>IF(Sales_Data[[#This Row],[Total Profit]]&gt;0,"Profitable","Loss")</f>
        <v>Profitable</v>
      </c>
      <c r="P946" s="10" t="str">
        <f>IF(Sales_Data[[#This Row],[Total Profit]]&gt;100000,"High Value",IF(Sales_Data[[#This Row],[Total Profit]]&gt;60000,"Medium","Low"))</f>
        <v>Medium</v>
      </c>
      <c r="Q946" s="11" t="str">
        <f>PROPER(Sales_Data[[#This Row],[Month Name]])</f>
        <v>Agosto</v>
      </c>
      <c r="R946" s="11" t="str">
        <f>PROPER(Sales_Data[[#This Row],[Sales Manager]])</f>
        <v>James Brown</v>
      </c>
    </row>
    <row r="947" spans="1:18" hidden="1" x14ac:dyDescent="0.25">
      <c r="A947">
        <v>10946</v>
      </c>
      <c r="B947">
        <v>2021</v>
      </c>
      <c r="C947" t="s">
        <v>73</v>
      </c>
      <c r="D947" s="8">
        <v>44411</v>
      </c>
      <c r="E947" t="s">
        <v>22</v>
      </c>
      <c r="F947" t="s">
        <v>12</v>
      </c>
      <c r="G947" t="s">
        <v>17</v>
      </c>
      <c r="H947" s="9">
        <v>11</v>
      </c>
      <c r="I947" s="9">
        <v>177</v>
      </c>
      <c r="J947" s="10">
        <v>44250</v>
      </c>
      <c r="K947" s="10">
        <v>14602.5</v>
      </c>
      <c r="L947">
        <v>32</v>
      </c>
      <c r="M947" s="8">
        <v>44378</v>
      </c>
      <c r="N947" s="23">
        <v>2.2289850159315801E-4</v>
      </c>
      <c r="O947" s="10" t="str">
        <f>IF(Sales_Data[[#This Row],[Total Profit]]&gt;0,"Profitable","Loss")</f>
        <v>Profitable</v>
      </c>
      <c r="P947" s="10" t="str">
        <f>IF(Sales_Data[[#This Row],[Total Profit]]&gt;100000,"High Value",IF(Sales_Data[[#This Row],[Total Profit]]&gt;60000,"Medium","Low"))</f>
        <v>Low</v>
      </c>
      <c r="Q947" s="11" t="str">
        <f>PROPER(Sales_Data[[#This Row],[Month Name]])</f>
        <v>Agosto</v>
      </c>
      <c r="R947" s="11" t="str">
        <f>PROPER(Sales_Data[[#This Row],[Sales Manager]])</f>
        <v>Emily White</v>
      </c>
    </row>
    <row r="948" spans="1:18" hidden="1" x14ac:dyDescent="0.25">
      <c r="A948">
        <v>10947</v>
      </c>
      <c r="B948">
        <v>2021</v>
      </c>
      <c r="C948" t="s">
        <v>73</v>
      </c>
      <c r="D948" s="8">
        <v>44412</v>
      </c>
      <c r="E948" t="s">
        <v>22</v>
      </c>
      <c r="F948" t="s">
        <v>18</v>
      </c>
      <c r="G948" t="s">
        <v>15</v>
      </c>
      <c r="H948" s="9">
        <v>8</v>
      </c>
      <c r="I948" s="9">
        <v>449</v>
      </c>
      <c r="J948" s="10">
        <v>224500</v>
      </c>
      <c r="K948" s="10">
        <v>101025</v>
      </c>
      <c r="L948">
        <v>32</v>
      </c>
      <c r="M948" s="8">
        <v>44378</v>
      </c>
      <c r="N948" s="23">
        <v>1.1308635843539901E-3</v>
      </c>
      <c r="O948" s="10" t="str">
        <f>IF(Sales_Data[[#This Row],[Total Profit]]&gt;0,"Profitable","Loss")</f>
        <v>Profitable</v>
      </c>
      <c r="P948" s="10" t="str">
        <f>IF(Sales_Data[[#This Row],[Total Profit]]&gt;100000,"High Value",IF(Sales_Data[[#This Row],[Total Profit]]&gt;60000,"Medium","Low"))</f>
        <v>High Value</v>
      </c>
      <c r="Q948" s="11" t="str">
        <f>PROPER(Sales_Data[[#This Row],[Month Name]])</f>
        <v>Agosto</v>
      </c>
      <c r="R948" s="11" t="str">
        <f>PROPER(Sales_Data[[#This Row],[Sales Manager]])</f>
        <v>Jane Doe</v>
      </c>
    </row>
    <row r="949" spans="1:18" hidden="1" x14ac:dyDescent="0.25">
      <c r="A949">
        <v>10948</v>
      </c>
      <c r="B949">
        <v>2021</v>
      </c>
      <c r="C949" t="s">
        <v>73</v>
      </c>
      <c r="D949" s="8">
        <v>44413</v>
      </c>
      <c r="E949" t="s">
        <v>19</v>
      </c>
      <c r="F949" t="s">
        <v>12</v>
      </c>
      <c r="G949" t="s">
        <v>23</v>
      </c>
      <c r="H949" s="9">
        <v>21</v>
      </c>
      <c r="I949" s="9">
        <v>422</v>
      </c>
      <c r="J949" s="10">
        <v>147700</v>
      </c>
      <c r="K949" s="10">
        <v>25109</v>
      </c>
      <c r="L949">
        <v>32</v>
      </c>
      <c r="M949" s="8">
        <v>44378</v>
      </c>
      <c r="N949" s="23">
        <v>7.4400245616518398E-4</v>
      </c>
      <c r="O949" s="10" t="str">
        <f>IF(Sales_Data[[#This Row],[Total Profit]]&gt;0,"Profitable","Loss")</f>
        <v>Profitable</v>
      </c>
      <c r="P949" s="10" t="str">
        <f>IF(Sales_Data[[#This Row],[Total Profit]]&gt;100000,"High Value",IF(Sales_Data[[#This Row],[Total Profit]]&gt;60000,"Medium","Low"))</f>
        <v>Low</v>
      </c>
      <c r="Q949" s="11" t="str">
        <f>PROPER(Sales_Data[[#This Row],[Month Name]])</f>
        <v>Agosto</v>
      </c>
      <c r="R949" s="11" t="str">
        <f>PROPER(Sales_Data[[#This Row],[Sales Manager]])</f>
        <v>Emily White</v>
      </c>
    </row>
    <row r="950" spans="1:18" hidden="1" x14ac:dyDescent="0.25">
      <c r="A950">
        <v>10949</v>
      </c>
      <c r="B950">
        <v>2021</v>
      </c>
      <c r="C950" t="s">
        <v>73</v>
      </c>
      <c r="D950" s="8">
        <v>44414</v>
      </c>
      <c r="E950" t="s">
        <v>22</v>
      </c>
      <c r="F950" t="s">
        <v>18</v>
      </c>
      <c r="G950" t="s">
        <v>15</v>
      </c>
      <c r="H950" s="9">
        <v>2</v>
      </c>
      <c r="I950" s="9">
        <v>43</v>
      </c>
      <c r="J950" s="10">
        <v>21500</v>
      </c>
      <c r="K950" s="10">
        <v>8170</v>
      </c>
      <c r="L950">
        <v>32</v>
      </c>
      <c r="M950" s="8">
        <v>44378</v>
      </c>
      <c r="N950" s="23">
        <v>1.0830096687577199E-4</v>
      </c>
      <c r="O950" s="10" t="str">
        <f>IF(Sales_Data[[#This Row],[Total Profit]]&gt;0,"Profitable","Loss")</f>
        <v>Profitable</v>
      </c>
      <c r="P950" s="10" t="str">
        <f>IF(Sales_Data[[#This Row],[Total Profit]]&gt;100000,"High Value",IF(Sales_Data[[#This Row],[Total Profit]]&gt;60000,"Medium","Low"))</f>
        <v>Low</v>
      </c>
      <c r="Q950" s="11" t="str">
        <f>PROPER(Sales_Data[[#This Row],[Month Name]])</f>
        <v>Agosto</v>
      </c>
      <c r="R950" s="11" t="str">
        <f>PROPER(Sales_Data[[#This Row],[Sales Manager]])</f>
        <v>Jane Doe</v>
      </c>
    </row>
    <row r="951" spans="1:18" hidden="1" x14ac:dyDescent="0.25">
      <c r="A951">
        <v>10950</v>
      </c>
      <c r="B951">
        <v>2021</v>
      </c>
      <c r="C951" t="s">
        <v>73</v>
      </c>
      <c r="D951" s="8">
        <v>44415</v>
      </c>
      <c r="E951" t="s">
        <v>22</v>
      </c>
      <c r="F951" t="s">
        <v>18</v>
      </c>
      <c r="G951" t="s">
        <v>13</v>
      </c>
      <c r="H951" s="9">
        <v>32</v>
      </c>
      <c r="I951" s="9">
        <v>393</v>
      </c>
      <c r="J951" s="10">
        <v>294750</v>
      </c>
      <c r="K951" s="10">
        <v>64845</v>
      </c>
      <c r="L951">
        <v>32</v>
      </c>
      <c r="M951" s="8">
        <v>44378</v>
      </c>
      <c r="N951" s="23">
        <v>1.4847306970527301E-3</v>
      </c>
      <c r="O951" s="10" t="str">
        <f>IF(Sales_Data[[#This Row],[Total Profit]]&gt;0,"Profitable","Loss")</f>
        <v>Profitable</v>
      </c>
      <c r="P951" s="10" t="str">
        <f>IF(Sales_Data[[#This Row],[Total Profit]]&gt;100000,"High Value",IF(Sales_Data[[#This Row],[Total Profit]]&gt;60000,"Medium","Low"))</f>
        <v>Medium</v>
      </c>
      <c r="Q951" s="11" t="str">
        <f>PROPER(Sales_Data[[#This Row],[Month Name]])</f>
        <v>Agosto</v>
      </c>
      <c r="R951" s="11" t="str">
        <f>PROPER(Sales_Data[[#This Row],[Sales Manager]])</f>
        <v>Jane Doe</v>
      </c>
    </row>
    <row r="952" spans="1:18" hidden="1" x14ac:dyDescent="0.25">
      <c r="A952">
        <v>10951</v>
      </c>
      <c r="B952">
        <v>2021</v>
      </c>
      <c r="C952" t="s">
        <v>73</v>
      </c>
      <c r="D952" s="8">
        <v>44416</v>
      </c>
      <c r="E952" t="s">
        <v>22</v>
      </c>
      <c r="F952" t="s">
        <v>12</v>
      </c>
      <c r="G952" t="s">
        <v>17</v>
      </c>
      <c r="H952" s="9">
        <v>21</v>
      </c>
      <c r="I952" s="9">
        <v>314</v>
      </c>
      <c r="J952" s="10">
        <v>78500</v>
      </c>
      <c r="K952" s="10">
        <v>29830</v>
      </c>
      <c r="L952">
        <v>33</v>
      </c>
      <c r="M952" s="8">
        <v>44378</v>
      </c>
      <c r="N952" s="23">
        <v>3.9542446045339803E-4</v>
      </c>
      <c r="O952" s="10" t="str">
        <f>IF(Sales_Data[[#This Row],[Total Profit]]&gt;0,"Profitable","Loss")</f>
        <v>Profitable</v>
      </c>
      <c r="P952" s="10" t="str">
        <f>IF(Sales_Data[[#This Row],[Total Profit]]&gt;100000,"High Value",IF(Sales_Data[[#This Row],[Total Profit]]&gt;60000,"Medium","Low"))</f>
        <v>Low</v>
      </c>
      <c r="Q952" s="11" t="str">
        <f>PROPER(Sales_Data[[#This Row],[Month Name]])</f>
        <v>Agosto</v>
      </c>
      <c r="R952" s="11" t="str">
        <f>PROPER(Sales_Data[[#This Row],[Sales Manager]])</f>
        <v>Emily White</v>
      </c>
    </row>
    <row r="953" spans="1:18" hidden="1" x14ac:dyDescent="0.25">
      <c r="A953">
        <v>10952</v>
      </c>
      <c r="B953">
        <v>2021</v>
      </c>
      <c r="C953" t="s">
        <v>73</v>
      </c>
      <c r="D953" s="8">
        <v>44417</v>
      </c>
      <c r="E953" t="s">
        <v>11</v>
      </c>
      <c r="F953" t="s">
        <v>24</v>
      </c>
      <c r="G953" t="s">
        <v>13</v>
      </c>
      <c r="H953" s="9">
        <v>40</v>
      </c>
      <c r="I953" s="9">
        <v>477</v>
      </c>
      <c r="J953" s="10">
        <v>357750</v>
      </c>
      <c r="K953" s="10">
        <v>121635.00000000001</v>
      </c>
      <c r="L953">
        <v>33</v>
      </c>
      <c r="M953" s="8">
        <v>44378</v>
      </c>
      <c r="N953" s="23">
        <v>1.8020777162700999E-3</v>
      </c>
      <c r="O953" s="10" t="str">
        <f>IF(Sales_Data[[#This Row],[Total Profit]]&gt;0,"Profitable","Loss")</f>
        <v>Profitable</v>
      </c>
      <c r="P953" s="10" t="str">
        <f>IF(Sales_Data[[#This Row],[Total Profit]]&gt;100000,"High Value",IF(Sales_Data[[#This Row],[Total Profit]]&gt;60000,"Medium","Low"))</f>
        <v>High Value</v>
      </c>
      <c r="Q953" s="11" t="str">
        <f>PROPER(Sales_Data[[#This Row],[Month Name]])</f>
        <v>Agosto</v>
      </c>
      <c r="R953" s="11" t="str">
        <f>PROPER(Sales_Data[[#This Row],[Sales Manager]])</f>
        <v>Liam Lee</v>
      </c>
    </row>
    <row r="954" spans="1:18" hidden="1" x14ac:dyDescent="0.25">
      <c r="A954">
        <v>10953</v>
      </c>
      <c r="B954">
        <v>2021</v>
      </c>
      <c r="C954" t="s">
        <v>73</v>
      </c>
      <c r="D954" s="8">
        <v>44418</v>
      </c>
      <c r="E954" t="s">
        <v>19</v>
      </c>
      <c r="F954" t="s">
        <v>18</v>
      </c>
      <c r="G954" t="s">
        <v>15</v>
      </c>
      <c r="H954" s="9">
        <v>10</v>
      </c>
      <c r="I954" s="9">
        <v>149</v>
      </c>
      <c r="J954" s="10">
        <v>74500</v>
      </c>
      <c r="K954" s="10">
        <v>29055</v>
      </c>
      <c r="L954">
        <v>33</v>
      </c>
      <c r="M954" s="8">
        <v>44378</v>
      </c>
      <c r="N954" s="23">
        <v>3.7527544336023102E-4</v>
      </c>
      <c r="O954" s="10" t="str">
        <f>IF(Sales_Data[[#This Row],[Total Profit]]&gt;0,"Profitable","Loss")</f>
        <v>Profitable</v>
      </c>
      <c r="P954" s="10" t="str">
        <f>IF(Sales_Data[[#This Row],[Total Profit]]&gt;100000,"High Value",IF(Sales_Data[[#This Row],[Total Profit]]&gt;60000,"Medium","Low"))</f>
        <v>Low</v>
      </c>
      <c r="Q954" s="11" t="str">
        <f>PROPER(Sales_Data[[#This Row],[Month Name]])</f>
        <v>Agosto</v>
      </c>
      <c r="R954" s="11" t="str">
        <f>PROPER(Sales_Data[[#This Row],[Sales Manager]])</f>
        <v>Jane Doe</v>
      </c>
    </row>
    <row r="955" spans="1:18" hidden="1" x14ac:dyDescent="0.25">
      <c r="A955">
        <v>10954</v>
      </c>
      <c r="B955">
        <v>2021</v>
      </c>
      <c r="C955" t="s">
        <v>73</v>
      </c>
      <c r="D955" s="8">
        <v>44419</v>
      </c>
      <c r="E955" t="s">
        <v>19</v>
      </c>
      <c r="F955" t="s">
        <v>21</v>
      </c>
      <c r="G955" t="s">
        <v>13</v>
      </c>
      <c r="H955" s="9">
        <v>42</v>
      </c>
      <c r="I955" s="9">
        <v>478</v>
      </c>
      <c r="J955" s="10">
        <v>358500</v>
      </c>
      <c r="K955" s="10">
        <v>50190.000000000007</v>
      </c>
      <c r="L955">
        <v>33</v>
      </c>
      <c r="M955" s="8">
        <v>44378</v>
      </c>
      <c r="N955" s="23">
        <v>1.8058556569750699E-3</v>
      </c>
      <c r="O955" s="10" t="str">
        <f>IF(Sales_Data[[#This Row],[Total Profit]]&gt;0,"Profitable","Loss")</f>
        <v>Profitable</v>
      </c>
      <c r="P955" s="10" t="str">
        <f>IF(Sales_Data[[#This Row],[Total Profit]]&gt;100000,"High Value",IF(Sales_Data[[#This Row],[Total Profit]]&gt;60000,"Medium","Low"))</f>
        <v>Low</v>
      </c>
      <c r="Q955" s="11" t="str">
        <f>PROPER(Sales_Data[[#This Row],[Month Name]])</f>
        <v>Agosto</v>
      </c>
      <c r="R955" s="11" t="str">
        <f>PROPER(Sales_Data[[#This Row],[Sales Manager]])</f>
        <v>John Smith</v>
      </c>
    </row>
    <row r="956" spans="1:18" hidden="1" x14ac:dyDescent="0.25">
      <c r="A956">
        <v>10955</v>
      </c>
      <c r="B956">
        <v>2021</v>
      </c>
      <c r="C956" t="s">
        <v>73</v>
      </c>
      <c r="D956" s="8">
        <v>44420</v>
      </c>
      <c r="E956" t="s">
        <v>11</v>
      </c>
      <c r="F956" t="s">
        <v>12</v>
      </c>
      <c r="G956" t="s">
        <v>13</v>
      </c>
      <c r="H956" s="9">
        <v>12</v>
      </c>
      <c r="I956" s="9">
        <v>172</v>
      </c>
      <c r="J956" s="10">
        <v>129000</v>
      </c>
      <c r="K956" s="10">
        <v>28380</v>
      </c>
      <c r="L956">
        <v>33</v>
      </c>
      <c r="M956" s="8">
        <v>44378</v>
      </c>
      <c r="N956" s="23">
        <v>6.4980580125462899E-4</v>
      </c>
      <c r="O956" s="10" t="str">
        <f>IF(Sales_Data[[#This Row],[Total Profit]]&gt;0,"Profitable","Loss")</f>
        <v>Profitable</v>
      </c>
      <c r="P956" s="10" t="str">
        <f>IF(Sales_Data[[#This Row],[Total Profit]]&gt;100000,"High Value",IF(Sales_Data[[#This Row],[Total Profit]]&gt;60000,"Medium","Low"))</f>
        <v>Low</v>
      </c>
      <c r="Q956" s="11" t="str">
        <f>PROPER(Sales_Data[[#This Row],[Month Name]])</f>
        <v>Agosto</v>
      </c>
      <c r="R956" s="11" t="str">
        <f>PROPER(Sales_Data[[#This Row],[Sales Manager]])</f>
        <v>Emily White</v>
      </c>
    </row>
    <row r="957" spans="1:18" hidden="1" x14ac:dyDescent="0.25">
      <c r="A957">
        <v>10956</v>
      </c>
      <c r="B957">
        <v>2021</v>
      </c>
      <c r="C957" t="s">
        <v>73</v>
      </c>
      <c r="D957" s="8">
        <v>44421</v>
      </c>
      <c r="E957" t="s">
        <v>11</v>
      </c>
      <c r="F957" t="s">
        <v>16</v>
      </c>
      <c r="G957" t="s">
        <v>23</v>
      </c>
      <c r="H957" s="9">
        <v>12</v>
      </c>
      <c r="I957" s="9">
        <v>221</v>
      </c>
      <c r="J957" s="10">
        <v>77350</v>
      </c>
      <c r="K957" s="10">
        <v>17017</v>
      </c>
      <c r="L957">
        <v>33</v>
      </c>
      <c r="M957" s="8">
        <v>44378</v>
      </c>
      <c r="N957" s="23">
        <v>3.8963161803911298E-4</v>
      </c>
      <c r="O957" s="10" t="str">
        <f>IF(Sales_Data[[#This Row],[Total Profit]]&gt;0,"Profitable","Loss")</f>
        <v>Profitable</v>
      </c>
      <c r="P957" s="10" t="str">
        <f>IF(Sales_Data[[#This Row],[Total Profit]]&gt;100000,"High Value",IF(Sales_Data[[#This Row],[Total Profit]]&gt;60000,"Medium","Low"))</f>
        <v>Low</v>
      </c>
      <c r="Q957" s="11" t="str">
        <f>PROPER(Sales_Data[[#This Row],[Month Name]])</f>
        <v>Agosto</v>
      </c>
      <c r="R957" s="11" t="str">
        <f>PROPER(Sales_Data[[#This Row],[Sales Manager]])</f>
        <v>James Brown</v>
      </c>
    </row>
    <row r="958" spans="1:18" hidden="1" x14ac:dyDescent="0.25">
      <c r="A958">
        <v>10957</v>
      </c>
      <c r="B958">
        <v>2021</v>
      </c>
      <c r="C958" t="s">
        <v>73</v>
      </c>
      <c r="D958" s="8">
        <v>44422</v>
      </c>
      <c r="E958" t="s">
        <v>25</v>
      </c>
      <c r="F958" t="s">
        <v>16</v>
      </c>
      <c r="G958" t="s">
        <v>13</v>
      </c>
      <c r="H958" s="9">
        <v>5</v>
      </c>
      <c r="I958" s="9">
        <v>60</v>
      </c>
      <c r="J958" s="10">
        <v>45000</v>
      </c>
      <c r="K958" s="10">
        <v>11250</v>
      </c>
      <c r="L958">
        <v>33</v>
      </c>
      <c r="M958" s="8">
        <v>44378</v>
      </c>
      <c r="N958" s="23">
        <v>2.26676442298126E-4</v>
      </c>
      <c r="O958" s="10" t="str">
        <f>IF(Sales_Data[[#This Row],[Total Profit]]&gt;0,"Profitable","Loss")</f>
        <v>Profitable</v>
      </c>
      <c r="P958" s="10" t="str">
        <f>IF(Sales_Data[[#This Row],[Total Profit]]&gt;100000,"High Value",IF(Sales_Data[[#This Row],[Total Profit]]&gt;60000,"Medium","Low"))</f>
        <v>Low</v>
      </c>
      <c r="Q958" s="11" t="str">
        <f>PROPER(Sales_Data[[#This Row],[Month Name]])</f>
        <v>Agosto</v>
      </c>
      <c r="R958" s="11" t="str">
        <f>PROPER(Sales_Data[[#This Row],[Sales Manager]])</f>
        <v>James Brown</v>
      </c>
    </row>
    <row r="959" spans="1:18" hidden="1" x14ac:dyDescent="0.25">
      <c r="A959">
        <v>10958</v>
      </c>
      <c r="B959">
        <v>2021</v>
      </c>
      <c r="C959" t="s">
        <v>73</v>
      </c>
      <c r="D959" s="8">
        <v>44423</v>
      </c>
      <c r="E959" t="s">
        <v>11</v>
      </c>
      <c r="F959" t="s">
        <v>12</v>
      </c>
      <c r="G959" t="s">
        <v>17</v>
      </c>
      <c r="H959" s="9">
        <v>1</v>
      </c>
      <c r="I959" s="9">
        <v>24</v>
      </c>
      <c r="J959" s="10">
        <v>6000</v>
      </c>
      <c r="K959" s="10">
        <v>1860</v>
      </c>
      <c r="L959">
        <v>34</v>
      </c>
      <c r="M959" s="8">
        <v>44378</v>
      </c>
      <c r="N959" s="23">
        <v>3.02235256397502E-5</v>
      </c>
      <c r="O959" s="10" t="str">
        <f>IF(Sales_Data[[#This Row],[Total Profit]]&gt;0,"Profitable","Loss")</f>
        <v>Profitable</v>
      </c>
      <c r="P959" s="10" t="str">
        <f>IF(Sales_Data[[#This Row],[Total Profit]]&gt;100000,"High Value",IF(Sales_Data[[#This Row],[Total Profit]]&gt;60000,"Medium","Low"))</f>
        <v>Low</v>
      </c>
      <c r="Q959" s="11" t="str">
        <f>PROPER(Sales_Data[[#This Row],[Month Name]])</f>
        <v>Agosto</v>
      </c>
      <c r="R959" s="11" t="str">
        <f>PROPER(Sales_Data[[#This Row],[Sales Manager]])</f>
        <v>Emily White</v>
      </c>
    </row>
    <row r="960" spans="1:18" hidden="1" x14ac:dyDescent="0.25">
      <c r="A960">
        <v>10959</v>
      </c>
      <c r="B960">
        <v>2021</v>
      </c>
      <c r="C960" t="s">
        <v>73</v>
      </c>
      <c r="D960" s="8">
        <v>44424</v>
      </c>
      <c r="E960" t="s">
        <v>25</v>
      </c>
      <c r="F960" t="s">
        <v>24</v>
      </c>
      <c r="G960" t="s">
        <v>15</v>
      </c>
      <c r="H960" s="9">
        <v>17</v>
      </c>
      <c r="I960" s="9">
        <v>255</v>
      </c>
      <c r="J960" s="10">
        <v>127500</v>
      </c>
      <c r="K960" s="10">
        <v>40800</v>
      </c>
      <c r="L960">
        <v>34</v>
      </c>
      <c r="M960" s="8">
        <v>44378</v>
      </c>
      <c r="N960" s="23">
        <v>6.4224991984469099E-4</v>
      </c>
      <c r="O960" s="10" t="str">
        <f>IF(Sales_Data[[#This Row],[Total Profit]]&gt;0,"Profitable","Loss")</f>
        <v>Profitable</v>
      </c>
      <c r="P960" s="10" t="str">
        <f>IF(Sales_Data[[#This Row],[Total Profit]]&gt;100000,"High Value",IF(Sales_Data[[#This Row],[Total Profit]]&gt;60000,"Medium","Low"))</f>
        <v>Low</v>
      </c>
      <c r="Q960" s="11" t="str">
        <f>PROPER(Sales_Data[[#This Row],[Month Name]])</f>
        <v>Agosto</v>
      </c>
      <c r="R960" s="11" t="str">
        <f>PROPER(Sales_Data[[#This Row],[Sales Manager]])</f>
        <v>Liam Lee</v>
      </c>
    </row>
    <row r="961" spans="1:18" hidden="1" x14ac:dyDescent="0.25">
      <c r="A961">
        <v>10960</v>
      </c>
      <c r="B961">
        <v>2021</v>
      </c>
      <c r="C961" t="s">
        <v>73</v>
      </c>
      <c r="D961" s="8">
        <v>44425</v>
      </c>
      <c r="E961" t="s">
        <v>22</v>
      </c>
      <c r="F961" t="s">
        <v>16</v>
      </c>
      <c r="G961" t="s">
        <v>13</v>
      </c>
      <c r="H961" s="9">
        <v>31</v>
      </c>
      <c r="I961" s="9">
        <v>310</v>
      </c>
      <c r="J961" s="10">
        <v>232500</v>
      </c>
      <c r="K961" s="10">
        <v>51150</v>
      </c>
      <c r="L961">
        <v>34</v>
      </c>
      <c r="M961" s="8">
        <v>44378</v>
      </c>
      <c r="N961" s="23">
        <v>1.1711616185403201E-3</v>
      </c>
      <c r="O961" s="10" t="str">
        <f>IF(Sales_Data[[#This Row],[Total Profit]]&gt;0,"Profitable","Loss")</f>
        <v>Profitable</v>
      </c>
      <c r="P961" s="10" t="str">
        <f>IF(Sales_Data[[#This Row],[Total Profit]]&gt;100000,"High Value",IF(Sales_Data[[#This Row],[Total Profit]]&gt;60000,"Medium","Low"))</f>
        <v>Low</v>
      </c>
      <c r="Q961" s="11" t="str">
        <f>PROPER(Sales_Data[[#This Row],[Month Name]])</f>
        <v>Agosto</v>
      </c>
      <c r="R961" s="11" t="str">
        <f>PROPER(Sales_Data[[#This Row],[Sales Manager]])</f>
        <v>James Brown</v>
      </c>
    </row>
    <row r="962" spans="1:18" hidden="1" x14ac:dyDescent="0.25">
      <c r="A962">
        <v>10961</v>
      </c>
      <c r="B962">
        <v>2021</v>
      </c>
      <c r="C962" t="s">
        <v>73</v>
      </c>
      <c r="D962" s="8">
        <v>44426</v>
      </c>
      <c r="E962" t="s">
        <v>22</v>
      </c>
      <c r="F962" t="s">
        <v>16</v>
      </c>
      <c r="G962" t="s">
        <v>17</v>
      </c>
      <c r="H962" s="9">
        <v>9</v>
      </c>
      <c r="I962" s="9">
        <v>500</v>
      </c>
      <c r="J962" s="10">
        <v>125000</v>
      </c>
      <c r="K962" s="10">
        <v>13750</v>
      </c>
      <c r="L962">
        <v>34</v>
      </c>
      <c r="M962" s="8">
        <v>44378</v>
      </c>
      <c r="N962" s="23">
        <v>6.2965678416146203E-4</v>
      </c>
      <c r="O962" s="10" t="str">
        <f>IF(Sales_Data[[#This Row],[Total Profit]]&gt;0,"Profitable","Loss")</f>
        <v>Profitable</v>
      </c>
      <c r="P962" s="10" t="str">
        <f>IF(Sales_Data[[#This Row],[Total Profit]]&gt;100000,"High Value",IF(Sales_Data[[#This Row],[Total Profit]]&gt;60000,"Medium","Low"))</f>
        <v>Low</v>
      </c>
      <c r="Q962" s="11" t="str">
        <f>PROPER(Sales_Data[[#This Row],[Month Name]])</f>
        <v>Agosto</v>
      </c>
      <c r="R962" s="11" t="str">
        <f>PROPER(Sales_Data[[#This Row],[Sales Manager]])</f>
        <v>James Brown</v>
      </c>
    </row>
    <row r="963" spans="1:18" hidden="1" x14ac:dyDescent="0.25">
      <c r="A963">
        <v>10962</v>
      </c>
      <c r="B963">
        <v>2021</v>
      </c>
      <c r="C963" t="s">
        <v>73</v>
      </c>
      <c r="D963" s="8">
        <v>44427</v>
      </c>
      <c r="E963" t="s">
        <v>14</v>
      </c>
      <c r="F963" t="s">
        <v>24</v>
      </c>
      <c r="G963" t="s">
        <v>23</v>
      </c>
      <c r="H963" s="9">
        <v>9</v>
      </c>
      <c r="I963" s="9">
        <v>310</v>
      </c>
      <c r="J963" s="10">
        <v>108500</v>
      </c>
      <c r="K963" s="10">
        <v>26040</v>
      </c>
      <c r="L963">
        <v>34</v>
      </c>
      <c r="M963" s="8">
        <v>44378</v>
      </c>
      <c r="N963" s="23">
        <v>5.46542088652149E-4</v>
      </c>
      <c r="O963" s="10" t="str">
        <f>IF(Sales_Data[[#This Row],[Total Profit]]&gt;0,"Profitable","Loss")</f>
        <v>Profitable</v>
      </c>
      <c r="P963" s="10" t="str">
        <f>IF(Sales_Data[[#This Row],[Total Profit]]&gt;100000,"High Value",IF(Sales_Data[[#This Row],[Total Profit]]&gt;60000,"Medium","Low"))</f>
        <v>Low</v>
      </c>
      <c r="Q963" s="11" t="str">
        <f>PROPER(Sales_Data[[#This Row],[Month Name]])</f>
        <v>Agosto</v>
      </c>
      <c r="R963" s="11" t="str">
        <f>PROPER(Sales_Data[[#This Row],[Sales Manager]])</f>
        <v>Liam Lee</v>
      </c>
    </row>
    <row r="964" spans="1:18" hidden="1" x14ac:dyDescent="0.25">
      <c r="A964">
        <v>10963</v>
      </c>
      <c r="B964">
        <v>2021</v>
      </c>
      <c r="C964" t="s">
        <v>73</v>
      </c>
      <c r="D964" s="8">
        <v>44428</v>
      </c>
      <c r="E964" t="s">
        <v>25</v>
      </c>
      <c r="F964" t="s">
        <v>18</v>
      </c>
      <c r="G964" t="s">
        <v>15</v>
      </c>
      <c r="H964" s="9">
        <v>5</v>
      </c>
      <c r="I964" s="9">
        <v>360</v>
      </c>
      <c r="J964" s="10">
        <v>180000</v>
      </c>
      <c r="K964" s="10">
        <v>81000</v>
      </c>
      <c r="L964">
        <v>34</v>
      </c>
      <c r="M964" s="8">
        <v>44378</v>
      </c>
      <c r="N964" s="23">
        <v>9.0670576919250499E-4</v>
      </c>
      <c r="O964" s="10" t="str">
        <f>IF(Sales_Data[[#This Row],[Total Profit]]&gt;0,"Profitable","Loss")</f>
        <v>Profitable</v>
      </c>
      <c r="P964" s="10" t="str">
        <f>IF(Sales_Data[[#This Row],[Total Profit]]&gt;100000,"High Value",IF(Sales_Data[[#This Row],[Total Profit]]&gt;60000,"Medium","Low"))</f>
        <v>Medium</v>
      </c>
      <c r="Q964" s="11" t="str">
        <f>PROPER(Sales_Data[[#This Row],[Month Name]])</f>
        <v>Agosto</v>
      </c>
      <c r="R964" s="11" t="str">
        <f>PROPER(Sales_Data[[#This Row],[Sales Manager]])</f>
        <v>Jane Doe</v>
      </c>
    </row>
    <row r="965" spans="1:18" hidden="1" x14ac:dyDescent="0.25">
      <c r="A965">
        <v>10964</v>
      </c>
      <c r="B965">
        <v>2021</v>
      </c>
      <c r="C965" t="s">
        <v>73</v>
      </c>
      <c r="D965" s="8">
        <v>44429</v>
      </c>
      <c r="E965" t="s">
        <v>14</v>
      </c>
      <c r="F965" t="s">
        <v>21</v>
      </c>
      <c r="G965" t="s">
        <v>15</v>
      </c>
      <c r="H965" s="9">
        <v>16</v>
      </c>
      <c r="I965" s="9">
        <v>176</v>
      </c>
      <c r="J965" s="10">
        <v>88000</v>
      </c>
      <c r="K965" s="10">
        <v>35200</v>
      </c>
      <c r="L965">
        <v>34</v>
      </c>
      <c r="M965" s="8">
        <v>44378</v>
      </c>
      <c r="N965" s="23">
        <v>4.4327837604966902E-4</v>
      </c>
      <c r="O965" s="10" t="str">
        <f>IF(Sales_Data[[#This Row],[Total Profit]]&gt;0,"Profitable","Loss")</f>
        <v>Profitable</v>
      </c>
      <c r="P965" s="10" t="str">
        <f>IF(Sales_Data[[#This Row],[Total Profit]]&gt;100000,"High Value",IF(Sales_Data[[#This Row],[Total Profit]]&gt;60000,"Medium","Low"))</f>
        <v>Low</v>
      </c>
      <c r="Q965" s="11" t="str">
        <f>PROPER(Sales_Data[[#This Row],[Month Name]])</f>
        <v>Agosto</v>
      </c>
      <c r="R965" s="11" t="str">
        <f>PROPER(Sales_Data[[#This Row],[Sales Manager]])</f>
        <v>John Smith</v>
      </c>
    </row>
    <row r="966" spans="1:18" hidden="1" x14ac:dyDescent="0.25">
      <c r="A966">
        <v>10965</v>
      </c>
      <c r="B966">
        <v>2021</v>
      </c>
      <c r="C966" t="s">
        <v>73</v>
      </c>
      <c r="D966" s="8">
        <v>44430</v>
      </c>
      <c r="E966" t="s">
        <v>25</v>
      </c>
      <c r="F966" t="s">
        <v>24</v>
      </c>
      <c r="G966" t="s">
        <v>17</v>
      </c>
      <c r="H966" s="9">
        <v>3</v>
      </c>
      <c r="I966" s="9">
        <v>121</v>
      </c>
      <c r="J966" s="10">
        <v>30250</v>
      </c>
      <c r="K966" s="10">
        <v>9982.5</v>
      </c>
      <c r="L966">
        <v>35</v>
      </c>
      <c r="M966" s="8">
        <v>44378</v>
      </c>
      <c r="N966" s="23">
        <v>1.5237694176707401E-4</v>
      </c>
      <c r="O966" s="10" t="str">
        <f>IF(Sales_Data[[#This Row],[Total Profit]]&gt;0,"Profitable","Loss")</f>
        <v>Profitable</v>
      </c>
      <c r="P966" s="10" t="str">
        <f>IF(Sales_Data[[#This Row],[Total Profit]]&gt;100000,"High Value",IF(Sales_Data[[#This Row],[Total Profit]]&gt;60000,"Medium","Low"))</f>
        <v>Low</v>
      </c>
      <c r="Q966" s="11" t="str">
        <f>PROPER(Sales_Data[[#This Row],[Month Name]])</f>
        <v>Agosto</v>
      </c>
      <c r="R966" s="11" t="str">
        <f>PROPER(Sales_Data[[#This Row],[Sales Manager]])</f>
        <v>Liam Lee</v>
      </c>
    </row>
    <row r="967" spans="1:18" hidden="1" x14ac:dyDescent="0.25">
      <c r="A967">
        <v>10966</v>
      </c>
      <c r="B967">
        <v>2021</v>
      </c>
      <c r="C967" t="s">
        <v>73</v>
      </c>
      <c r="D967" s="8">
        <v>44431</v>
      </c>
      <c r="E967" t="s">
        <v>19</v>
      </c>
      <c r="F967" t="s">
        <v>18</v>
      </c>
      <c r="G967" t="s">
        <v>23</v>
      </c>
      <c r="H967" s="9">
        <v>4</v>
      </c>
      <c r="I967" s="9">
        <v>123</v>
      </c>
      <c r="J967" s="10">
        <v>43050</v>
      </c>
      <c r="K967" s="10">
        <v>4305</v>
      </c>
      <c r="L967">
        <v>35</v>
      </c>
      <c r="M967" s="8">
        <v>44378</v>
      </c>
      <c r="N967" s="23">
        <v>2.16853796465208E-4</v>
      </c>
      <c r="O967" s="10" t="str">
        <f>IF(Sales_Data[[#This Row],[Total Profit]]&gt;0,"Profitable","Loss")</f>
        <v>Profitable</v>
      </c>
      <c r="P967" s="10" t="str">
        <f>IF(Sales_Data[[#This Row],[Total Profit]]&gt;100000,"High Value",IF(Sales_Data[[#This Row],[Total Profit]]&gt;60000,"Medium","Low"))</f>
        <v>Low</v>
      </c>
      <c r="Q967" s="11" t="str">
        <f>PROPER(Sales_Data[[#This Row],[Month Name]])</f>
        <v>Agosto</v>
      </c>
      <c r="R967" s="11" t="str">
        <f>PROPER(Sales_Data[[#This Row],[Sales Manager]])</f>
        <v>Jane Doe</v>
      </c>
    </row>
    <row r="968" spans="1:18" hidden="1" x14ac:dyDescent="0.25">
      <c r="A968">
        <v>10967</v>
      </c>
      <c r="B968">
        <v>2021</v>
      </c>
      <c r="C968" t="s">
        <v>73</v>
      </c>
      <c r="D968" s="8">
        <v>44432</v>
      </c>
      <c r="E968" t="s">
        <v>22</v>
      </c>
      <c r="F968" t="s">
        <v>21</v>
      </c>
      <c r="G968" t="s">
        <v>23</v>
      </c>
      <c r="H968" s="9">
        <v>35</v>
      </c>
      <c r="I968" s="9">
        <v>479</v>
      </c>
      <c r="J968" s="10">
        <v>167650</v>
      </c>
      <c r="K968" s="10">
        <v>30177</v>
      </c>
      <c r="L968">
        <v>35</v>
      </c>
      <c r="M968" s="8">
        <v>44378</v>
      </c>
      <c r="N968" s="23">
        <v>8.4449567891735301E-4</v>
      </c>
      <c r="O968" s="10" t="str">
        <f>IF(Sales_Data[[#This Row],[Total Profit]]&gt;0,"Profitable","Loss")</f>
        <v>Profitable</v>
      </c>
      <c r="P968" s="10" t="str">
        <f>IF(Sales_Data[[#This Row],[Total Profit]]&gt;100000,"High Value",IF(Sales_Data[[#This Row],[Total Profit]]&gt;60000,"Medium","Low"))</f>
        <v>Low</v>
      </c>
      <c r="Q968" s="11" t="str">
        <f>PROPER(Sales_Data[[#This Row],[Month Name]])</f>
        <v>Agosto</v>
      </c>
      <c r="R968" s="11" t="str">
        <f>PROPER(Sales_Data[[#This Row],[Sales Manager]])</f>
        <v>John Smith</v>
      </c>
    </row>
    <row r="969" spans="1:18" hidden="1" x14ac:dyDescent="0.25">
      <c r="A969">
        <v>10968</v>
      </c>
      <c r="B969">
        <v>2021</v>
      </c>
      <c r="C969" t="s">
        <v>73</v>
      </c>
      <c r="D969" s="8">
        <v>44433</v>
      </c>
      <c r="E969" t="s">
        <v>25</v>
      </c>
      <c r="F969" t="s">
        <v>12</v>
      </c>
      <c r="G969" t="s">
        <v>13</v>
      </c>
      <c r="H969" s="9">
        <v>5</v>
      </c>
      <c r="I969" s="9">
        <v>104</v>
      </c>
      <c r="J969" s="10">
        <v>78000</v>
      </c>
      <c r="K969" s="10">
        <v>11700</v>
      </c>
      <c r="L969">
        <v>35</v>
      </c>
      <c r="M969" s="8">
        <v>44378</v>
      </c>
      <c r="N969" s="23">
        <v>3.9290583331675201E-4</v>
      </c>
      <c r="O969" s="10" t="str">
        <f>IF(Sales_Data[[#This Row],[Total Profit]]&gt;0,"Profitable","Loss")</f>
        <v>Profitable</v>
      </c>
      <c r="P969" s="10" t="str">
        <f>IF(Sales_Data[[#This Row],[Total Profit]]&gt;100000,"High Value",IF(Sales_Data[[#This Row],[Total Profit]]&gt;60000,"Medium","Low"))</f>
        <v>Low</v>
      </c>
      <c r="Q969" s="11" t="str">
        <f>PROPER(Sales_Data[[#This Row],[Month Name]])</f>
        <v>Agosto</v>
      </c>
      <c r="R969" s="11" t="str">
        <f>PROPER(Sales_Data[[#This Row],[Sales Manager]])</f>
        <v>Emily White</v>
      </c>
    </row>
    <row r="970" spans="1:18" hidden="1" x14ac:dyDescent="0.25">
      <c r="A970">
        <v>10969</v>
      </c>
      <c r="B970">
        <v>2021</v>
      </c>
      <c r="C970" t="s">
        <v>73</v>
      </c>
      <c r="D970" s="8">
        <v>44434</v>
      </c>
      <c r="E970" t="s">
        <v>22</v>
      </c>
      <c r="F970" t="s">
        <v>21</v>
      </c>
      <c r="G970" t="s">
        <v>17</v>
      </c>
      <c r="H970" s="9">
        <v>11</v>
      </c>
      <c r="I970" s="9">
        <v>159</v>
      </c>
      <c r="J970" s="10">
        <v>39750</v>
      </c>
      <c r="K970" s="10">
        <v>10335</v>
      </c>
      <c r="L970">
        <v>35</v>
      </c>
      <c r="M970" s="8">
        <v>44378</v>
      </c>
      <c r="N970" s="23">
        <v>2.00230857363345E-4</v>
      </c>
      <c r="O970" s="10" t="str">
        <f>IF(Sales_Data[[#This Row],[Total Profit]]&gt;0,"Profitable","Loss")</f>
        <v>Profitable</v>
      </c>
      <c r="P970" s="10" t="str">
        <f>IF(Sales_Data[[#This Row],[Total Profit]]&gt;100000,"High Value",IF(Sales_Data[[#This Row],[Total Profit]]&gt;60000,"Medium","Low"))</f>
        <v>Low</v>
      </c>
      <c r="Q970" s="11" t="str">
        <f>PROPER(Sales_Data[[#This Row],[Month Name]])</f>
        <v>Agosto</v>
      </c>
      <c r="R970" s="11" t="str">
        <f>PROPER(Sales_Data[[#This Row],[Sales Manager]])</f>
        <v>John Smith</v>
      </c>
    </row>
    <row r="971" spans="1:18" hidden="1" x14ac:dyDescent="0.25">
      <c r="A971">
        <v>10970</v>
      </c>
      <c r="B971">
        <v>2021</v>
      </c>
      <c r="C971" t="s">
        <v>73</v>
      </c>
      <c r="D971" s="8">
        <v>44435</v>
      </c>
      <c r="E971" t="s">
        <v>22</v>
      </c>
      <c r="F971" t="s">
        <v>21</v>
      </c>
      <c r="G971" t="s">
        <v>13</v>
      </c>
      <c r="H971" s="9">
        <v>6</v>
      </c>
      <c r="I971" s="9">
        <v>385</v>
      </c>
      <c r="J971" s="10">
        <v>288750</v>
      </c>
      <c r="K971" s="10">
        <v>77962.5</v>
      </c>
      <c r="L971">
        <v>35</v>
      </c>
      <c r="M971" s="8">
        <v>44378</v>
      </c>
      <c r="N971" s="23">
        <v>1.45450717141298E-3</v>
      </c>
      <c r="O971" s="10" t="str">
        <f>IF(Sales_Data[[#This Row],[Total Profit]]&gt;0,"Profitable","Loss")</f>
        <v>Profitable</v>
      </c>
      <c r="P971" s="10" t="str">
        <f>IF(Sales_Data[[#This Row],[Total Profit]]&gt;100000,"High Value",IF(Sales_Data[[#This Row],[Total Profit]]&gt;60000,"Medium","Low"))</f>
        <v>Medium</v>
      </c>
      <c r="Q971" s="11" t="str">
        <f>PROPER(Sales_Data[[#This Row],[Month Name]])</f>
        <v>Agosto</v>
      </c>
      <c r="R971" s="11" t="str">
        <f>PROPER(Sales_Data[[#This Row],[Sales Manager]])</f>
        <v>John Smith</v>
      </c>
    </row>
    <row r="972" spans="1:18" hidden="1" x14ac:dyDescent="0.25">
      <c r="A972">
        <v>10971</v>
      </c>
      <c r="B972">
        <v>2021</v>
      </c>
      <c r="C972" t="s">
        <v>73</v>
      </c>
      <c r="D972" s="8">
        <v>44436</v>
      </c>
      <c r="E972" t="s">
        <v>11</v>
      </c>
      <c r="F972" t="s">
        <v>18</v>
      </c>
      <c r="G972" t="s">
        <v>20</v>
      </c>
      <c r="H972" s="9">
        <v>2</v>
      </c>
      <c r="I972" s="9">
        <v>82</v>
      </c>
      <c r="J972" s="10">
        <v>69700</v>
      </c>
      <c r="K972" s="10">
        <v>25092</v>
      </c>
      <c r="L972">
        <v>35</v>
      </c>
      <c r="M972" s="8">
        <v>44378</v>
      </c>
      <c r="N972" s="23">
        <v>3.5109662284843099E-4</v>
      </c>
      <c r="O972" s="10" t="str">
        <f>IF(Sales_Data[[#This Row],[Total Profit]]&gt;0,"Profitable","Loss")</f>
        <v>Profitable</v>
      </c>
      <c r="P972" s="10" t="str">
        <f>IF(Sales_Data[[#This Row],[Total Profit]]&gt;100000,"High Value",IF(Sales_Data[[#This Row],[Total Profit]]&gt;60000,"Medium","Low"))</f>
        <v>Low</v>
      </c>
      <c r="Q972" s="11" t="str">
        <f>PROPER(Sales_Data[[#This Row],[Month Name]])</f>
        <v>Agosto</v>
      </c>
      <c r="R972" s="11" t="str">
        <f>PROPER(Sales_Data[[#This Row],[Sales Manager]])</f>
        <v>Jane Doe</v>
      </c>
    </row>
    <row r="973" spans="1:18" hidden="1" x14ac:dyDescent="0.25">
      <c r="A973">
        <v>10972</v>
      </c>
      <c r="B973">
        <v>2021</v>
      </c>
      <c r="C973" t="s">
        <v>73</v>
      </c>
      <c r="D973" s="8">
        <v>44437</v>
      </c>
      <c r="E973" t="s">
        <v>25</v>
      </c>
      <c r="F973" t="s">
        <v>21</v>
      </c>
      <c r="G973" t="s">
        <v>17</v>
      </c>
      <c r="H973" s="9">
        <v>7</v>
      </c>
      <c r="I973" s="9">
        <v>101</v>
      </c>
      <c r="J973" s="10">
        <v>25250</v>
      </c>
      <c r="K973" s="10">
        <v>7070.0000000000009</v>
      </c>
      <c r="L973">
        <v>36</v>
      </c>
      <c r="M973" s="8">
        <v>44378</v>
      </c>
      <c r="N973" s="23">
        <v>1.2719067040061499E-4</v>
      </c>
      <c r="O973" s="10" t="str">
        <f>IF(Sales_Data[[#This Row],[Total Profit]]&gt;0,"Profitable","Loss")</f>
        <v>Profitable</v>
      </c>
      <c r="P973" s="10" t="str">
        <f>IF(Sales_Data[[#This Row],[Total Profit]]&gt;100000,"High Value",IF(Sales_Data[[#This Row],[Total Profit]]&gt;60000,"Medium","Low"))</f>
        <v>Low</v>
      </c>
      <c r="Q973" s="11" t="str">
        <f>PROPER(Sales_Data[[#This Row],[Month Name]])</f>
        <v>Agosto</v>
      </c>
      <c r="R973" s="11" t="str">
        <f>PROPER(Sales_Data[[#This Row],[Sales Manager]])</f>
        <v>John Smith</v>
      </c>
    </row>
    <row r="974" spans="1:18" hidden="1" x14ac:dyDescent="0.25">
      <c r="A974">
        <v>10973</v>
      </c>
      <c r="B974">
        <v>2021</v>
      </c>
      <c r="C974" t="s">
        <v>73</v>
      </c>
      <c r="D974" s="8">
        <v>44438</v>
      </c>
      <c r="E974" t="s">
        <v>22</v>
      </c>
      <c r="F974" t="s">
        <v>21</v>
      </c>
      <c r="G974" t="s">
        <v>15</v>
      </c>
      <c r="H974" s="9">
        <v>5</v>
      </c>
      <c r="I974" s="9">
        <v>157</v>
      </c>
      <c r="J974" s="10">
        <v>78500</v>
      </c>
      <c r="K974" s="10">
        <v>16485</v>
      </c>
      <c r="L974">
        <v>36</v>
      </c>
      <c r="M974" s="8">
        <v>44378</v>
      </c>
      <c r="N974" s="23">
        <v>3.9542446045339803E-4</v>
      </c>
      <c r="O974" s="10" t="str">
        <f>IF(Sales_Data[[#This Row],[Total Profit]]&gt;0,"Profitable","Loss")</f>
        <v>Profitable</v>
      </c>
      <c r="P974" s="10" t="str">
        <f>IF(Sales_Data[[#This Row],[Total Profit]]&gt;100000,"High Value",IF(Sales_Data[[#This Row],[Total Profit]]&gt;60000,"Medium","Low"))</f>
        <v>Low</v>
      </c>
      <c r="Q974" s="11" t="str">
        <f>PROPER(Sales_Data[[#This Row],[Month Name]])</f>
        <v>Agosto</v>
      </c>
      <c r="R974" s="11" t="str">
        <f>PROPER(Sales_Data[[#This Row],[Sales Manager]])</f>
        <v>John Smith</v>
      </c>
    </row>
    <row r="975" spans="1:18" hidden="1" x14ac:dyDescent="0.25">
      <c r="A975">
        <v>10974</v>
      </c>
      <c r="B975">
        <v>2021</v>
      </c>
      <c r="C975" t="s">
        <v>73</v>
      </c>
      <c r="D975" s="8">
        <v>44439</v>
      </c>
      <c r="E975" t="s">
        <v>11</v>
      </c>
      <c r="F975" t="s">
        <v>12</v>
      </c>
      <c r="G975" t="s">
        <v>15</v>
      </c>
      <c r="H975" s="9">
        <v>30</v>
      </c>
      <c r="I975" s="9">
        <v>459</v>
      </c>
      <c r="J975" s="10">
        <v>229500</v>
      </c>
      <c r="K975" s="10">
        <v>48195</v>
      </c>
      <c r="L975">
        <v>36</v>
      </c>
      <c r="M975" s="8">
        <v>44378</v>
      </c>
      <c r="N975" s="23">
        <v>1.15604985572044E-3</v>
      </c>
      <c r="O975" s="10" t="str">
        <f>IF(Sales_Data[[#This Row],[Total Profit]]&gt;0,"Profitable","Loss")</f>
        <v>Profitable</v>
      </c>
      <c r="P975" s="10" t="str">
        <f>IF(Sales_Data[[#This Row],[Total Profit]]&gt;100000,"High Value",IF(Sales_Data[[#This Row],[Total Profit]]&gt;60000,"Medium","Low"))</f>
        <v>Low</v>
      </c>
      <c r="Q975" s="11" t="str">
        <f>PROPER(Sales_Data[[#This Row],[Month Name]])</f>
        <v>Agosto</v>
      </c>
      <c r="R975" s="11" t="str">
        <f>PROPER(Sales_Data[[#This Row],[Sales Manager]])</f>
        <v>Emily White</v>
      </c>
    </row>
    <row r="976" spans="1:18" hidden="1" x14ac:dyDescent="0.25">
      <c r="A976">
        <v>10975</v>
      </c>
      <c r="B976">
        <v>2021</v>
      </c>
      <c r="C976" t="s">
        <v>74</v>
      </c>
      <c r="D976" s="8">
        <v>44440</v>
      </c>
      <c r="E976" t="s">
        <v>25</v>
      </c>
      <c r="F976" t="s">
        <v>16</v>
      </c>
      <c r="G976" t="s">
        <v>13</v>
      </c>
      <c r="H976" s="9">
        <v>13</v>
      </c>
      <c r="I976" s="9">
        <v>435</v>
      </c>
      <c r="J976" s="10">
        <v>326250</v>
      </c>
      <c r="K976" s="10">
        <v>91350.000000000015</v>
      </c>
      <c r="L976">
        <v>36</v>
      </c>
      <c r="M976" s="8">
        <v>44378</v>
      </c>
      <c r="N976" s="23">
        <v>1.64340420666142E-3</v>
      </c>
      <c r="O976" s="10" t="str">
        <f>IF(Sales_Data[[#This Row],[Total Profit]]&gt;0,"Profitable","Loss")</f>
        <v>Profitable</v>
      </c>
      <c r="P976" s="10" t="str">
        <f>IF(Sales_Data[[#This Row],[Total Profit]]&gt;100000,"High Value",IF(Sales_Data[[#This Row],[Total Profit]]&gt;60000,"Medium","Low"))</f>
        <v>Medium</v>
      </c>
      <c r="Q976" s="11" t="str">
        <f>PROPER(Sales_Data[[#This Row],[Month Name]])</f>
        <v>Setembro</v>
      </c>
      <c r="R976" s="11" t="str">
        <f>PROPER(Sales_Data[[#This Row],[Sales Manager]])</f>
        <v>James Brown</v>
      </c>
    </row>
    <row r="977" spans="1:18" hidden="1" x14ac:dyDescent="0.25">
      <c r="A977">
        <v>10976</v>
      </c>
      <c r="B977">
        <v>2021</v>
      </c>
      <c r="C977" t="s">
        <v>74</v>
      </c>
      <c r="D977" s="8">
        <v>44441</v>
      </c>
      <c r="E977" t="s">
        <v>22</v>
      </c>
      <c r="F977" t="s">
        <v>24</v>
      </c>
      <c r="G977" t="s">
        <v>23</v>
      </c>
      <c r="H977" s="9">
        <v>7</v>
      </c>
      <c r="I977" s="9">
        <v>109</v>
      </c>
      <c r="J977" s="10">
        <v>38150</v>
      </c>
      <c r="K977" s="10">
        <v>6485.5000000000009</v>
      </c>
      <c r="L977">
        <v>36</v>
      </c>
      <c r="M977" s="8">
        <v>44378</v>
      </c>
      <c r="N977" s="23">
        <v>1.9217125052607801E-4</v>
      </c>
      <c r="O977" s="10" t="str">
        <f>IF(Sales_Data[[#This Row],[Total Profit]]&gt;0,"Profitable","Loss")</f>
        <v>Profitable</v>
      </c>
      <c r="P977" s="10" t="str">
        <f>IF(Sales_Data[[#This Row],[Total Profit]]&gt;100000,"High Value",IF(Sales_Data[[#This Row],[Total Profit]]&gt;60000,"Medium","Low"))</f>
        <v>Low</v>
      </c>
      <c r="Q977" s="11" t="str">
        <f>PROPER(Sales_Data[[#This Row],[Month Name]])</f>
        <v>Setembro</v>
      </c>
      <c r="R977" s="11" t="str">
        <f>PROPER(Sales_Data[[#This Row],[Sales Manager]])</f>
        <v>Liam Lee</v>
      </c>
    </row>
    <row r="978" spans="1:18" hidden="1" x14ac:dyDescent="0.25">
      <c r="A978">
        <v>10977</v>
      </c>
      <c r="B978">
        <v>2021</v>
      </c>
      <c r="C978" t="s">
        <v>74</v>
      </c>
      <c r="D978" s="8">
        <v>44442</v>
      </c>
      <c r="E978" t="s">
        <v>11</v>
      </c>
      <c r="F978" t="s">
        <v>18</v>
      </c>
      <c r="G978" t="s">
        <v>13</v>
      </c>
      <c r="H978" s="9">
        <v>36</v>
      </c>
      <c r="I978" s="9">
        <v>368</v>
      </c>
      <c r="J978" s="10">
        <v>276000</v>
      </c>
      <c r="K978" s="10">
        <v>121440</v>
      </c>
      <c r="L978">
        <v>36</v>
      </c>
      <c r="M978" s="8">
        <v>44378</v>
      </c>
      <c r="N978" s="23">
        <v>1.3902821794285101E-3</v>
      </c>
      <c r="O978" s="10" t="str">
        <f>IF(Sales_Data[[#This Row],[Total Profit]]&gt;0,"Profitable","Loss")</f>
        <v>Profitable</v>
      </c>
      <c r="P978" s="10" t="str">
        <f>IF(Sales_Data[[#This Row],[Total Profit]]&gt;100000,"High Value",IF(Sales_Data[[#This Row],[Total Profit]]&gt;60000,"Medium","Low"))</f>
        <v>High Value</v>
      </c>
      <c r="Q978" s="11" t="str">
        <f>PROPER(Sales_Data[[#This Row],[Month Name]])</f>
        <v>Setembro</v>
      </c>
      <c r="R978" s="11" t="str">
        <f>PROPER(Sales_Data[[#This Row],[Sales Manager]])</f>
        <v>Jane Doe</v>
      </c>
    </row>
    <row r="979" spans="1:18" hidden="1" x14ac:dyDescent="0.25">
      <c r="A979">
        <v>10978</v>
      </c>
      <c r="B979">
        <v>2021</v>
      </c>
      <c r="C979" t="s">
        <v>74</v>
      </c>
      <c r="D979" s="8">
        <v>44443</v>
      </c>
      <c r="E979" t="s">
        <v>19</v>
      </c>
      <c r="F979" t="s">
        <v>21</v>
      </c>
      <c r="G979" t="s">
        <v>15</v>
      </c>
      <c r="H979" s="9">
        <v>3</v>
      </c>
      <c r="I979" s="9">
        <v>264</v>
      </c>
      <c r="J979" s="10">
        <v>132000</v>
      </c>
      <c r="K979" s="10">
        <v>26400</v>
      </c>
      <c r="L979">
        <v>36</v>
      </c>
      <c r="M979" s="8">
        <v>44378</v>
      </c>
      <c r="N979" s="23">
        <v>6.6491756407450401E-4</v>
      </c>
      <c r="O979" s="10" t="str">
        <f>IF(Sales_Data[[#This Row],[Total Profit]]&gt;0,"Profitable","Loss")</f>
        <v>Profitable</v>
      </c>
      <c r="P979" s="10" t="str">
        <f>IF(Sales_Data[[#This Row],[Total Profit]]&gt;100000,"High Value",IF(Sales_Data[[#This Row],[Total Profit]]&gt;60000,"Medium","Low"))</f>
        <v>Low</v>
      </c>
      <c r="Q979" s="11" t="str">
        <f>PROPER(Sales_Data[[#This Row],[Month Name]])</f>
        <v>Setembro</v>
      </c>
      <c r="R979" s="11" t="str">
        <f>PROPER(Sales_Data[[#This Row],[Sales Manager]])</f>
        <v>John Smith</v>
      </c>
    </row>
    <row r="980" spans="1:18" hidden="1" x14ac:dyDescent="0.25">
      <c r="A980">
        <v>10979</v>
      </c>
      <c r="B980">
        <v>2021</v>
      </c>
      <c r="C980" t="s">
        <v>74</v>
      </c>
      <c r="D980" s="8">
        <v>44444</v>
      </c>
      <c r="E980" t="s">
        <v>19</v>
      </c>
      <c r="F980" t="s">
        <v>18</v>
      </c>
      <c r="G980" t="s">
        <v>13</v>
      </c>
      <c r="H980" s="9">
        <v>23</v>
      </c>
      <c r="I980" s="9">
        <v>382</v>
      </c>
      <c r="J980" s="10">
        <v>286500</v>
      </c>
      <c r="K980" s="10">
        <v>37245</v>
      </c>
      <c r="L980">
        <v>37</v>
      </c>
      <c r="M980" s="8">
        <v>44378</v>
      </c>
      <c r="N980" s="23">
        <v>1.4431733492980699E-3</v>
      </c>
      <c r="O980" s="10" t="str">
        <f>IF(Sales_Data[[#This Row],[Total Profit]]&gt;0,"Profitable","Loss")</f>
        <v>Profitable</v>
      </c>
      <c r="P980" s="10" t="str">
        <f>IF(Sales_Data[[#This Row],[Total Profit]]&gt;100000,"High Value",IF(Sales_Data[[#This Row],[Total Profit]]&gt;60000,"Medium","Low"))</f>
        <v>Low</v>
      </c>
      <c r="Q980" s="11" t="str">
        <f>PROPER(Sales_Data[[#This Row],[Month Name]])</f>
        <v>Setembro</v>
      </c>
      <c r="R980" s="11" t="str">
        <f>PROPER(Sales_Data[[#This Row],[Sales Manager]])</f>
        <v>Jane Doe</v>
      </c>
    </row>
    <row r="981" spans="1:18" hidden="1" x14ac:dyDescent="0.25">
      <c r="A981">
        <v>10980</v>
      </c>
      <c r="B981">
        <v>2021</v>
      </c>
      <c r="C981" t="s">
        <v>74</v>
      </c>
      <c r="D981" s="8">
        <v>44445</v>
      </c>
      <c r="E981" t="s">
        <v>22</v>
      </c>
      <c r="F981" t="s">
        <v>21</v>
      </c>
      <c r="G981" t="s">
        <v>23</v>
      </c>
      <c r="H981" s="9">
        <v>7</v>
      </c>
      <c r="I981" s="9">
        <v>462</v>
      </c>
      <c r="J981" s="10">
        <v>161700</v>
      </c>
      <c r="K981" s="10">
        <v>17787</v>
      </c>
      <c r="L981">
        <v>37</v>
      </c>
      <c r="M981" s="8">
        <v>44378</v>
      </c>
      <c r="N981" s="23">
        <v>8.1452401599126697E-4</v>
      </c>
      <c r="O981" s="10" t="str">
        <f>IF(Sales_Data[[#This Row],[Total Profit]]&gt;0,"Profitable","Loss")</f>
        <v>Profitable</v>
      </c>
      <c r="P981" s="10" t="str">
        <f>IF(Sales_Data[[#This Row],[Total Profit]]&gt;100000,"High Value",IF(Sales_Data[[#This Row],[Total Profit]]&gt;60000,"Medium","Low"))</f>
        <v>Low</v>
      </c>
      <c r="Q981" s="11" t="str">
        <f>PROPER(Sales_Data[[#This Row],[Month Name]])</f>
        <v>Setembro</v>
      </c>
      <c r="R981" s="11" t="str">
        <f>PROPER(Sales_Data[[#This Row],[Sales Manager]])</f>
        <v>John Smith</v>
      </c>
    </row>
    <row r="982" spans="1:18" hidden="1" x14ac:dyDescent="0.25">
      <c r="A982">
        <v>10981</v>
      </c>
      <c r="B982">
        <v>2021</v>
      </c>
      <c r="C982" t="s">
        <v>74</v>
      </c>
      <c r="D982" s="8">
        <v>44446</v>
      </c>
      <c r="E982" t="s">
        <v>22</v>
      </c>
      <c r="F982" t="s">
        <v>24</v>
      </c>
      <c r="G982" t="s">
        <v>15</v>
      </c>
      <c r="H982" s="9">
        <v>30</v>
      </c>
      <c r="I982" s="9">
        <v>407</v>
      </c>
      <c r="J982" s="10">
        <v>203500</v>
      </c>
      <c r="K982" s="10">
        <v>40700</v>
      </c>
      <c r="L982">
        <v>37</v>
      </c>
      <c r="M982" s="8">
        <v>44378</v>
      </c>
      <c r="N982" s="23">
        <v>1.02508124461486E-3</v>
      </c>
      <c r="O982" s="10" t="str">
        <f>IF(Sales_Data[[#This Row],[Total Profit]]&gt;0,"Profitable","Loss")</f>
        <v>Profitable</v>
      </c>
      <c r="P982" s="10" t="str">
        <f>IF(Sales_Data[[#This Row],[Total Profit]]&gt;100000,"High Value",IF(Sales_Data[[#This Row],[Total Profit]]&gt;60000,"Medium","Low"))</f>
        <v>Low</v>
      </c>
      <c r="Q982" s="11" t="str">
        <f>PROPER(Sales_Data[[#This Row],[Month Name]])</f>
        <v>Setembro</v>
      </c>
      <c r="R982" s="11" t="str">
        <f>PROPER(Sales_Data[[#This Row],[Sales Manager]])</f>
        <v>Liam Lee</v>
      </c>
    </row>
    <row r="983" spans="1:18" hidden="1" x14ac:dyDescent="0.25">
      <c r="A983">
        <v>10982</v>
      </c>
      <c r="B983">
        <v>2021</v>
      </c>
      <c r="C983" t="s">
        <v>74</v>
      </c>
      <c r="D983" s="8">
        <v>44447</v>
      </c>
      <c r="E983" t="s">
        <v>14</v>
      </c>
      <c r="F983" t="s">
        <v>24</v>
      </c>
      <c r="G983" t="s">
        <v>17</v>
      </c>
      <c r="H983" s="9">
        <v>19</v>
      </c>
      <c r="I983" s="9">
        <v>294</v>
      </c>
      <c r="J983" s="10">
        <v>73500</v>
      </c>
      <c r="K983" s="10">
        <v>10290.000000000002</v>
      </c>
      <c r="L983">
        <v>37</v>
      </c>
      <c r="M983" s="8">
        <v>44378</v>
      </c>
      <c r="N983" s="23">
        <v>3.7023818908694001E-4</v>
      </c>
      <c r="O983" s="10" t="str">
        <f>IF(Sales_Data[[#This Row],[Total Profit]]&gt;0,"Profitable","Loss")</f>
        <v>Profitable</v>
      </c>
      <c r="P983" s="10" t="str">
        <f>IF(Sales_Data[[#This Row],[Total Profit]]&gt;100000,"High Value",IF(Sales_Data[[#This Row],[Total Profit]]&gt;60000,"Medium","Low"))</f>
        <v>Low</v>
      </c>
      <c r="Q983" s="11" t="str">
        <f>PROPER(Sales_Data[[#This Row],[Month Name]])</f>
        <v>Setembro</v>
      </c>
      <c r="R983" s="11" t="str">
        <f>PROPER(Sales_Data[[#This Row],[Sales Manager]])</f>
        <v>Liam Lee</v>
      </c>
    </row>
    <row r="984" spans="1:18" hidden="1" x14ac:dyDescent="0.25">
      <c r="A984">
        <v>10983</v>
      </c>
      <c r="B984">
        <v>2021</v>
      </c>
      <c r="C984" t="s">
        <v>74</v>
      </c>
      <c r="D984" s="8">
        <v>44448</v>
      </c>
      <c r="E984" t="s">
        <v>14</v>
      </c>
      <c r="F984" t="s">
        <v>16</v>
      </c>
      <c r="G984" t="s">
        <v>13</v>
      </c>
      <c r="H984" s="9">
        <v>15</v>
      </c>
      <c r="I984" s="9">
        <v>394</v>
      </c>
      <c r="J984" s="10">
        <v>295500</v>
      </c>
      <c r="K984" s="10">
        <v>41370.000000000007</v>
      </c>
      <c r="L984">
        <v>37</v>
      </c>
      <c r="M984" s="8">
        <v>44378</v>
      </c>
      <c r="N984" s="23">
        <v>1.4885086377577001E-3</v>
      </c>
      <c r="O984" s="10" t="str">
        <f>IF(Sales_Data[[#This Row],[Total Profit]]&gt;0,"Profitable","Loss")</f>
        <v>Profitable</v>
      </c>
      <c r="P984" s="10" t="str">
        <f>IF(Sales_Data[[#This Row],[Total Profit]]&gt;100000,"High Value",IF(Sales_Data[[#This Row],[Total Profit]]&gt;60000,"Medium","Low"))</f>
        <v>Low</v>
      </c>
      <c r="Q984" s="11" t="str">
        <f>PROPER(Sales_Data[[#This Row],[Month Name]])</f>
        <v>Setembro</v>
      </c>
      <c r="R984" s="11" t="str">
        <f>PROPER(Sales_Data[[#This Row],[Sales Manager]])</f>
        <v>James Brown</v>
      </c>
    </row>
    <row r="985" spans="1:18" hidden="1" x14ac:dyDescent="0.25">
      <c r="A985">
        <v>10984</v>
      </c>
      <c r="B985">
        <v>2021</v>
      </c>
      <c r="C985" t="s">
        <v>74</v>
      </c>
      <c r="D985" s="8">
        <v>44449</v>
      </c>
      <c r="E985" t="s">
        <v>22</v>
      </c>
      <c r="F985" t="s">
        <v>12</v>
      </c>
      <c r="G985" t="s">
        <v>15</v>
      </c>
      <c r="H985" s="9">
        <v>18</v>
      </c>
      <c r="I985" s="9">
        <v>272</v>
      </c>
      <c r="J985" s="10">
        <v>136000</v>
      </c>
      <c r="K985" s="10">
        <v>36720</v>
      </c>
      <c r="L985">
        <v>37</v>
      </c>
      <c r="M985" s="8">
        <v>44378</v>
      </c>
      <c r="N985" s="23">
        <v>6.8506658116767097E-4</v>
      </c>
      <c r="O985" s="10" t="str">
        <f>IF(Sales_Data[[#This Row],[Total Profit]]&gt;0,"Profitable","Loss")</f>
        <v>Profitable</v>
      </c>
      <c r="P985" s="10" t="str">
        <f>IF(Sales_Data[[#This Row],[Total Profit]]&gt;100000,"High Value",IF(Sales_Data[[#This Row],[Total Profit]]&gt;60000,"Medium","Low"))</f>
        <v>Low</v>
      </c>
      <c r="Q985" s="11" t="str">
        <f>PROPER(Sales_Data[[#This Row],[Month Name]])</f>
        <v>Setembro</v>
      </c>
      <c r="R985" s="11" t="str">
        <f>PROPER(Sales_Data[[#This Row],[Sales Manager]])</f>
        <v>Emily White</v>
      </c>
    </row>
    <row r="986" spans="1:18" hidden="1" x14ac:dyDescent="0.25">
      <c r="A986">
        <v>10985</v>
      </c>
      <c r="B986">
        <v>2021</v>
      </c>
      <c r="C986" t="s">
        <v>74</v>
      </c>
      <c r="D986" s="8">
        <v>44450</v>
      </c>
      <c r="E986" t="s">
        <v>11</v>
      </c>
      <c r="F986" t="s">
        <v>24</v>
      </c>
      <c r="G986" t="s">
        <v>20</v>
      </c>
      <c r="H986" s="9">
        <v>4</v>
      </c>
      <c r="I986" s="9">
        <v>292</v>
      </c>
      <c r="J986" s="10">
        <v>248200</v>
      </c>
      <c r="K986" s="10">
        <v>81906</v>
      </c>
      <c r="L986">
        <v>37</v>
      </c>
      <c r="M986" s="8">
        <v>44378</v>
      </c>
      <c r="N986" s="23">
        <v>1.2502465106309999E-3</v>
      </c>
      <c r="O986" s="10" t="str">
        <f>IF(Sales_Data[[#This Row],[Total Profit]]&gt;0,"Profitable","Loss")</f>
        <v>Profitable</v>
      </c>
      <c r="P986" s="10" t="str">
        <f>IF(Sales_Data[[#This Row],[Total Profit]]&gt;100000,"High Value",IF(Sales_Data[[#This Row],[Total Profit]]&gt;60000,"Medium","Low"))</f>
        <v>Medium</v>
      </c>
      <c r="Q986" s="11" t="str">
        <f>PROPER(Sales_Data[[#This Row],[Month Name]])</f>
        <v>Setembro</v>
      </c>
      <c r="R986" s="11" t="str">
        <f>PROPER(Sales_Data[[#This Row],[Sales Manager]])</f>
        <v>Liam Lee</v>
      </c>
    </row>
    <row r="987" spans="1:18" hidden="1" x14ac:dyDescent="0.25">
      <c r="A987">
        <v>10986</v>
      </c>
      <c r="B987">
        <v>2021</v>
      </c>
      <c r="C987" t="s">
        <v>74</v>
      </c>
      <c r="D987" s="8">
        <v>44451</v>
      </c>
      <c r="E987" t="s">
        <v>19</v>
      </c>
      <c r="F987" t="s">
        <v>16</v>
      </c>
      <c r="G987" t="s">
        <v>23</v>
      </c>
      <c r="H987" s="9">
        <v>8</v>
      </c>
      <c r="I987" s="9">
        <v>88</v>
      </c>
      <c r="J987" s="10">
        <v>30800</v>
      </c>
      <c r="K987" s="10">
        <v>13552</v>
      </c>
      <c r="L987">
        <v>38</v>
      </c>
      <c r="M987" s="8">
        <v>44378</v>
      </c>
      <c r="N987" s="23">
        <v>1.5514743161738399E-4</v>
      </c>
      <c r="O987" s="10" t="str">
        <f>IF(Sales_Data[[#This Row],[Total Profit]]&gt;0,"Profitable","Loss")</f>
        <v>Profitable</v>
      </c>
      <c r="P987" s="10" t="str">
        <f>IF(Sales_Data[[#This Row],[Total Profit]]&gt;100000,"High Value",IF(Sales_Data[[#This Row],[Total Profit]]&gt;60000,"Medium","Low"))</f>
        <v>Low</v>
      </c>
      <c r="Q987" s="11" t="str">
        <f>PROPER(Sales_Data[[#This Row],[Month Name]])</f>
        <v>Setembro</v>
      </c>
      <c r="R987" s="11" t="str">
        <f>PROPER(Sales_Data[[#This Row],[Sales Manager]])</f>
        <v>James Brown</v>
      </c>
    </row>
    <row r="988" spans="1:18" hidden="1" x14ac:dyDescent="0.25">
      <c r="A988">
        <v>10987</v>
      </c>
      <c r="B988">
        <v>2021</v>
      </c>
      <c r="C988" t="s">
        <v>74</v>
      </c>
      <c r="D988" s="8">
        <v>44452</v>
      </c>
      <c r="E988" t="s">
        <v>25</v>
      </c>
      <c r="F988" t="s">
        <v>24</v>
      </c>
      <c r="G988" t="s">
        <v>15</v>
      </c>
      <c r="H988" s="9">
        <v>21</v>
      </c>
      <c r="I988" s="9">
        <v>371</v>
      </c>
      <c r="J988" s="10">
        <v>185500</v>
      </c>
      <c r="K988" s="10">
        <v>29680</v>
      </c>
      <c r="L988">
        <v>38</v>
      </c>
      <c r="M988" s="8">
        <v>44378</v>
      </c>
      <c r="N988" s="23">
        <v>9.3441066769560995E-4</v>
      </c>
      <c r="O988" s="10" t="str">
        <f>IF(Sales_Data[[#This Row],[Total Profit]]&gt;0,"Profitable","Loss")</f>
        <v>Profitable</v>
      </c>
      <c r="P988" s="10" t="str">
        <f>IF(Sales_Data[[#This Row],[Total Profit]]&gt;100000,"High Value",IF(Sales_Data[[#This Row],[Total Profit]]&gt;60000,"Medium","Low"))</f>
        <v>Low</v>
      </c>
      <c r="Q988" s="11" t="str">
        <f>PROPER(Sales_Data[[#This Row],[Month Name]])</f>
        <v>Setembro</v>
      </c>
      <c r="R988" s="11" t="str">
        <f>PROPER(Sales_Data[[#This Row],[Sales Manager]])</f>
        <v>Liam Lee</v>
      </c>
    </row>
    <row r="989" spans="1:18" hidden="1" x14ac:dyDescent="0.25">
      <c r="A989">
        <v>10988</v>
      </c>
      <c r="B989">
        <v>2021</v>
      </c>
      <c r="C989" t="s">
        <v>74</v>
      </c>
      <c r="D989" s="8">
        <v>44453</v>
      </c>
      <c r="E989" t="s">
        <v>22</v>
      </c>
      <c r="F989" t="s">
        <v>21</v>
      </c>
      <c r="G989" t="s">
        <v>17</v>
      </c>
      <c r="H989" s="9">
        <v>17</v>
      </c>
      <c r="I989" s="9">
        <v>326</v>
      </c>
      <c r="J989" s="10">
        <v>81500</v>
      </c>
      <c r="K989" s="10">
        <v>20375</v>
      </c>
      <c r="L989">
        <v>38</v>
      </c>
      <c r="M989" s="8">
        <v>44378</v>
      </c>
      <c r="N989" s="23">
        <v>4.10536223273273E-4</v>
      </c>
      <c r="O989" s="10" t="str">
        <f>IF(Sales_Data[[#This Row],[Total Profit]]&gt;0,"Profitable","Loss")</f>
        <v>Profitable</v>
      </c>
      <c r="P989" s="10" t="str">
        <f>IF(Sales_Data[[#This Row],[Total Profit]]&gt;100000,"High Value",IF(Sales_Data[[#This Row],[Total Profit]]&gt;60000,"Medium","Low"))</f>
        <v>Low</v>
      </c>
      <c r="Q989" s="11" t="str">
        <f>PROPER(Sales_Data[[#This Row],[Month Name]])</f>
        <v>Setembro</v>
      </c>
      <c r="R989" s="11" t="str">
        <f>PROPER(Sales_Data[[#This Row],[Sales Manager]])</f>
        <v>John Smith</v>
      </c>
    </row>
    <row r="990" spans="1:18" hidden="1" x14ac:dyDescent="0.25">
      <c r="A990">
        <v>10989</v>
      </c>
      <c r="B990">
        <v>2021</v>
      </c>
      <c r="C990" t="s">
        <v>74</v>
      </c>
      <c r="D990" s="8">
        <v>44454</v>
      </c>
      <c r="E990" t="s">
        <v>19</v>
      </c>
      <c r="F990" t="s">
        <v>12</v>
      </c>
      <c r="G990" t="s">
        <v>15</v>
      </c>
      <c r="H990" s="9">
        <v>21</v>
      </c>
      <c r="I990" s="9">
        <v>304</v>
      </c>
      <c r="J990" s="10">
        <v>152000</v>
      </c>
      <c r="K990" s="10">
        <v>51680.000000000007</v>
      </c>
      <c r="L990">
        <v>38</v>
      </c>
      <c r="M990" s="8">
        <v>44378</v>
      </c>
      <c r="N990" s="23">
        <v>7.6566264954033804E-4</v>
      </c>
      <c r="O990" s="10" t="str">
        <f>IF(Sales_Data[[#This Row],[Total Profit]]&gt;0,"Profitable","Loss")</f>
        <v>Profitable</v>
      </c>
      <c r="P990" s="10" t="str">
        <f>IF(Sales_Data[[#This Row],[Total Profit]]&gt;100000,"High Value",IF(Sales_Data[[#This Row],[Total Profit]]&gt;60000,"Medium","Low"))</f>
        <v>Low</v>
      </c>
      <c r="Q990" s="11" t="str">
        <f>PROPER(Sales_Data[[#This Row],[Month Name]])</f>
        <v>Setembro</v>
      </c>
      <c r="R990" s="11" t="str">
        <f>PROPER(Sales_Data[[#This Row],[Sales Manager]])</f>
        <v>Emily White</v>
      </c>
    </row>
    <row r="991" spans="1:18" hidden="1" x14ac:dyDescent="0.25">
      <c r="A991">
        <v>10990</v>
      </c>
      <c r="B991">
        <v>2021</v>
      </c>
      <c r="C991" t="s">
        <v>74</v>
      </c>
      <c r="D991" s="8">
        <v>44455</v>
      </c>
      <c r="E991" t="s">
        <v>22</v>
      </c>
      <c r="F991" t="s">
        <v>16</v>
      </c>
      <c r="G991" t="s">
        <v>23</v>
      </c>
      <c r="H991" s="9">
        <v>23</v>
      </c>
      <c r="I991" s="9">
        <v>416</v>
      </c>
      <c r="J991" s="10">
        <v>145600</v>
      </c>
      <c r="K991" s="10">
        <v>46592</v>
      </c>
      <c r="L991">
        <v>38</v>
      </c>
      <c r="M991" s="8">
        <v>44378</v>
      </c>
      <c r="N991" s="23">
        <v>7.3342422219127101E-4</v>
      </c>
      <c r="O991" s="10" t="str">
        <f>IF(Sales_Data[[#This Row],[Total Profit]]&gt;0,"Profitable","Loss")</f>
        <v>Profitable</v>
      </c>
      <c r="P991" s="10" t="str">
        <f>IF(Sales_Data[[#This Row],[Total Profit]]&gt;100000,"High Value",IF(Sales_Data[[#This Row],[Total Profit]]&gt;60000,"Medium","Low"))</f>
        <v>Low</v>
      </c>
      <c r="Q991" s="11" t="str">
        <f>PROPER(Sales_Data[[#This Row],[Month Name]])</f>
        <v>Setembro</v>
      </c>
      <c r="R991" s="11" t="str">
        <f>PROPER(Sales_Data[[#This Row],[Sales Manager]])</f>
        <v>James Brown</v>
      </c>
    </row>
    <row r="992" spans="1:18" hidden="1" x14ac:dyDescent="0.25">
      <c r="A992">
        <v>10991</v>
      </c>
      <c r="B992">
        <v>2021</v>
      </c>
      <c r="C992" t="s">
        <v>74</v>
      </c>
      <c r="D992" s="8">
        <v>44456</v>
      </c>
      <c r="E992" t="s">
        <v>14</v>
      </c>
      <c r="F992" t="s">
        <v>16</v>
      </c>
      <c r="G992" t="s">
        <v>15</v>
      </c>
      <c r="H992" s="9">
        <v>34</v>
      </c>
      <c r="I992" s="9">
        <v>480</v>
      </c>
      <c r="J992" s="10">
        <v>240000</v>
      </c>
      <c r="K992" s="10">
        <v>43200</v>
      </c>
      <c r="L992">
        <v>38</v>
      </c>
      <c r="M992" s="8">
        <v>44378</v>
      </c>
      <c r="N992" s="23">
        <v>1.20894102559001E-3</v>
      </c>
      <c r="O992" s="10" t="str">
        <f>IF(Sales_Data[[#This Row],[Total Profit]]&gt;0,"Profitable","Loss")</f>
        <v>Profitable</v>
      </c>
      <c r="P992" s="10" t="str">
        <f>IF(Sales_Data[[#This Row],[Total Profit]]&gt;100000,"High Value",IF(Sales_Data[[#This Row],[Total Profit]]&gt;60000,"Medium","Low"))</f>
        <v>Low</v>
      </c>
      <c r="Q992" s="11" t="str">
        <f>PROPER(Sales_Data[[#This Row],[Month Name]])</f>
        <v>Setembro</v>
      </c>
      <c r="R992" s="11" t="str">
        <f>PROPER(Sales_Data[[#This Row],[Sales Manager]])</f>
        <v>James Brown</v>
      </c>
    </row>
    <row r="993" spans="1:18" hidden="1" x14ac:dyDescent="0.25">
      <c r="A993">
        <v>10992</v>
      </c>
      <c r="B993">
        <v>2021</v>
      </c>
      <c r="C993" t="s">
        <v>74</v>
      </c>
      <c r="D993" s="8">
        <v>44457</v>
      </c>
      <c r="E993" t="s">
        <v>25</v>
      </c>
      <c r="F993" t="s">
        <v>16</v>
      </c>
      <c r="G993" t="s">
        <v>15</v>
      </c>
      <c r="H993" s="9">
        <v>11</v>
      </c>
      <c r="I993" s="9">
        <v>354</v>
      </c>
      <c r="J993" s="10">
        <v>177000</v>
      </c>
      <c r="K993" s="10">
        <v>56640</v>
      </c>
      <c r="L993">
        <v>38</v>
      </c>
      <c r="M993" s="8">
        <v>44378</v>
      </c>
      <c r="N993" s="23">
        <v>8.9159400637262996E-4</v>
      </c>
      <c r="O993" s="10" t="str">
        <f>IF(Sales_Data[[#This Row],[Total Profit]]&gt;0,"Profitable","Loss")</f>
        <v>Profitable</v>
      </c>
      <c r="P993" s="10" t="str">
        <f>IF(Sales_Data[[#This Row],[Total Profit]]&gt;100000,"High Value",IF(Sales_Data[[#This Row],[Total Profit]]&gt;60000,"Medium","Low"))</f>
        <v>Low</v>
      </c>
      <c r="Q993" s="11" t="str">
        <f>PROPER(Sales_Data[[#This Row],[Month Name]])</f>
        <v>Setembro</v>
      </c>
      <c r="R993" s="11" t="str">
        <f>PROPER(Sales_Data[[#This Row],[Sales Manager]])</f>
        <v>James Brown</v>
      </c>
    </row>
    <row r="994" spans="1:18" hidden="1" x14ac:dyDescent="0.25">
      <c r="A994">
        <v>10993</v>
      </c>
      <c r="B994">
        <v>2021</v>
      </c>
      <c r="C994" t="s">
        <v>74</v>
      </c>
      <c r="D994" s="8">
        <v>44458</v>
      </c>
      <c r="E994" t="s">
        <v>19</v>
      </c>
      <c r="F994" t="s">
        <v>16</v>
      </c>
      <c r="G994" t="s">
        <v>17</v>
      </c>
      <c r="H994" s="9">
        <v>1</v>
      </c>
      <c r="I994" s="9">
        <v>50</v>
      </c>
      <c r="J994" s="10">
        <v>12500</v>
      </c>
      <c r="K994" s="10">
        <v>5375</v>
      </c>
      <c r="L994">
        <v>39</v>
      </c>
      <c r="M994" s="8">
        <v>44378</v>
      </c>
      <c r="N994" s="23">
        <v>6.2965678416146195E-5</v>
      </c>
      <c r="O994" s="10" t="str">
        <f>IF(Sales_Data[[#This Row],[Total Profit]]&gt;0,"Profitable","Loss")</f>
        <v>Profitable</v>
      </c>
      <c r="P994" s="10" t="str">
        <f>IF(Sales_Data[[#This Row],[Total Profit]]&gt;100000,"High Value",IF(Sales_Data[[#This Row],[Total Profit]]&gt;60000,"Medium","Low"))</f>
        <v>Low</v>
      </c>
      <c r="Q994" s="11" t="str">
        <f>PROPER(Sales_Data[[#This Row],[Month Name]])</f>
        <v>Setembro</v>
      </c>
      <c r="R994" s="11" t="str">
        <f>PROPER(Sales_Data[[#This Row],[Sales Manager]])</f>
        <v>James Brown</v>
      </c>
    </row>
    <row r="995" spans="1:18" hidden="1" x14ac:dyDescent="0.25">
      <c r="A995">
        <v>10994</v>
      </c>
      <c r="B995">
        <v>2021</v>
      </c>
      <c r="C995" t="s">
        <v>74</v>
      </c>
      <c r="D995" s="8">
        <v>44459</v>
      </c>
      <c r="E995" t="s">
        <v>25</v>
      </c>
      <c r="F995" t="s">
        <v>12</v>
      </c>
      <c r="G995" t="s">
        <v>13</v>
      </c>
      <c r="H995" s="9">
        <v>5</v>
      </c>
      <c r="I995" s="9">
        <v>72</v>
      </c>
      <c r="J995" s="10">
        <v>54000</v>
      </c>
      <c r="K995" s="10">
        <v>21060</v>
      </c>
      <c r="L995">
        <v>39</v>
      </c>
      <c r="M995" s="8">
        <v>44378</v>
      </c>
      <c r="N995" s="23">
        <v>2.7201173075775201E-4</v>
      </c>
      <c r="O995" s="10" t="str">
        <f>IF(Sales_Data[[#This Row],[Total Profit]]&gt;0,"Profitable","Loss")</f>
        <v>Profitable</v>
      </c>
      <c r="P995" s="10" t="str">
        <f>IF(Sales_Data[[#This Row],[Total Profit]]&gt;100000,"High Value",IF(Sales_Data[[#This Row],[Total Profit]]&gt;60000,"Medium","Low"))</f>
        <v>Low</v>
      </c>
      <c r="Q995" s="11" t="str">
        <f>PROPER(Sales_Data[[#This Row],[Month Name]])</f>
        <v>Setembro</v>
      </c>
      <c r="R995" s="11" t="str">
        <f>PROPER(Sales_Data[[#This Row],[Sales Manager]])</f>
        <v>Emily White</v>
      </c>
    </row>
    <row r="996" spans="1:18" hidden="1" x14ac:dyDescent="0.25">
      <c r="A996">
        <v>10995</v>
      </c>
      <c r="B996">
        <v>2021</v>
      </c>
      <c r="C996" t="s">
        <v>74</v>
      </c>
      <c r="D996" s="8">
        <v>44460</v>
      </c>
      <c r="E996" t="s">
        <v>11</v>
      </c>
      <c r="F996" t="s">
        <v>21</v>
      </c>
      <c r="G996" t="s">
        <v>17</v>
      </c>
      <c r="H996" s="9">
        <v>33</v>
      </c>
      <c r="I996" s="9">
        <v>379</v>
      </c>
      <c r="J996" s="10">
        <v>94750</v>
      </c>
      <c r="K996" s="10">
        <v>42637.5</v>
      </c>
      <c r="L996">
        <v>39</v>
      </c>
      <c r="M996" s="8">
        <v>44378</v>
      </c>
      <c r="N996" s="23">
        <v>4.7727984239438802E-4</v>
      </c>
      <c r="O996" s="10" t="str">
        <f>IF(Sales_Data[[#This Row],[Total Profit]]&gt;0,"Profitable","Loss")</f>
        <v>Profitable</v>
      </c>
      <c r="P996" s="10" t="str">
        <f>IF(Sales_Data[[#This Row],[Total Profit]]&gt;100000,"High Value",IF(Sales_Data[[#This Row],[Total Profit]]&gt;60000,"Medium","Low"))</f>
        <v>Low</v>
      </c>
      <c r="Q996" s="11" t="str">
        <f>PROPER(Sales_Data[[#This Row],[Month Name]])</f>
        <v>Setembro</v>
      </c>
      <c r="R996" s="11" t="str">
        <f>PROPER(Sales_Data[[#This Row],[Sales Manager]])</f>
        <v>John Smith</v>
      </c>
    </row>
    <row r="997" spans="1:18" hidden="1" x14ac:dyDescent="0.25">
      <c r="A997">
        <v>10996</v>
      </c>
      <c r="B997">
        <v>2021</v>
      </c>
      <c r="C997" t="s">
        <v>74</v>
      </c>
      <c r="D997" s="8">
        <v>44461</v>
      </c>
      <c r="E997" t="s">
        <v>11</v>
      </c>
      <c r="F997" t="s">
        <v>21</v>
      </c>
      <c r="G997" t="s">
        <v>23</v>
      </c>
      <c r="H997" s="9">
        <v>22</v>
      </c>
      <c r="I997" s="9">
        <v>300</v>
      </c>
      <c r="J997" s="10">
        <v>105000</v>
      </c>
      <c r="K997" s="10">
        <v>34650</v>
      </c>
      <c r="L997">
        <v>39</v>
      </c>
      <c r="M997" s="8">
        <v>44378</v>
      </c>
      <c r="N997" s="23">
        <v>5.2891169869562801E-4</v>
      </c>
      <c r="O997" s="10" t="str">
        <f>IF(Sales_Data[[#This Row],[Total Profit]]&gt;0,"Profitable","Loss")</f>
        <v>Profitable</v>
      </c>
      <c r="P997" s="10" t="str">
        <f>IF(Sales_Data[[#This Row],[Total Profit]]&gt;100000,"High Value",IF(Sales_Data[[#This Row],[Total Profit]]&gt;60000,"Medium","Low"))</f>
        <v>Low</v>
      </c>
      <c r="Q997" s="11" t="str">
        <f>PROPER(Sales_Data[[#This Row],[Month Name]])</f>
        <v>Setembro</v>
      </c>
      <c r="R997" s="11" t="str">
        <f>PROPER(Sales_Data[[#This Row],[Sales Manager]])</f>
        <v>John Smith</v>
      </c>
    </row>
    <row r="998" spans="1:18" hidden="1" x14ac:dyDescent="0.25">
      <c r="A998">
        <v>10997</v>
      </c>
      <c r="B998">
        <v>2021</v>
      </c>
      <c r="C998" t="s">
        <v>74</v>
      </c>
      <c r="D998" s="8">
        <v>44462</v>
      </c>
      <c r="E998" t="s">
        <v>14</v>
      </c>
      <c r="F998" t="s">
        <v>21</v>
      </c>
      <c r="G998" t="s">
        <v>23</v>
      </c>
      <c r="H998" s="9">
        <v>10</v>
      </c>
      <c r="I998" s="9">
        <v>292</v>
      </c>
      <c r="J998" s="10">
        <v>102200</v>
      </c>
      <c r="K998" s="10">
        <v>29637.999999999996</v>
      </c>
      <c r="L998">
        <v>39</v>
      </c>
      <c r="M998" s="8">
        <v>44378</v>
      </c>
      <c r="N998" s="23">
        <v>5.1480738673041098E-4</v>
      </c>
      <c r="O998" s="10" t="str">
        <f>IF(Sales_Data[[#This Row],[Total Profit]]&gt;0,"Profitable","Loss")</f>
        <v>Profitable</v>
      </c>
      <c r="P998" s="10" t="str">
        <f>IF(Sales_Data[[#This Row],[Total Profit]]&gt;100000,"High Value",IF(Sales_Data[[#This Row],[Total Profit]]&gt;60000,"Medium","Low"))</f>
        <v>Low</v>
      </c>
      <c r="Q998" s="11" t="str">
        <f>PROPER(Sales_Data[[#This Row],[Month Name]])</f>
        <v>Setembro</v>
      </c>
      <c r="R998" s="11" t="str">
        <f>PROPER(Sales_Data[[#This Row],[Sales Manager]])</f>
        <v>John Smith</v>
      </c>
    </row>
    <row r="999" spans="1:18" hidden="1" x14ac:dyDescent="0.25">
      <c r="A999">
        <v>10998</v>
      </c>
      <c r="B999">
        <v>2021</v>
      </c>
      <c r="C999" t="s">
        <v>74</v>
      </c>
      <c r="D999" s="8">
        <v>44463</v>
      </c>
      <c r="E999" t="s">
        <v>11</v>
      </c>
      <c r="F999" t="s">
        <v>12</v>
      </c>
      <c r="G999" t="s">
        <v>20</v>
      </c>
      <c r="H999" s="9">
        <v>8</v>
      </c>
      <c r="I999" s="9">
        <v>268</v>
      </c>
      <c r="J999" s="10">
        <v>227800</v>
      </c>
      <c r="K999" s="10">
        <v>88842</v>
      </c>
      <c r="L999">
        <v>39</v>
      </c>
      <c r="M999" s="8">
        <v>44378</v>
      </c>
      <c r="N999" s="23">
        <v>1.1474865234558499E-3</v>
      </c>
      <c r="O999" s="10" t="str">
        <f>IF(Sales_Data[[#This Row],[Total Profit]]&gt;0,"Profitable","Loss")</f>
        <v>Profitable</v>
      </c>
      <c r="P999" s="10" t="str">
        <f>IF(Sales_Data[[#This Row],[Total Profit]]&gt;100000,"High Value",IF(Sales_Data[[#This Row],[Total Profit]]&gt;60000,"Medium","Low"))</f>
        <v>Medium</v>
      </c>
      <c r="Q999" s="11" t="str">
        <f>PROPER(Sales_Data[[#This Row],[Month Name]])</f>
        <v>Setembro</v>
      </c>
      <c r="R999" s="11" t="str">
        <f>PROPER(Sales_Data[[#This Row],[Sales Manager]])</f>
        <v>Emily White</v>
      </c>
    </row>
    <row r="1000" spans="1:18" hidden="1" x14ac:dyDescent="0.25">
      <c r="A1000">
        <v>10999</v>
      </c>
      <c r="B1000">
        <v>2021</v>
      </c>
      <c r="C1000" t="s">
        <v>74</v>
      </c>
      <c r="D1000" s="8">
        <v>44464</v>
      </c>
      <c r="E1000" t="s">
        <v>11</v>
      </c>
      <c r="F1000" t="s">
        <v>12</v>
      </c>
      <c r="G1000" t="s">
        <v>15</v>
      </c>
      <c r="H1000" s="9">
        <v>20</v>
      </c>
      <c r="I1000" s="9">
        <v>344</v>
      </c>
      <c r="J1000" s="10">
        <v>172000</v>
      </c>
      <c r="K1000" s="10">
        <v>77400</v>
      </c>
      <c r="L1000">
        <v>39</v>
      </c>
      <c r="M1000" s="8">
        <v>44378</v>
      </c>
      <c r="N1000" s="23">
        <v>8.6640773500617195E-4</v>
      </c>
      <c r="O1000" s="10" t="str">
        <f>IF(Sales_Data[[#This Row],[Total Profit]]&gt;0,"Profitable","Loss")</f>
        <v>Profitable</v>
      </c>
      <c r="P1000" s="10" t="str">
        <f>IF(Sales_Data[[#This Row],[Total Profit]]&gt;100000,"High Value",IF(Sales_Data[[#This Row],[Total Profit]]&gt;60000,"Medium","Low"))</f>
        <v>Medium</v>
      </c>
      <c r="Q1000" s="11" t="str">
        <f>PROPER(Sales_Data[[#This Row],[Month Name]])</f>
        <v>Setembro</v>
      </c>
      <c r="R1000" s="11" t="str">
        <f>PROPER(Sales_Data[[#This Row],[Sales Manager]])</f>
        <v>Emily White</v>
      </c>
    </row>
    <row r="1001" spans="1:18" hidden="1" x14ac:dyDescent="0.25">
      <c r="A1001">
        <v>11000</v>
      </c>
      <c r="B1001">
        <v>2021</v>
      </c>
      <c r="C1001" t="s">
        <v>74</v>
      </c>
      <c r="D1001" s="8">
        <v>44465</v>
      </c>
      <c r="E1001" t="s">
        <v>14</v>
      </c>
      <c r="F1001" t="s">
        <v>16</v>
      </c>
      <c r="G1001" t="s">
        <v>13</v>
      </c>
      <c r="H1001" s="9">
        <v>24</v>
      </c>
      <c r="I1001" s="9">
        <v>388</v>
      </c>
      <c r="J1001" s="10">
        <v>291000</v>
      </c>
      <c r="K1001" s="10">
        <v>29100</v>
      </c>
      <c r="L1001">
        <v>40</v>
      </c>
      <c r="M1001" s="8">
        <v>44378</v>
      </c>
      <c r="N1001" s="23">
        <v>1.4658409935278799E-3</v>
      </c>
      <c r="O1001" s="10" t="str">
        <f>IF(Sales_Data[[#This Row],[Total Profit]]&gt;0,"Profitable","Loss")</f>
        <v>Profitable</v>
      </c>
      <c r="P1001" s="10" t="str">
        <f>IF(Sales_Data[[#This Row],[Total Profit]]&gt;100000,"High Value",IF(Sales_Data[[#This Row],[Total Profit]]&gt;60000,"Medium","Low"))</f>
        <v>Low</v>
      </c>
      <c r="Q1001" s="11" t="str">
        <f>PROPER(Sales_Data[[#This Row],[Month Name]])</f>
        <v>Setembro</v>
      </c>
      <c r="R1001" s="11" t="str">
        <f>PROPER(Sales_Data[[#This Row],[Sales Manager]])</f>
        <v>James Brown</v>
      </c>
    </row>
    <row r="1002" spans="1:18" hidden="1" x14ac:dyDescent="0.25">
      <c r="A1002">
        <v>11001</v>
      </c>
      <c r="B1002">
        <v>2021</v>
      </c>
      <c r="C1002" t="s">
        <v>74</v>
      </c>
      <c r="D1002" s="8">
        <v>44466</v>
      </c>
      <c r="E1002" t="s">
        <v>22</v>
      </c>
      <c r="F1002" t="s">
        <v>18</v>
      </c>
      <c r="G1002" t="s">
        <v>20</v>
      </c>
      <c r="H1002" s="9">
        <v>6</v>
      </c>
      <c r="I1002" s="9">
        <v>433</v>
      </c>
      <c r="J1002" s="10">
        <v>368050</v>
      </c>
      <c r="K1002" s="10">
        <v>84651.5</v>
      </c>
      <c r="L1002">
        <v>40</v>
      </c>
      <c r="M1002" s="8">
        <v>44378</v>
      </c>
      <c r="N1002" s="23">
        <v>1.85396143528501E-3</v>
      </c>
      <c r="O1002" s="10" t="str">
        <f>IF(Sales_Data[[#This Row],[Total Profit]]&gt;0,"Profitable","Loss")</f>
        <v>Profitable</v>
      </c>
      <c r="P1002" s="10" t="str">
        <f>IF(Sales_Data[[#This Row],[Total Profit]]&gt;100000,"High Value",IF(Sales_Data[[#This Row],[Total Profit]]&gt;60000,"Medium","Low"))</f>
        <v>Medium</v>
      </c>
      <c r="Q1002" s="11" t="str">
        <f>PROPER(Sales_Data[[#This Row],[Month Name]])</f>
        <v>Setembro</v>
      </c>
      <c r="R1002" s="11" t="str">
        <f>PROPER(Sales_Data[[#This Row],[Sales Manager]])</f>
        <v>Jane Doe</v>
      </c>
    </row>
    <row r="1003" spans="1:18" hidden="1" x14ac:dyDescent="0.25">
      <c r="A1003">
        <v>11002</v>
      </c>
      <c r="B1003">
        <v>2021</v>
      </c>
      <c r="C1003" t="s">
        <v>74</v>
      </c>
      <c r="D1003" s="8">
        <v>44467</v>
      </c>
      <c r="E1003" t="s">
        <v>19</v>
      </c>
      <c r="F1003" t="s">
        <v>12</v>
      </c>
      <c r="G1003" t="s">
        <v>20</v>
      </c>
      <c r="H1003" s="9">
        <v>22</v>
      </c>
      <c r="I1003" s="9">
        <v>417</v>
      </c>
      <c r="J1003" s="10">
        <v>354450</v>
      </c>
      <c r="K1003" s="10">
        <v>67345.5</v>
      </c>
      <c r="L1003">
        <v>40</v>
      </c>
      <c r="M1003" s="8">
        <v>44378</v>
      </c>
      <c r="N1003" s="23">
        <v>1.78545477716824E-3</v>
      </c>
      <c r="O1003" s="10" t="str">
        <f>IF(Sales_Data[[#This Row],[Total Profit]]&gt;0,"Profitable","Loss")</f>
        <v>Profitable</v>
      </c>
      <c r="P1003" s="10" t="str">
        <f>IF(Sales_Data[[#This Row],[Total Profit]]&gt;100000,"High Value",IF(Sales_Data[[#This Row],[Total Profit]]&gt;60000,"Medium","Low"))</f>
        <v>Medium</v>
      </c>
      <c r="Q1003" s="11" t="str">
        <f>PROPER(Sales_Data[[#This Row],[Month Name]])</f>
        <v>Setembro</v>
      </c>
      <c r="R1003" s="11" t="str">
        <f>PROPER(Sales_Data[[#This Row],[Sales Manager]])</f>
        <v>Emily White</v>
      </c>
    </row>
    <row r="1004" spans="1:18" hidden="1" x14ac:dyDescent="0.25">
      <c r="A1004">
        <v>11003</v>
      </c>
      <c r="B1004">
        <v>2021</v>
      </c>
      <c r="C1004" t="s">
        <v>74</v>
      </c>
      <c r="D1004" s="8">
        <v>44468</v>
      </c>
      <c r="E1004" t="s">
        <v>22</v>
      </c>
      <c r="F1004" t="s">
        <v>16</v>
      </c>
      <c r="G1004" t="s">
        <v>23</v>
      </c>
      <c r="H1004" s="9">
        <v>30</v>
      </c>
      <c r="I1004" s="9">
        <v>309</v>
      </c>
      <c r="J1004" s="10">
        <v>108150</v>
      </c>
      <c r="K1004" s="10">
        <v>35689.5</v>
      </c>
      <c r="L1004">
        <v>40</v>
      </c>
      <c r="M1004" s="8">
        <v>44378</v>
      </c>
      <c r="N1004" s="23">
        <v>5.4477904965649702E-4</v>
      </c>
      <c r="O1004" s="10" t="str">
        <f>IF(Sales_Data[[#This Row],[Total Profit]]&gt;0,"Profitable","Loss")</f>
        <v>Profitable</v>
      </c>
      <c r="P1004" s="10" t="str">
        <f>IF(Sales_Data[[#This Row],[Total Profit]]&gt;100000,"High Value",IF(Sales_Data[[#This Row],[Total Profit]]&gt;60000,"Medium","Low"))</f>
        <v>Low</v>
      </c>
      <c r="Q1004" s="11" t="str">
        <f>PROPER(Sales_Data[[#This Row],[Month Name]])</f>
        <v>Setembro</v>
      </c>
      <c r="R1004" s="11" t="str">
        <f>PROPER(Sales_Data[[#This Row],[Sales Manager]])</f>
        <v>James Brown</v>
      </c>
    </row>
    <row r="1005" spans="1:18" hidden="1" x14ac:dyDescent="0.25">
      <c r="A1005">
        <v>11004</v>
      </c>
      <c r="B1005">
        <v>2021</v>
      </c>
      <c r="C1005" t="s">
        <v>74</v>
      </c>
      <c r="D1005" s="8">
        <v>44469</v>
      </c>
      <c r="E1005" t="s">
        <v>14</v>
      </c>
      <c r="F1005" t="s">
        <v>24</v>
      </c>
      <c r="G1005" t="s">
        <v>17</v>
      </c>
      <c r="H1005" s="9">
        <v>3</v>
      </c>
      <c r="I1005" s="9">
        <v>84</v>
      </c>
      <c r="J1005" s="10">
        <v>21000</v>
      </c>
      <c r="K1005" s="10">
        <v>3360</v>
      </c>
      <c r="L1005">
        <v>40</v>
      </c>
      <c r="M1005" s="8">
        <v>44378</v>
      </c>
      <c r="N1005" s="23">
        <v>1.05782339739126E-4</v>
      </c>
      <c r="O1005" s="10" t="str">
        <f>IF(Sales_Data[[#This Row],[Total Profit]]&gt;0,"Profitable","Loss")</f>
        <v>Profitable</v>
      </c>
      <c r="P1005" s="10" t="str">
        <f>IF(Sales_Data[[#This Row],[Total Profit]]&gt;100000,"High Value",IF(Sales_Data[[#This Row],[Total Profit]]&gt;60000,"Medium","Low"))</f>
        <v>Low</v>
      </c>
      <c r="Q1005" s="11" t="str">
        <f>PROPER(Sales_Data[[#This Row],[Month Name]])</f>
        <v>Setembro</v>
      </c>
      <c r="R1005" s="11" t="str">
        <f>PROPER(Sales_Data[[#This Row],[Sales Manager]])</f>
        <v>Liam Lee</v>
      </c>
    </row>
    <row r="1006" spans="1:18" hidden="1" x14ac:dyDescent="0.25">
      <c r="A1006">
        <v>11005</v>
      </c>
      <c r="B1006">
        <v>2021</v>
      </c>
      <c r="C1006" t="s">
        <v>75</v>
      </c>
      <c r="D1006" s="8">
        <v>44470</v>
      </c>
      <c r="E1006" t="s">
        <v>25</v>
      </c>
      <c r="F1006" t="s">
        <v>24</v>
      </c>
      <c r="G1006" t="s">
        <v>15</v>
      </c>
      <c r="H1006" s="9">
        <v>13</v>
      </c>
      <c r="I1006" s="9">
        <v>157</v>
      </c>
      <c r="J1006" s="10">
        <v>78500</v>
      </c>
      <c r="K1006" s="10">
        <v>8635</v>
      </c>
      <c r="L1006">
        <v>40</v>
      </c>
      <c r="M1006" s="8">
        <v>44470</v>
      </c>
      <c r="N1006" s="23">
        <v>3.9542446045339803E-4</v>
      </c>
      <c r="O1006" s="10" t="str">
        <f>IF(Sales_Data[[#This Row],[Total Profit]]&gt;0,"Profitable","Loss")</f>
        <v>Profitable</v>
      </c>
      <c r="P1006" s="10" t="str">
        <f>IF(Sales_Data[[#This Row],[Total Profit]]&gt;100000,"High Value",IF(Sales_Data[[#This Row],[Total Profit]]&gt;60000,"Medium","Low"))</f>
        <v>Low</v>
      </c>
      <c r="Q1006" s="11" t="str">
        <f>PROPER(Sales_Data[[#This Row],[Month Name]])</f>
        <v>Outubro</v>
      </c>
      <c r="R1006" s="11" t="str">
        <f>PROPER(Sales_Data[[#This Row],[Sales Manager]])</f>
        <v>Liam Lee</v>
      </c>
    </row>
    <row r="1007" spans="1:18" hidden="1" x14ac:dyDescent="0.25">
      <c r="A1007">
        <v>11006</v>
      </c>
      <c r="B1007">
        <v>2021</v>
      </c>
      <c r="C1007" t="s">
        <v>75</v>
      </c>
      <c r="D1007" s="8">
        <v>44471</v>
      </c>
      <c r="E1007" t="s">
        <v>22</v>
      </c>
      <c r="F1007" t="s">
        <v>18</v>
      </c>
      <c r="G1007" t="s">
        <v>23</v>
      </c>
      <c r="H1007" s="9">
        <v>17</v>
      </c>
      <c r="I1007" s="9">
        <v>227</v>
      </c>
      <c r="J1007" s="10">
        <v>79450</v>
      </c>
      <c r="K1007" s="10">
        <v>23040.5</v>
      </c>
      <c r="L1007">
        <v>40</v>
      </c>
      <c r="M1007" s="8">
        <v>44470</v>
      </c>
      <c r="N1007" s="23">
        <v>4.0020985201302502E-4</v>
      </c>
      <c r="O1007" s="10" t="str">
        <f>IF(Sales_Data[[#This Row],[Total Profit]]&gt;0,"Profitable","Loss")</f>
        <v>Profitable</v>
      </c>
      <c r="P1007" s="10" t="str">
        <f>IF(Sales_Data[[#This Row],[Total Profit]]&gt;100000,"High Value",IF(Sales_Data[[#This Row],[Total Profit]]&gt;60000,"Medium","Low"))</f>
        <v>Low</v>
      </c>
      <c r="Q1007" s="11" t="str">
        <f>PROPER(Sales_Data[[#This Row],[Month Name]])</f>
        <v>Outubro</v>
      </c>
      <c r="R1007" s="11" t="str">
        <f>PROPER(Sales_Data[[#This Row],[Sales Manager]])</f>
        <v>Jane Doe</v>
      </c>
    </row>
    <row r="1008" spans="1:18" hidden="1" x14ac:dyDescent="0.25">
      <c r="A1008">
        <v>11007</v>
      </c>
      <c r="B1008">
        <v>2021</v>
      </c>
      <c r="C1008" t="s">
        <v>75</v>
      </c>
      <c r="D1008" s="8">
        <v>44472</v>
      </c>
      <c r="E1008" t="s">
        <v>14</v>
      </c>
      <c r="F1008" t="s">
        <v>12</v>
      </c>
      <c r="G1008" t="s">
        <v>15</v>
      </c>
      <c r="H1008" s="9">
        <v>11</v>
      </c>
      <c r="I1008" s="9">
        <v>130</v>
      </c>
      <c r="J1008" s="10">
        <v>65000</v>
      </c>
      <c r="K1008" s="10">
        <v>18850</v>
      </c>
      <c r="L1008">
        <v>41</v>
      </c>
      <c r="M1008" s="8">
        <v>44470</v>
      </c>
      <c r="N1008" s="23">
        <v>3.2742152776396002E-4</v>
      </c>
      <c r="O1008" s="10" t="str">
        <f>IF(Sales_Data[[#This Row],[Total Profit]]&gt;0,"Profitable","Loss")</f>
        <v>Profitable</v>
      </c>
      <c r="P1008" s="10" t="str">
        <f>IF(Sales_Data[[#This Row],[Total Profit]]&gt;100000,"High Value",IF(Sales_Data[[#This Row],[Total Profit]]&gt;60000,"Medium","Low"))</f>
        <v>Low</v>
      </c>
      <c r="Q1008" s="11" t="str">
        <f>PROPER(Sales_Data[[#This Row],[Month Name]])</f>
        <v>Outubro</v>
      </c>
      <c r="R1008" s="11" t="str">
        <f>PROPER(Sales_Data[[#This Row],[Sales Manager]])</f>
        <v>Emily White</v>
      </c>
    </row>
    <row r="1009" spans="1:18" hidden="1" x14ac:dyDescent="0.25">
      <c r="A1009">
        <v>11008</v>
      </c>
      <c r="B1009">
        <v>2021</v>
      </c>
      <c r="C1009" t="s">
        <v>75</v>
      </c>
      <c r="D1009" s="8">
        <v>44473</v>
      </c>
      <c r="E1009" t="s">
        <v>22</v>
      </c>
      <c r="F1009" t="s">
        <v>21</v>
      </c>
      <c r="G1009" t="s">
        <v>17</v>
      </c>
      <c r="H1009" s="9">
        <v>2</v>
      </c>
      <c r="I1009" s="9">
        <v>35</v>
      </c>
      <c r="J1009" s="10">
        <v>8750</v>
      </c>
      <c r="K1009" s="10">
        <v>1925</v>
      </c>
      <c r="L1009">
        <v>41</v>
      </c>
      <c r="M1009" s="8">
        <v>44470</v>
      </c>
      <c r="N1009" s="23">
        <v>4.4075974891302398E-5</v>
      </c>
      <c r="O1009" s="10" t="str">
        <f>IF(Sales_Data[[#This Row],[Total Profit]]&gt;0,"Profitable","Loss")</f>
        <v>Profitable</v>
      </c>
      <c r="P1009" s="10" t="str">
        <f>IF(Sales_Data[[#This Row],[Total Profit]]&gt;100000,"High Value",IF(Sales_Data[[#This Row],[Total Profit]]&gt;60000,"Medium","Low"))</f>
        <v>Low</v>
      </c>
      <c r="Q1009" s="11" t="str">
        <f>PROPER(Sales_Data[[#This Row],[Month Name]])</f>
        <v>Outubro</v>
      </c>
      <c r="R1009" s="11" t="str">
        <f>PROPER(Sales_Data[[#This Row],[Sales Manager]])</f>
        <v>John Smith</v>
      </c>
    </row>
    <row r="1010" spans="1:18" hidden="1" x14ac:dyDescent="0.25">
      <c r="A1010">
        <v>11009</v>
      </c>
      <c r="B1010">
        <v>2021</v>
      </c>
      <c r="C1010" t="s">
        <v>75</v>
      </c>
      <c r="D1010" s="8">
        <v>44474</v>
      </c>
      <c r="E1010" t="s">
        <v>22</v>
      </c>
      <c r="F1010" t="s">
        <v>21</v>
      </c>
      <c r="G1010" t="s">
        <v>17</v>
      </c>
      <c r="H1010" s="9">
        <v>4</v>
      </c>
      <c r="I1010" s="9">
        <v>111</v>
      </c>
      <c r="J1010" s="10">
        <v>27750</v>
      </c>
      <c r="K1010" s="10">
        <v>12487.5</v>
      </c>
      <c r="L1010">
        <v>41</v>
      </c>
      <c r="M1010" s="8">
        <v>44470</v>
      </c>
      <c r="N1010" s="23">
        <v>1.39783806083845E-4</v>
      </c>
      <c r="O1010" s="10" t="str">
        <f>IF(Sales_Data[[#This Row],[Total Profit]]&gt;0,"Profitable","Loss")</f>
        <v>Profitable</v>
      </c>
      <c r="P1010" s="10" t="str">
        <f>IF(Sales_Data[[#This Row],[Total Profit]]&gt;100000,"High Value",IF(Sales_Data[[#This Row],[Total Profit]]&gt;60000,"Medium","Low"))</f>
        <v>Low</v>
      </c>
      <c r="Q1010" s="11" t="str">
        <f>PROPER(Sales_Data[[#This Row],[Month Name]])</f>
        <v>Outubro</v>
      </c>
      <c r="R1010" s="11" t="str">
        <f>PROPER(Sales_Data[[#This Row],[Sales Manager]])</f>
        <v>John Smith</v>
      </c>
    </row>
    <row r="1011" spans="1:18" hidden="1" x14ac:dyDescent="0.25">
      <c r="A1011">
        <v>11010</v>
      </c>
      <c r="B1011">
        <v>2021</v>
      </c>
      <c r="C1011" t="s">
        <v>75</v>
      </c>
      <c r="D1011" s="8">
        <v>44475</v>
      </c>
      <c r="E1011" t="s">
        <v>14</v>
      </c>
      <c r="F1011" t="s">
        <v>24</v>
      </c>
      <c r="G1011" t="s">
        <v>20</v>
      </c>
      <c r="H1011" s="9">
        <v>11</v>
      </c>
      <c r="I1011" s="9">
        <v>129</v>
      </c>
      <c r="J1011" s="10">
        <v>109650</v>
      </c>
      <c r="K1011" s="10">
        <v>38377.5</v>
      </c>
      <c r="L1011">
        <v>41</v>
      </c>
      <c r="M1011" s="8">
        <v>44470</v>
      </c>
      <c r="N1011" s="23">
        <v>5.5233493106643502E-4</v>
      </c>
      <c r="O1011" s="10" t="str">
        <f>IF(Sales_Data[[#This Row],[Total Profit]]&gt;0,"Profitable","Loss")</f>
        <v>Profitable</v>
      </c>
      <c r="P1011" s="10" t="str">
        <f>IF(Sales_Data[[#This Row],[Total Profit]]&gt;100000,"High Value",IF(Sales_Data[[#This Row],[Total Profit]]&gt;60000,"Medium","Low"))</f>
        <v>Low</v>
      </c>
      <c r="Q1011" s="11" t="str">
        <f>PROPER(Sales_Data[[#This Row],[Month Name]])</f>
        <v>Outubro</v>
      </c>
      <c r="R1011" s="11" t="str">
        <f>PROPER(Sales_Data[[#This Row],[Sales Manager]])</f>
        <v>Liam Lee</v>
      </c>
    </row>
    <row r="1012" spans="1:18" hidden="1" x14ac:dyDescent="0.25">
      <c r="A1012">
        <v>11011</v>
      </c>
      <c r="B1012">
        <v>2021</v>
      </c>
      <c r="C1012" t="s">
        <v>75</v>
      </c>
      <c r="D1012" s="8">
        <v>44476</v>
      </c>
      <c r="E1012" t="s">
        <v>14</v>
      </c>
      <c r="F1012" t="s">
        <v>18</v>
      </c>
      <c r="G1012" t="s">
        <v>23</v>
      </c>
      <c r="H1012" s="9">
        <v>11</v>
      </c>
      <c r="I1012" s="9">
        <v>389</v>
      </c>
      <c r="J1012" s="10">
        <v>136150</v>
      </c>
      <c r="K1012" s="10">
        <v>54460</v>
      </c>
      <c r="L1012">
        <v>41</v>
      </c>
      <c r="M1012" s="8">
        <v>44470</v>
      </c>
      <c r="N1012" s="23">
        <v>6.8582216930866398E-4</v>
      </c>
      <c r="O1012" s="10" t="str">
        <f>IF(Sales_Data[[#This Row],[Total Profit]]&gt;0,"Profitable","Loss")</f>
        <v>Profitable</v>
      </c>
      <c r="P1012" s="10" t="str">
        <f>IF(Sales_Data[[#This Row],[Total Profit]]&gt;100000,"High Value",IF(Sales_Data[[#This Row],[Total Profit]]&gt;60000,"Medium","Low"))</f>
        <v>Low</v>
      </c>
      <c r="Q1012" s="11" t="str">
        <f>PROPER(Sales_Data[[#This Row],[Month Name]])</f>
        <v>Outubro</v>
      </c>
      <c r="R1012" s="11" t="str">
        <f>PROPER(Sales_Data[[#This Row],[Sales Manager]])</f>
        <v>Jane Doe</v>
      </c>
    </row>
    <row r="1013" spans="1:18" hidden="1" x14ac:dyDescent="0.25">
      <c r="A1013">
        <v>11012</v>
      </c>
      <c r="B1013">
        <v>2021</v>
      </c>
      <c r="C1013" t="s">
        <v>75</v>
      </c>
      <c r="D1013" s="8">
        <v>44477</v>
      </c>
      <c r="E1013" t="s">
        <v>11</v>
      </c>
      <c r="F1013" t="s">
        <v>12</v>
      </c>
      <c r="G1013" t="s">
        <v>23</v>
      </c>
      <c r="H1013" s="9">
        <v>14</v>
      </c>
      <c r="I1013" s="9">
        <v>254</v>
      </c>
      <c r="J1013" s="10">
        <v>88900</v>
      </c>
      <c r="K1013" s="10">
        <v>13335</v>
      </c>
      <c r="L1013">
        <v>41</v>
      </c>
      <c r="M1013" s="8">
        <v>44470</v>
      </c>
      <c r="N1013" s="23">
        <v>4.47811904895632E-4</v>
      </c>
      <c r="O1013" s="10" t="str">
        <f>IF(Sales_Data[[#This Row],[Total Profit]]&gt;0,"Profitable","Loss")</f>
        <v>Profitable</v>
      </c>
      <c r="P1013" s="10" t="str">
        <f>IF(Sales_Data[[#This Row],[Total Profit]]&gt;100000,"High Value",IF(Sales_Data[[#This Row],[Total Profit]]&gt;60000,"Medium","Low"))</f>
        <v>Low</v>
      </c>
      <c r="Q1013" s="11" t="str">
        <f>PROPER(Sales_Data[[#This Row],[Month Name]])</f>
        <v>Outubro</v>
      </c>
      <c r="R1013" s="11" t="str">
        <f>PROPER(Sales_Data[[#This Row],[Sales Manager]])</f>
        <v>Emily White</v>
      </c>
    </row>
    <row r="1014" spans="1:18" hidden="1" x14ac:dyDescent="0.25">
      <c r="A1014">
        <v>11013</v>
      </c>
      <c r="B1014">
        <v>2021</v>
      </c>
      <c r="C1014" t="s">
        <v>75</v>
      </c>
      <c r="D1014" s="8">
        <v>44478</v>
      </c>
      <c r="E1014" t="s">
        <v>22</v>
      </c>
      <c r="F1014" t="s">
        <v>18</v>
      </c>
      <c r="G1014" t="s">
        <v>13</v>
      </c>
      <c r="H1014" s="9">
        <v>14</v>
      </c>
      <c r="I1014" s="9">
        <v>219</v>
      </c>
      <c r="J1014" s="10">
        <v>164250</v>
      </c>
      <c r="K1014" s="10">
        <v>26280</v>
      </c>
      <c r="L1014">
        <v>41</v>
      </c>
      <c r="M1014" s="8">
        <v>44470</v>
      </c>
      <c r="N1014" s="23">
        <v>8.2736901438816102E-4</v>
      </c>
      <c r="O1014" s="10" t="str">
        <f>IF(Sales_Data[[#This Row],[Total Profit]]&gt;0,"Profitable","Loss")</f>
        <v>Profitable</v>
      </c>
      <c r="P1014" s="10" t="str">
        <f>IF(Sales_Data[[#This Row],[Total Profit]]&gt;100000,"High Value",IF(Sales_Data[[#This Row],[Total Profit]]&gt;60000,"Medium","Low"))</f>
        <v>Low</v>
      </c>
      <c r="Q1014" s="11" t="str">
        <f>PROPER(Sales_Data[[#This Row],[Month Name]])</f>
        <v>Outubro</v>
      </c>
      <c r="R1014" s="11" t="str">
        <f>PROPER(Sales_Data[[#This Row],[Sales Manager]])</f>
        <v>Jane Doe</v>
      </c>
    </row>
    <row r="1015" spans="1:18" hidden="1" x14ac:dyDescent="0.25">
      <c r="A1015">
        <v>11014</v>
      </c>
      <c r="B1015">
        <v>2021</v>
      </c>
      <c r="C1015" t="s">
        <v>75</v>
      </c>
      <c r="D1015" s="8">
        <v>44479</v>
      </c>
      <c r="E1015" t="s">
        <v>14</v>
      </c>
      <c r="F1015" t="s">
        <v>18</v>
      </c>
      <c r="G1015" t="s">
        <v>20</v>
      </c>
      <c r="H1015" s="9">
        <v>7</v>
      </c>
      <c r="I1015" s="9">
        <v>128</v>
      </c>
      <c r="J1015" s="10">
        <v>108800</v>
      </c>
      <c r="K1015" s="10">
        <v>17408</v>
      </c>
      <c r="L1015">
        <v>42</v>
      </c>
      <c r="M1015" s="8">
        <v>44470</v>
      </c>
      <c r="N1015" s="23">
        <v>5.4805326493413697E-4</v>
      </c>
      <c r="O1015" s="10" t="str">
        <f>IF(Sales_Data[[#This Row],[Total Profit]]&gt;0,"Profitable","Loss")</f>
        <v>Profitable</v>
      </c>
      <c r="P1015" s="10" t="str">
        <f>IF(Sales_Data[[#This Row],[Total Profit]]&gt;100000,"High Value",IF(Sales_Data[[#This Row],[Total Profit]]&gt;60000,"Medium","Low"))</f>
        <v>Low</v>
      </c>
      <c r="Q1015" s="11" t="str">
        <f>PROPER(Sales_Data[[#This Row],[Month Name]])</f>
        <v>Outubro</v>
      </c>
      <c r="R1015" s="11" t="str">
        <f>PROPER(Sales_Data[[#This Row],[Sales Manager]])</f>
        <v>Jane Doe</v>
      </c>
    </row>
    <row r="1016" spans="1:18" hidden="1" x14ac:dyDescent="0.25">
      <c r="A1016">
        <v>11015</v>
      </c>
      <c r="B1016">
        <v>2021</v>
      </c>
      <c r="C1016" t="s">
        <v>75</v>
      </c>
      <c r="D1016" s="8">
        <v>44480</v>
      </c>
      <c r="E1016" t="s">
        <v>11</v>
      </c>
      <c r="F1016" t="s">
        <v>21</v>
      </c>
      <c r="G1016" t="s">
        <v>23</v>
      </c>
      <c r="H1016" s="9">
        <v>9</v>
      </c>
      <c r="I1016" s="9">
        <v>406</v>
      </c>
      <c r="J1016" s="10">
        <v>142100</v>
      </c>
      <c r="K1016" s="10">
        <v>49735</v>
      </c>
      <c r="L1016">
        <v>42</v>
      </c>
      <c r="M1016" s="8">
        <v>44470</v>
      </c>
      <c r="N1016" s="23">
        <v>7.1579383223475002E-4</v>
      </c>
      <c r="O1016" s="10" t="str">
        <f>IF(Sales_Data[[#This Row],[Total Profit]]&gt;0,"Profitable","Loss")</f>
        <v>Profitable</v>
      </c>
      <c r="P1016" s="10" t="str">
        <f>IF(Sales_Data[[#This Row],[Total Profit]]&gt;100000,"High Value",IF(Sales_Data[[#This Row],[Total Profit]]&gt;60000,"Medium","Low"))</f>
        <v>Low</v>
      </c>
      <c r="Q1016" s="11" t="str">
        <f>PROPER(Sales_Data[[#This Row],[Month Name]])</f>
        <v>Outubro</v>
      </c>
      <c r="R1016" s="11" t="str">
        <f>PROPER(Sales_Data[[#This Row],[Sales Manager]])</f>
        <v>John Smith</v>
      </c>
    </row>
    <row r="1017" spans="1:18" hidden="1" x14ac:dyDescent="0.25">
      <c r="A1017">
        <v>11016</v>
      </c>
      <c r="B1017">
        <v>2021</v>
      </c>
      <c r="C1017" t="s">
        <v>75</v>
      </c>
      <c r="D1017" s="8">
        <v>44481</v>
      </c>
      <c r="E1017" t="s">
        <v>14</v>
      </c>
      <c r="F1017" t="s">
        <v>12</v>
      </c>
      <c r="G1017" t="s">
        <v>13</v>
      </c>
      <c r="H1017" s="9">
        <v>14</v>
      </c>
      <c r="I1017" s="9">
        <v>304</v>
      </c>
      <c r="J1017" s="10">
        <v>228000</v>
      </c>
      <c r="K1017" s="10">
        <v>41040</v>
      </c>
      <c r="L1017">
        <v>42</v>
      </c>
      <c r="M1017" s="8">
        <v>44470</v>
      </c>
      <c r="N1017" s="23">
        <v>1.1484939743105101E-3</v>
      </c>
      <c r="O1017" s="10" t="str">
        <f>IF(Sales_Data[[#This Row],[Total Profit]]&gt;0,"Profitable","Loss")</f>
        <v>Profitable</v>
      </c>
      <c r="P1017" s="10" t="str">
        <f>IF(Sales_Data[[#This Row],[Total Profit]]&gt;100000,"High Value",IF(Sales_Data[[#This Row],[Total Profit]]&gt;60000,"Medium","Low"))</f>
        <v>Low</v>
      </c>
      <c r="Q1017" s="11" t="str">
        <f>PROPER(Sales_Data[[#This Row],[Month Name]])</f>
        <v>Outubro</v>
      </c>
      <c r="R1017" s="11" t="str">
        <f>PROPER(Sales_Data[[#This Row],[Sales Manager]])</f>
        <v>Emily White</v>
      </c>
    </row>
    <row r="1018" spans="1:18" hidden="1" x14ac:dyDescent="0.25">
      <c r="A1018">
        <v>11017</v>
      </c>
      <c r="B1018">
        <v>2021</v>
      </c>
      <c r="C1018" t="s">
        <v>75</v>
      </c>
      <c r="D1018" s="8">
        <v>44482</v>
      </c>
      <c r="E1018" t="s">
        <v>19</v>
      </c>
      <c r="F1018" t="s">
        <v>12</v>
      </c>
      <c r="G1018" t="s">
        <v>13</v>
      </c>
      <c r="H1018" s="9">
        <v>24</v>
      </c>
      <c r="I1018" s="9">
        <v>449</v>
      </c>
      <c r="J1018" s="10">
        <v>336750</v>
      </c>
      <c r="K1018" s="10">
        <v>114495.00000000001</v>
      </c>
      <c r="L1018">
        <v>42</v>
      </c>
      <c r="M1018" s="8">
        <v>44470</v>
      </c>
      <c r="N1018" s="23">
        <v>1.69629537653098E-3</v>
      </c>
      <c r="O1018" s="10" t="str">
        <f>IF(Sales_Data[[#This Row],[Total Profit]]&gt;0,"Profitable","Loss")</f>
        <v>Profitable</v>
      </c>
      <c r="P1018" s="10" t="str">
        <f>IF(Sales_Data[[#This Row],[Total Profit]]&gt;100000,"High Value",IF(Sales_Data[[#This Row],[Total Profit]]&gt;60000,"Medium","Low"))</f>
        <v>High Value</v>
      </c>
      <c r="Q1018" s="11" t="str">
        <f>PROPER(Sales_Data[[#This Row],[Month Name]])</f>
        <v>Outubro</v>
      </c>
      <c r="R1018" s="11" t="str">
        <f>PROPER(Sales_Data[[#This Row],[Sales Manager]])</f>
        <v>Emily White</v>
      </c>
    </row>
    <row r="1019" spans="1:18" hidden="1" x14ac:dyDescent="0.25">
      <c r="A1019">
        <v>11018</v>
      </c>
      <c r="B1019">
        <v>2021</v>
      </c>
      <c r="C1019" t="s">
        <v>75</v>
      </c>
      <c r="D1019" s="8">
        <v>44483</v>
      </c>
      <c r="E1019" t="s">
        <v>11</v>
      </c>
      <c r="F1019" t="s">
        <v>16</v>
      </c>
      <c r="G1019" t="s">
        <v>23</v>
      </c>
      <c r="H1019" s="9">
        <v>20</v>
      </c>
      <c r="I1019" s="9">
        <v>473</v>
      </c>
      <c r="J1019" s="10">
        <v>165550</v>
      </c>
      <c r="K1019" s="10">
        <v>36421</v>
      </c>
      <c r="L1019">
        <v>42</v>
      </c>
      <c r="M1019" s="8">
        <v>44470</v>
      </c>
      <c r="N1019" s="23">
        <v>8.3391744494344005E-4</v>
      </c>
      <c r="O1019" s="10" t="str">
        <f>IF(Sales_Data[[#This Row],[Total Profit]]&gt;0,"Profitable","Loss")</f>
        <v>Profitable</v>
      </c>
      <c r="P1019" s="10" t="str">
        <f>IF(Sales_Data[[#This Row],[Total Profit]]&gt;100000,"High Value",IF(Sales_Data[[#This Row],[Total Profit]]&gt;60000,"Medium","Low"))</f>
        <v>Low</v>
      </c>
      <c r="Q1019" s="11" t="str">
        <f>PROPER(Sales_Data[[#This Row],[Month Name]])</f>
        <v>Outubro</v>
      </c>
      <c r="R1019" s="11" t="str">
        <f>PROPER(Sales_Data[[#This Row],[Sales Manager]])</f>
        <v>James Brown</v>
      </c>
    </row>
    <row r="1020" spans="1:18" hidden="1" x14ac:dyDescent="0.25">
      <c r="A1020">
        <v>11019</v>
      </c>
      <c r="B1020">
        <v>2021</v>
      </c>
      <c r="C1020" t="s">
        <v>75</v>
      </c>
      <c r="D1020" s="8">
        <v>44484</v>
      </c>
      <c r="E1020" t="s">
        <v>25</v>
      </c>
      <c r="F1020" t="s">
        <v>24</v>
      </c>
      <c r="G1020" t="s">
        <v>17</v>
      </c>
      <c r="H1020" s="9">
        <v>7</v>
      </c>
      <c r="I1020" s="9">
        <v>292</v>
      </c>
      <c r="J1020" s="10">
        <v>73000</v>
      </c>
      <c r="K1020" s="10">
        <v>17520</v>
      </c>
      <c r="L1020">
        <v>42</v>
      </c>
      <c r="M1020" s="8">
        <v>44470</v>
      </c>
      <c r="N1020" s="23">
        <v>3.6771956195029399E-4</v>
      </c>
      <c r="O1020" s="10" t="str">
        <f>IF(Sales_Data[[#This Row],[Total Profit]]&gt;0,"Profitable","Loss")</f>
        <v>Profitable</v>
      </c>
      <c r="P1020" s="10" t="str">
        <f>IF(Sales_Data[[#This Row],[Total Profit]]&gt;100000,"High Value",IF(Sales_Data[[#This Row],[Total Profit]]&gt;60000,"Medium","Low"))</f>
        <v>Low</v>
      </c>
      <c r="Q1020" s="11" t="str">
        <f>PROPER(Sales_Data[[#This Row],[Month Name]])</f>
        <v>Outubro</v>
      </c>
      <c r="R1020" s="11" t="str">
        <f>PROPER(Sales_Data[[#This Row],[Sales Manager]])</f>
        <v>Liam Lee</v>
      </c>
    </row>
    <row r="1021" spans="1:18" hidden="1" x14ac:dyDescent="0.25">
      <c r="A1021">
        <v>11020</v>
      </c>
      <c r="B1021">
        <v>2021</v>
      </c>
      <c r="C1021" t="s">
        <v>75</v>
      </c>
      <c r="D1021" s="8">
        <v>44485</v>
      </c>
      <c r="E1021" t="s">
        <v>25</v>
      </c>
      <c r="F1021" t="s">
        <v>24</v>
      </c>
      <c r="G1021" t="s">
        <v>17</v>
      </c>
      <c r="H1021" s="9">
        <v>7</v>
      </c>
      <c r="I1021" s="9">
        <v>109</v>
      </c>
      <c r="J1021" s="10">
        <v>27250</v>
      </c>
      <c r="K1021" s="10">
        <v>5995</v>
      </c>
      <c r="L1021">
        <v>42</v>
      </c>
      <c r="M1021" s="8">
        <v>44470</v>
      </c>
      <c r="N1021" s="23">
        <v>1.3726517894719901E-4</v>
      </c>
      <c r="O1021" s="10" t="str">
        <f>IF(Sales_Data[[#This Row],[Total Profit]]&gt;0,"Profitable","Loss")</f>
        <v>Profitable</v>
      </c>
      <c r="P1021" s="10" t="str">
        <f>IF(Sales_Data[[#This Row],[Total Profit]]&gt;100000,"High Value",IF(Sales_Data[[#This Row],[Total Profit]]&gt;60000,"Medium","Low"))</f>
        <v>Low</v>
      </c>
      <c r="Q1021" s="11" t="str">
        <f>PROPER(Sales_Data[[#This Row],[Month Name]])</f>
        <v>Outubro</v>
      </c>
      <c r="R1021" s="11" t="str">
        <f>PROPER(Sales_Data[[#This Row],[Sales Manager]])</f>
        <v>Liam Lee</v>
      </c>
    </row>
    <row r="1022" spans="1:18" hidden="1" x14ac:dyDescent="0.25">
      <c r="A1022">
        <v>11021</v>
      </c>
      <c r="B1022">
        <v>2021</v>
      </c>
      <c r="C1022" t="s">
        <v>75</v>
      </c>
      <c r="D1022" s="8">
        <v>44486</v>
      </c>
      <c r="E1022" t="s">
        <v>11</v>
      </c>
      <c r="F1022" t="s">
        <v>21</v>
      </c>
      <c r="G1022" t="s">
        <v>15</v>
      </c>
      <c r="H1022" s="9">
        <v>32</v>
      </c>
      <c r="I1022" s="9">
        <v>349</v>
      </c>
      <c r="J1022" s="10">
        <v>174500</v>
      </c>
      <c r="K1022" s="10">
        <v>52350</v>
      </c>
      <c r="L1022">
        <v>43</v>
      </c>
      <c r="M1022" s="8">
        <v>44470</v>
      </c>
      <c r="N1022" s="23">
        <v>8.7900087068940101E-4</v>
      </c>
      <c r="O1022" s="10" t="str">
        <f>IF(Sales_Data[[#This Row],[Total Profit]]&gt;0,"Profitable","Loss")</f>
        <v>Profitable</v>
      </c>
      <c r="P1022" s="10" t="str">
        <f>IF(Sales_Data[[#This Row],[Total Profit]]&gt;100000,"High Value",IF(Sales_Data[[#This Row],[Total Profit]]&gt;60000,"Medium","Low"))</f>
        <v>Low</v>
      </c>
      <c r="Q1022" s="11" t="str">
        <f>PROPER(Sales_Data[[#This Row],[Month Name]])</f>
        <v>Outubro</v>
      </c>
      <c r="R1022" s="11" t="str">
        <f>PROPER(Sales_Data[[#This Row],[Sales Manager]])</f>
        <v>John Smith</v>
      </c>
    </row>
    <row r="1023" spans="1:18" hidden="1" x14ac:dyDescent="0.25">
      <c r="A1023">
        <v>11022</v>
      </c>
      <c r="B1023">
        <v>2021</v>
      </c>
      <c r="C1023" t="s">
        <v>75</v>
      </c>
      <c r="D1023" s="8">
        <v>44487</v>
      </c>
      <c r="E1023" t="s">
        <v>22</v>
      </c>
      <c r="F1023" t="s">
        <v>16</v>
      </c>
      <c r="G1023" t="s">
        <v>23</v>
      </c>
      <c r="H1023" s="9">
        <v>12</v>
      </c>
      <c r="I1023" s="9">
        <v>308</v>
      </c>
      <c r="J1023" s="10">
        <v>107800</v>
      </c>
      <c r="K1023" s="10">
        <v>43120</v>
      </c>
      <c r="L1023">
        <v>43</v>
      </c>
      <c r="M1023" s="8">
        <v>44470</v>
      </c>
      <c r="N1023" s="23">
        <v>5.4301601066084504E-4</v>
      </c>
      <c r="O1023" s="10" t="str">
        <f>IF(Sales_Data[[#This Row],[Total Profit]]&gt;0,"Profitable","Loss")</f>
        <v>Profitable</v>
      </c>
      <c r="P1023" s="10" t="str">
        <f>IF(Sales_Data[[#This Row],[Total Profit]]&gt;100000,"High Value",IF(Sales_Data[[#This Row],[Total Profit]]&gt;60000,"Medium","Low"))</f>
        <v>Low</v>
      </c>
      <c r="Q1023" s="11" t="str">
        <f>PROPER(Sales_Data[[#This Row],[Month Name]])</f>
        <v>Outubro</v>
      </c>
      <c r="R1023" s="11" t="str">
        <f>PROPER(Sales_Data[[#This Row],[Sales Manager]])</f>
        <v>James Brown</v>
      </c>
    </row>
    <row r="1024" spans="1:18" hidden="1" x14ac:dyDescent="0.25">
      <c r="A1024">
        <v>11023</v>
      </c>
      <c r="B1024">
        <v>2021</v>
      </c>
      <c r="C1024" t="s">
        <v>75</v>
      </c>
      <c r="D1024" s="8">
        <v>44488</v>
      </c>
      <c r="E1024" t="s">
        <v>14</v>
      </c>
      <c r="F1024" t="s">
        <v>24</v>
      </c>
      <c r="G1024" t="s">
        <v>20</v>
      </c>
      <c r="H1024" s="9">
        <v>14</v>
      </c>
      <c r="I1024" s="9">
        <v>312</v>
      </c>
      <c r="J1024" s="10">
        <v>265200</v>
      </c>
      <c r="K1024" s="10">
        <v>111384</v>
      </c>
      <c r="L1024">
        <v>43</v>
      </c>
      <c r="M1024" s="8">
        <v>44470</v>
      </c>
      <c r="N1024" s="23">
        <v>1.3358798332769599E-3</v>
      </c>
      <c r="O1024" s="10" t="str">
        <f>IF(Sales_Data[[#This Row],[Total Profit]]&gt;0,"Profitable","Loss")</f>
        <v>Profitable</v>
      </c>
      <c r="P1024" s="10" t="str">
        <f>IF(Sales_Data[[#This Row],[Total Profit]]&gt;100000,"High Value",IF(Sales_Data[[#This Row],[Total Profit]]&gt;60000,"Medium","Low"))</f>
        <v>High Value</v>
      </c>
      <c r="Q1024" s="11" t="str">
        <f>PROPER(Sales_Data[[#This Row],[Month Name]])</f>
        <v>Outubro</v>
      </c>
      <c r="R1024" s="11" t="str">
        <f>PROPER(Sales_Data[[#This Row],[Sales Manager]])</f>
        <v>Liam Lee</v>
      </c>
    </row>
    <row r="1025" spans="1:18" hidden="1" x14ac:dyDescent="0.25">
      <c r="A1025">
        <v>11024</v>
      </c>
      <c r="B1025">
        <v>2021</v>
      </c>
      <c r="C1025" t="s">
        <v>75</v>
      </c>
      <c r="D1025" s="8">
        <v>44489</v>
      </c>
      <c r="E1025" t="s">
        <v>11</v>
      </c>
      <c r="F1025" t="s">
        <v>12</v>
      </c>
      <c r="G1025" t="s">
        <v>20</v>
      </c>
      <c r="H1025" s="9">
        <v>12</v>
      </c>
      <c r="I1025" s="9">
        <v>193</v>
      </c>
      <c r="J1025" s="10">
        <v>164050</v>
      </c>
      <c r="K1025" s="10">
        <v>26248</v>
      </c>
      <c r="L1025">
        <v>43</v>
      </c>
      <c r="M1025" s="8">
        <v>44470</v>
      </c>
      <c r="N1025" s="23">
        <v>8.2636156353350302E-4</v>
      </c>
      <c r="O1025" s="10" t="str">
        <f>IF(Sales_Data[[#This Row],[Total Profit]]&gt;0,"Profitable","Loss")</f>
        <v>Profitable</v>
      </c>
      <c r="P1025" s="10" t="str">
        <f>IF(Sales_Data[[#This Row],[Total Profit]]&gt;100000,"High Value",IF(Sales_Data[[#This Row],[Total Profit]]&gt;60000,"Medium","Low"))</f>
        <v>Low</v>
      </c>
      <c r="Q1025" s="11" t="str">
        <f>PROPER(Sales_Data[[#This Row],[Month Name]])</f>
        <v>Outubro</v>
      </c>
      <c r="R1025" s="11" t="str">
        <f>PROPER(Sales_Data[[#This Row],[Sales Manager]])</f>
        <v>Emily White</v>
      </c>
    </row>
    <row r="1026" spans="1:18" hidden="1" x14ac:dyDescent="0.25">
      <c r="A1026">
        <v>11025</v>
      </c>
      <c r="B1026">
        <v>2021</v>
      </c>
      <c r="C1026" t="s">
        <v>75</v>
      </c>
      <c r="D1026" s="8">
        <v>44490</v>
      </c>
      <c r="E1026" t="s">
        <v>19</v>
      </c>
      <c r="F1026" t="s">
        <v>24</v>
      </c>
      <c r="G1026" t="s">
        <v>13</v>
      </c>
      <c r="H1026" s="9">
        <v>7</v>
      </c>
      <c r="I1026" s="9">
        <v>195</v>
      </c>
      <c r="J1026" s="10">
        <v>146250</v>
      </c>
      <c r="K1026" s="10">
        <v>19012.5</v>
      </c>
      <c r="L1026">
        <v>43</v>
      </c>
      <c r="M1026" s="8">
        <v>44470</v>
      </c>
      <c r="N1026" s="23">
        <v>7.3669843746891096E-4</v>
      </c>
      <c r="O1026" s="10" t="str">
        <f>IF(Sales_Data[[#This Row],[Total Profit]]&gt;0,"Profitable","Loss")</f>
        <v>Profitable</v>
      </c>
      <c r="P1026" s="10" t="str">
        <f>IF(Sales_Data[[#This Row],[Total Profit]]&gt;100000,"High Value",IF(Sales_Data[[#This Row],[Total Profit]]&gt;60000,"Medium","Low"))</f>
        <v>Low</v>
      </c>
      <c r="Q1026" s="11" t="str">
        <f>PROPER(Sales_Data[[#This Row],[Month Name]])</f>
        <v>Outubro</v>
      </c>
      <c r="R1026" s="11" t="str">
        <f>PROPER(Sales_Data[[#This Row],[Sales Manager]])</f>
        <v>Liam Lee</v>
      </c>
    </row>
    <row r="1027" spans="1:18" hidden="1" x14ac:dyDescent="0.25">
      <c r="A1027">
        <v>11026</v>
      </c>
      <c r="B1027">
        <v>2021</v>
      </c>
      <c r="C1027" t="s">
        <v>75</v>
      </c>
      <c r="D1027" s="8">
        <v>44491</v>
      </c>
      <c r="E1027" t="s">
        <v>14</v>
      </c>
      <c r="F1027" t="s">
        <v>18</v>
      </c>
      <c r="G1027" t="s">
        <v>23</v>
      </c>
      <c r="H1027" s="9">
        <v>9</v>
      </c>
      <c r="I1027" s="9">
        <v>114</v>
      </c>
      <c r="J1027" s="10">
        <v>39900</v>
      </c>
      <c r="K1027" s="10">
        <v>7581</v>
      </c>
      <c r="L1027">
        <v>43</v>
      </c>
      <c r="M1027" s="8">
        <v>44470</v>
      </c>
      <c r="N1027" s="23">
        <v>2.0098644550433899E-4</v>
      </c>
      <c r="O1027" s="10" t="str">
        <f>IF(Sales_Data[[#This Row],[Total Profit]]&gt;0,"Profitable","Loss")</f>
        <v>Profitable</v>
      </c>
      <c r="P1027" s="10" t="str">
        <f>IF(Sales_Data[[#This Row],[Total Profit]]&gt;100000,"High Value",IF(Sales_Data[[#This Row],[Total Profit]]&gt;60000,"Medium","Low"))</f>
        <v>Low</v>
      </c>
      <c r="Q1027" s="11" t="str">
        <f>PROPER(Sales_Data[[#This Row],[Month Name]])</f>
        <v>Outubro</v>
      </c>
      <c r="R1027" s="11" t="str">
        <f>PROPER(Sales_Data[[#This Row],[Sales Manager]])</f>
        <v>Jane Doe</v>
      </c>
    </row>
    <row r="1028" spans="1:18" hidden="1" x14ac:dyDescent="0.25">
      <c r="A1028">
        <v>11027</v>
      </c>
      <c r="B1028">
        <v>2021</v>
      </c>
      <c r="C1028" t="s">
        <v>75</v>
      </c>
      <c r="D1028" s="8">
        <v>44492</v>
      </c>
      <c r="E1028" t="s">
        <v>22</v>
      </c>
      <c r="F1028" t="s">
        <v>12</v>
      </c>
      <c r="G1028" t="s">
        <v>23</v>
      </c>
      <c r="H1028" s="9">
        <v>38</v>
      </c>
      <c r="I1028" s="9">
        <v>481</v>
      </c>
      <c r="J1028" s="10">
        <v>168350</v>
      </c>
      <c r="K1028" s="10">
        <v>18518.5</v>
      </c>
      <c r="L1028">
        <v>43</v>
      </c>
      <c r="M1028" s="8">
        <v>44470</v>
      </c>
      <c r="N1028" s="23">
        <v>8.4802175690865697E-4</v>
      </c>
      <c r="O1028" s="10" t="str">
        <f>IF(Sales_Data[[#This Row],[Total Profit]]&gt;0,"Profitable","Loss")</f>
        <v>Profitable</v>
      </c>
      <c r="P1028" s="10" t="str">
        <f>IF(Sales_Data[[#This Row],[Total Profit]]&gt;100000,"High Value",IF(Sales_Data[[#This Row],[Total Profit]]&gt;60000,"Medium","Low"))</f>
        <v>Low</v>
      </c>
      <c r="Q1028" s="11" t="str">
        <f>PROPER(Sales_Data[[#This Row],[Month Name]])</f>
        <v>Outubro</v>
      </c>
      <c r="R1028" s="11" t="str">
        <f>PROPER(Sales_Data[[#This Row],[Sales Manager]])</f>
        <v>Emily White</v>
      </c>
    </row>
    <row r="1029" spans="1:18" hidden="1" x14ac:dyDescent="0.25">
      <c r="A1029">
        <v>11028</v>
      </c>
      <c r="B1029">
        <v>2021</v>
      </c>
      <c r="C1029" t="s">
        <v>75</v>
      </c>
      <c r="D1029" s="8">
        <v>44493</v>
      </c>
      <c r="E1029" t="s">
        <v>19</v>
      </c>
      <c r="F1029" t="s">
        <v>21</v>
      </c>
      <c r="G1029" t="s">
        <v>13</v>
      </c>
      <c r="H1029" s="9">
        <v>47</v>
      </c>
      <c r="I1029" s="9">
        <v>490</v>
      </c>
      <c r="J1029" s="10">
        <v>367500</v>
      </c>
      <c r="K1029" s="10">
        <v>106574.99999999999</v>
      </c>
      <c r="L1029">
        <v>44</v>
      </c>
      <c r="M1029" s="8">
        <v>44470</v>
      </c>
      <c r="N1029" s="23">
        <v>1.8511909454347001E-3</v>
      </c>
      <c r="O1029" s="10" t="str">
        <f>IF(Sales_Data[[#This Row],[Total Profit]]&gt;0,"Profitable","Loss")</f>
        <v>Profitable</v>
      </c>
      <c r="P1029" s="10" t="str">
        <f>IF(Sales_Data[[#This Row],[Total Profit]]&gt;100000,"High Value",IF(Sales_Data[[#This Row],[Total Profit]]&gt;60000,"Medium","Low"))</f>
        <v>High Value</v>
      </c>
      <c r="Q1029" s="11" t="str">
        <f>PROPER(Sales_Data[[#This Row],[Month Name]])</f>
        <v>Outubro</v>
      </c>
      <c r="R1029" s="11" t="str">
        <f>PROPER(Sales_Data[[#This Row],[Sales Manager]])</f>
        <v>John Smith</v>
      </c>
    </row>
    <row r="1030" spans="1:18" hidden="1" x14ac:dyDescent="0.25">
      <c r="A1030">
        <v>11029</v>
      </c>
      <c r="B1030">
        <v>2021</v>
      </c>
      <c r="C1030" t="s">
        <v>75</v>
      </c>
      <c r="D1030" s="8">
        <v>44494</v>
      </c>
      <c r="E1030" t="s">
        <v>25</v>
      </c>
      <c r="F1030" t="s">
        <v>18</v>
      </c>
      <c r="G1030" t="s">
        <v>13</v>
      </c>
      <c r="H1030" s="9">
        <v>10</v>
      </c>
      <c r="I1030" s="9">
        <v>307</v>
      </c>
      <c r="J1030" s="10">
        <v>230250</v>
      </c>
      <c r="K1030" s="10">
        <v>46050</v>
      </c>
      <c r="L1030">
        <v>44</v>
      </c>
      <c r="M1030" s="8">
        <v>44470</v>
      </c>
      <c r="N1030" s="23">
        <v>1.15982779642541E-3</v>
      </c>
      <c r="O1030" s="10" t="str">
        <f>IF(Sales_Data[[#This Row],[Total Profit]]&gt;0,"Profitable","Loss")</f>
        <v>Profitable</v>
      </c>
      <c r="P1030" s="10" t="str">
        <f>IF(Sales_Data[[#This Row],[Total Profit]]&gt;100000,"High Value",IF(Sales_Data[[#This Row],[Total Profit]]&gt;60000,"Medium","Low"))</f>
        <v>Low</v>
      </c>
      <c r="Q1030" s="11" t="str">
        <f>PROPER(Sales_Data[[#This Row],[Month Name]])</f>
        <v>Outubro</v>
      </c>
      <c r="R1030" s="11" t="str">
        <f>PROPER(Sales_Data[[#This Row],[Sales Manager]])</f>
        <v>Jane Doe</v>
      </c>
    </row>
    <row r="1031" spans="1:18" hidden="1" x14ac:dyDescent="0.25">
      <c r="A1031">
        <v>11030</v>
      </c>
      <c r="B1031">
        <v>2021</v>
      </c>
      <c r="C1031" t="s">
        <v>75</v>
      </c>
      <c r="D1031" s="8">
        <v>44495</v>
      </c>
      <c r="E1031" t="s">
        <v>11</v>
      </c>
      <c r="F1031" t="s">
        <v>24</v>
      </c>
      <c r="G1031" t="s">
        <v>20</v>
      </c>
      <c r="H1031" s="9">
        <v>1</v>
      </c>
      <c r="I1031" s="9">
        <v>44</v>
      </c>
      <c r="J1031" s="10">
        <v>37400</v>
      </c>
      <c r="K1031" s="10">
        <v>9724</v>
      </c>
      <c r="L1031">
        <v>44</v>
      </c>
      <c r="M1031" s="8">
        <v>44470</v>
      </c>
      <c r="N1031" s="23">
        <v>1.88393309821109E-4</v>
      </c>
      <c r="O1031" s="10" t="str">
        <f>IF(Sales_Data[[#This Row],[Total Profit]]&gt;0,"Profitable","Loss")</f>
        <v>Profitable</v>
      </c>
      <c r="P1031" s="10" t="str">
        <f>IF(Sales_Data[[#This Row],[Total Profit]]&gt;100000,"High Value",IF(Sales_Data[[#This Row],[Total Profit]]&gt;60000,"Medium","Low"))</f>
        <v>Low</v>
      </c>
      <c r="Q1031" s="11" t="str">
        <f>PROPER(Sales_Data[[#This Row],[Month Name]])</f>
        <v>Outubro</v>
      </c>
      <c r="R1031" s="11" t="str">
        <f>PROPER(Sales_Data[[#This Row],[Sales Manager]])</f>
        <v>Liam Lee</v>
      </c>
    </row>
    <row r="1032" spans="1:18" hidden="1" x14ac:dyDescent="0.25">
      <c r="A1032">
        <v>11031</v>
      </c>
      <c r="B1032">
        <v>2021</v>
      </c>
      <c r="C1032" t="s">
        <v>75</v>
      </c>
      <c r="D1032" s="8">
        <v>44496</v>
      </c>
      <c r="E1032" t="s">
        <v>25</v>
      </c>
      <c r="F1032" t="s">
        <v>21</v>
      </c>
      <c r="G1032" t="s">
        <v>17</v>
      </c>
      <c r="H1032" s="9">
        <v>4</v>
      </c>
      <c r="I1032" s="9">
        <v>234</v>
      </c>
      <c r="J1032" s="10">
        <v>58500</v>
      </c>
      <c r="K1032" s="10">
        <v>21060</v>
      </c>
      <c r="L1032">
        <v>44</v>
      </c>
      <c r="M1032" s="8">
        <v>44470</v>
      </c>
      <c r="N1032" s="23">
        <v>2.9467937498756401E-4</v>
      </c>
      <c r="O1032" s="10" t="str">
        <f>IF(Sales_Data[[#This Row],[Total Profit]]&gt;0,"Profitable","Loss")</f>
        <v>Profitable</v>
      </c>
      <c r="P1032" s="10" t="str">
        <f>IF(Sales_Data[[#This Row],[Total Profit]]&gt;100000,"High Value",IF(Sales_Data[[#This Row],[Total Profit]]&gt;60000,"Medium","Low"))</f>
        <v>Low</v>
      </c>
      <c r="Q1032" s="11" t="str">
        <f>PROPER(Sales_Data[[#This Row],[Month Name]])</f>
        <v>Outubro</v>
      </c>
      <c r="R1032" s="11" t="str">
        <f>PROPER(Sales_Data[[#This Row],[Sales Manager]])</f>
        <v>John Smith</v>
      </c>
    </row>
    <row r="1033" spans="1:18" hidden="1" x14ac:dyDescent="0.25">
      <c r="A1033">
        <v>11032</v>
      </c>
      <c r="B1033">
        <v>2021</v>
      </c>
      <c r="C1033" t="s">
        <v>75</v>
      </c>
      <c r="D1033" s="8">
        <v>44497</v>
      </c>
      <c r="E1033" t="s">
        <v>11</v>
      </c>
      <c r="F1033" t="s">
        <v>12</v>
      </c>
      <c r="G1033" t="s">
        <v>17</v>
      </c>
      <c r="H1033" s="9">
        <v>20</v>
      </c>
      <c r="I1033" s="9">
        <v>360</v>
      </c>
      <c r="J1033" s="10">
        <v>90000</v>
      </c>
      <c r="K1033" s="10">
        <v>25200.000000000004</v>
      </c>
      <c r="L1033">
        <v>44</v>
      </c>
      <c r="M1033" s="8">
        <v>44470</v>
      </c>
      <c r="N1033" s="23">
        <v>4.5335288459625298E-4</v>
      </c>
      <c r="O1033" s="10" t="str">
        <f>IF(Sales_Data[[#This Row],[Total Profit]]&gt;0,"Profitable","Loss")</f>
        <v>Profitable</v>
      </c>
      <c r="P1033" s="10" t="str">
        <f>IF(Sales_Data[[#This Row],[Total Profit]]&gt;100000,"High Value",IF(Sales_Data[[#This Row],[Total Profit]]&gt;60000,"Medium","Low"))</f>
        <v>Low</v>
      </c>
      <c r="Q1033" s="11" t="str">
        <f>PROPER(Sales_Data[[#This Row],[Month Name]])</f>
        <v>Outubro</v>
      </c>
      <c r="R1033" s="11" t="str">
        <f>PROPER(Sales_Data[[#This Row],[Sales Manager]])</f>
        <v>Emily White</v>
      </c>
    </row>
    <row r="1034" spans="1:18" hidden="1" x14ac:dyDescent="0.25">
      <c r="A1034">
        <v>11033</v>
      </c>
      <c r="B1034">
        <v>2021</v>
      </c>
      <c r="C1034" t="s">
        <v>75</v>
      </c>
      <c r="D1034" s="8">
        <v>44498</v>
      </c>
      <c r="E1034" t="s">
        <v>22</v>
      </c>
      <c r="F1034" t="s">
        <v>12</v>
      </c>
      <c r="G1034" t="s">
        <v>17</v>
      </c>
      <c r="H1034" s="9">
        <v>2</v>
      </c>
      <c r="I1034" s="9">
        <v>29</v>
      </c>
      <c r="J1034" s="10">
        <v>7250</v>
      </c>
      <c r="K1034" s="10">
        <v>3117.5</v>
      </c>
      <c r="L1034">
        <v>44</v>
      </c>
      <c r="M1034" s="8">
        <v>44470</v>
      </c>
      <c r="N1034" s="23">
        <v>3.6520093481364803E-5</v>
      </c>
      <c r="O1034" s="10" t="str">
        <f>IF(Sales_Data[[#This Row],[Total Profit]]&gt;0,"Profitable","Loss")</f>
        <v>Profitable</v>
      </c>
      <c r="P1034" s="10" t="str">
        <f>IF(Sales_Data[[#This Row],[Total Profit]]&gt;100000,"High Value",IF(Sales_Data[[#This Row],[Total Profit]]&gt;60000,"Medium","Low"))</f>
        <v>Low</v>
      </c>
      <c r="Q1034" s="11" t="str">
        <f>PROPER(Sales_Data[[#This Row],[Month Name]])</f>
        <v>Outubro</v>
      </c>
      <c r="R1034" s="11" t="str">
        <f>PROPER(Sales_Data[[#This Row],[Sales Manager]])</f>
        <v>Emily White</v>
      </c>
    </row>
    <row r="1035" spans="1:18" hidden="1" x14ac:dyDescent="0.25">
      <c r="A1035">
        <v>11034</v>
      </c>
      <c r="B1035">
        <v>2021</v>
      </c>
      <c r="C1035" t="s">
        <v>75</v>
      </c>
      <c r="D1035" s="8">
        <v>44499</v>
      </c>
      <c r="E1035" t="s">
        <v>19</v>
      </c>
      <c r="F1035" t="s">
        <v>24</v>
      </c>
      <c r="G1035" t="s">
        <v>15</v>
      </c>
      <c r="H1035" s="9">
        <v>30</v>
      </c>
      <c r="I1035" s="9">
        <v>383</v>
      </c>
      <c r="J1035" s="10">
        <v>191500</v>
      </c>
      <c r="K1035" s="10">
        <v>68940</v>
      </c>
      <c r="L1035">
        <v>44</v>
      </c>
      <c r="M1035" s="8">
        <v>44470</v>
      </c>
      <c r="N1035" s="23">
        <v>9.6463419333536E-4</v>
      </c>
      <c r="O1035" s="10" t="str">
        <f>IF(Sales_Data[[#This Row],[Total Profit]]&gt;0,"Profitable","Loss")</f>
        <v>Profitable</v>
      </c>
      <c r="P1035" s="10" t="str">
        <f>IF(Sales_Data[[#This Row],[Total Profit]]&gt;100000,"High Value",IF(Sales_Data[[#This Row],[Total Profit]]&gt;60000,"Medium","Low"))</f>
        <v>Medium</v>
      </c>
      <c r="Q1035" s="11" t="str">
        <f>PROPER(Sales_Data[[#This Row],[Month Name]])</f>
        <v>Outubro</v>
      </c>
      <c r="R1035" s="11" t="str">
        <f>PROPER(Sales_Data[[#This Row],[Sales Manager]])</f>
        <v>Liam Lee</v>
      </c>
    </row>
    <row r="1036" spans="1:18" hidden="1" x14ac:dyDescent="0.25">
      <c r="A1036">
        <v>11035</v>
      </c>
      <c r="B1036">
        <v>2021</v>
      </c>
      <c r="C1036" t="s">
        <v>75</v>
      </c>
      <c r="D1036" s="8">
        <v>44500</v>
      </c>
      <c r="E1036" t="s">
        <v>11</v>
      </c>
      <c r="F1036" t="s">
        <v>12</v>
      </c>
      <c r="G1036" t="s">
        <v>15</v>
      </c>
      <c r="H1036" s="9">
        <v>44</v>
      </c>
      <c r="I1036" s="9">
        <v>475</v>
      </c>
      <c r="J1036" s="10">
        <v>237500</v>
      </c>
      <c r="K1036" s="10">
        <v>71250</v>
      </c>
      <c r="L1036">
        <v>45</v>
      </c>
      <c r="M1036" s="8">
        <v>44470</v>
      </c>
      <c r="N1036" s="23">
        <v>1.1963478899067799E-3</v>
      </c>
      <c r="O1036" s="10" t="str">
        <f>IF(Sales_Data[[#This Row],[Total Profit]]&gt;0,"Profitable","Loss")</f>
        <v>Profitable</v>
      </c>
      <c r="P1036" s="10" t="str">
        <f>IF(Sales_Data[[#This Row],[Total Profit]]&gt;100000,"High Value",IF(Sales_Data[[#This Row],[Total Profit]]&gt;60000,"Medium","Low"))</f>
        <v>Medium</v>
      </c>
      <c r="Q1036" s="11" t="str">
        <f>PROPER(Sales_Data[[#This Row],[Month Name]])</f>
        <v>Outubro</v>
      </c>
      <c r="R1036" s="11" t="str">
        <f>PROPER(Sales_Data[[#This Row],[Sales Manager]])</f>
        <v>Emily White</v>
      </c>
    </row>
    <row r="1037" spans="1:18" hidden="1" x14ac:dyDescent="0.25">
      <c r="A1037">
        <v>11036</v>
      </c>
      <c r="B1037">
        <v>2021</v>
      </c>
      <c r="C1037" t="s">
        <v>76</v>
      </c>
      <c r="D1037" s="8">
        <v>44501</v>
      </c>
      <c r="E1037" t="s">
        <v>19</v>
      </c>
      <c r="F1037" t="s">
        <v>12</v>
      </c>
      <c r="G1037" t="s">
        <v>23</v>
      </c>
      <c r="H1037" s="9">
        <v>7</v>
      </c>
      <c r="I1037" s="9">
        <v>187</v>
      </c>
      <c r="J1037" s="10">
        <v>65450</v>
      </c>
      <c r="K1037" s="10">
        <v>17017</v>
      </c>
      <c r="L1037">
        <v>45</v>
      </c>
      <c r="M1037" s="8">
        <v>44470</v>
      </c>
      <c r="N1037" s="23">
        <v>3.2968829218694198E-4</v>
      </c>
      <c r="O1037" s="10" t="str">
        <f>IF(Sales_Data[[#This Row],[Total Profit]]&gt;0,"Profitable","Loss")</f>
        <v>Profitable</v>
      </c>
      <c r="P1037" s="10" t="str">
        <f>IF(Sales_Data[[#This Row],[Total Profit]]&gt;100000,"High Value",IF(Sales_Data[[#This Row],[Total Profit]]&gt;60000,"Medium","Low"))</f>
        <v>Low</v>
      </c>
      <c r="Q1037" s="11" t="str">
        <f>PROPER(Sales_Data[[#This Row],[Month Name]])</f>
        <v>Novembro</v>
      </c>
      <c r="R1037" s="11" t="str">
        <f>PROPER(Sales_Data[[#This Row],[Sales Manager]])</f>
        <v>Emily White</v>
      </c>
    </row>
    <row r="1038" spans="1:18" hidden="1" x14ac:dyDescent="0.25">
      <c r="A1038">
        <v>11037</v>
      </c>
      <c r="B1038">
        <v>2021</v>
      </c>
      <c r="C1038" t="s">
        <v>76</v>
      </c>
      <c r="D1038" s="8">
        <v>44502</v>
      </c>
      <c r="E1038" t="s">
        <v>22</v>
      </c>
      <c r="F1038" t="s">
        <v>12</v>
      </c>
      <c r="G1038" t="s">
        <v>13</v>
      </c>
      <c r="H1038" s="9">
        <v>7</v>
      </c>
      <c r="I1038" s="9">
        <v>397</v>
      </c>
      <c r="J1038" s="10">
        <v>297750</v>
      </c>
      <c r="K1038" s="10">
        <v>74437.5</v>
      </c>
      <c r="L1038">
        <v>45</v>
      </c>
      <c r="M1038" s="8">
        <v>44470</v>
      </c>
      <c r="N1038" s="23">
        <v>1.4998424598726E-3</v>
      </c>
      <c r="O1038" s="10" t="str">
        <f>IF(Sales_Data[[#This Row],[Total Profit]]&gt;0,"Profitable","Loss")</f>
        <v>Profitable</v>
      </c>
      <c r="P1038" s="10" t="str">
        <f>IF(Sales_Data[[#This Row],[Total Profit]]&gt;100000,"High Value",IF(Sales_Data[[#This Row],[Total Profit]]&gt;60000,"Medium","Low"))</f>
        <v>Medium</v>
      </c>
      <c r="Q1038" s="11" t="str">
        <f>PROPER(Sales_Data[[#This Row],[Month Name]])</f>
        <v>Novembro</v>
      </c>
      <c r="R1038" s="11" t="str">
        <f>PROPER(Sales_Data[[#This Row],[Sales Manager]])</f>
        <v>Emily White</v>
      </c>
    </row>
    <row r="1039" spans="1:18" hidden="1" x14ac:dyDescent="0.25">
      <c r="A1039">
        <v>11038</v>
      </c>
      <c r="B1039">
        <v>2021</v>
      </c>
      <c r="C1039" t="s">
        <v>76</v>
      </c>
      <c r="D1039" s="8">
        <v>44503</v>
      </c>
      <c r="E1039" t="s">
        <v>11</v>
      </c>
      <c r="F1039" t="s">
        <v>24</v>
      </c>
      <c r="G1039" t="s">
        <v>13</v>
      </c>
      <c r="H1039" s="9">
        <v>33</v>
      </c>
      <c r="I1039" s="9">
        <v>418</v>
      </c>
      <c r="J1039" s="10">
        <v>313500</v>
      </c>
      <c r="K1039" s="10">
        <v>75240</v>
      </c>
      <c r="L1039">
        <v>45</v>
      </c>
      <c r="M1039" s="8">
        <v>44470</v>
      </c>
      <c r="N1039" s="23">
        <v>1.57917921467695E-3</v>
      </c>
      <c r="O1039" s="10" t="str">
        <f>IF(Sales_Data[[#This Row],[Total Profit]]&gt;0,"Profitable","Loss")</f>
        <v>Profitable</v>
      </c>
      <c r="P1039" s="10" t="str">
        <f>IF(Sales_Data[[#This Row],[Total Profit]]&gt;100000,"High Value",IF(Sales_Data[[#This Row],[Total Profit]]&gt;60000,"Medium","Low"))</f>
        <v>Medium</v>
      </c>
      <c r="Q1039" s="11" t="str">
        <f>PROPER(Sales_Data[[#This Row],[Month Name]])</f>
        <v>Novembro</v>
      </c>
      <c r="R1039" s="11" t="str">
        <f>PROPER(Sales_Data[[#This Row],[Sales Manager]])</f>
        <v>Liam Lee</v>
      </c>
    </row>
    <row r="1040" spans="1:18" hidden="1" x14ac:dyDescent="0.25">
      <c r="A1040">
        <v>11039</v>
      </c>
      <c r="B1040">
        <v>2021</v>
      </c>
      <c r="C1040" t="s">
        <v>76</v>
      </c>
      <c r="D1040" s="8">
        <v>44504</v>
      </c>
      <c r="E1040" t="s">
        <v>25</v>
      </c>
      <c r="F1040" t="s">
        <v>12</v>
      </c>
      <c r="G1040" t="s">
        <v>15</v>
      </c>
      <c r="H1040" s="9">
        <v>1</v>
      </c>
      <c r="I1040" s="9">
        <v>71</v>
      </c>
      <c r="J1040" s="10">
        <v>35500</v>
      </c>
      <c r="K1040" s="10">
        <v>7100</v>
      </c>
      <c r="L1040">
        <v>45</v>
      </c>
      <c r="M1040" s="8">
        <v>44470</v>
      </c>
      <c r="N1040" s="23">
        <v>1.7882252670185501E-4</v>
      </c>
      <c r="O1040" s="10" t="str">
        <f>IF(Sales_Data[[#This Row],[Total Profit]]&gt;0,"Profitable","Loss")</f>
        <v>Profitable</v>
      </c>
      <c r="P1040" s="10" t="str">
        <f>IF(Sales_Data[[#This Row],[Total Profit]]&gt;100000,"High Value",IF(Sales_Data[[#This Row],[Total Profit]]&gt;60000,"Medium","Low"))</f>
        <v>Low</v>
      </c>
      <c r="Q1040" s="11" t="str">
        <f>PROPER(Sales_Data[[#This Row],[Month Name]])</f>
        <v>Novembro</v>
      </c>
      <c r="R1040" s="11" t="str">
        <f>PROPER(Sales_Data[[#This Row],[Sales Manager]])</f>
        <v>Emily White</v>
      </c>
    </row>
    <row r="1041" spans="1:18" hidden="1" x14ac:dyDescent="0.25">
      <c r="A1041">
        <v>11040</v>
      </c>
      <c r="B1041">
        <v>2021</v>
      </c>
      <c r="C1041" t="s">
        <v>76</v>
      </c>
      <c r="D1041" s="8">
        <v>44505</v>
      </c>
      <c r="E1041" t="s">
        <v>22</v>
      </c>
      <c r="F1041" t="s">
        <v>24</v>
      </c>
      <c r="G1041" t="s">
        <v>15</v>
      </c>
      <c r="H1041" s="9">
        <v>14</v>
      </c>
      <c r="I1041" s="9">
        <v>327</v>
      </c>
      <c r="J1041" s="10">
        <v>163500</v>
      </c>
      <c r="K1041" s="10">
        <v>40875</v>
      </c>
      <c r="L1041">
        <v>45</v>
      </c>
      <c r="M1041" s="8">
        <v>44470</v>
      </c>
      <c r="N1041" s="23">
        <v>8.2359107368319196E-4</v>
      </c>
      <c r="O1041" s="10" t="str">
        <f>IF(Sales_Data[[#This Row],[Total Profit]]&gt;0,"Profitable","Loss")</f>
        <v>Profitable</v>
      </c>
      <c r="P1041" s="10" t="str">
        <f>IF(Sales_Data[[#This Row],[Total Profit]]&gt;100000,"High Value",IF(Sales_Data[[#This Row],[Total Profit]]&gt;60000,"Medium","Low"))</f>
        <v>Low</v>
      </c>
      <c r="Q1041" s="11" t="str">
        <f>PROPER(Sales_Data[[#This Row],[Month Name]])</f>
        <v>Novembro</v>
      </c>
      <c r="R1041" s="11" t="str">
        <f>PROPER(Sales_Data[[#This Row],[Sales Manager]])</f>
        <v>Liam Lee</v>
      </c>
    </row>
    <row r="1042" spans="1:18" hidden="1" x14ac:dyDescent="0.25">
      <c r="A1042">
        <v>11041</v>
      </c>
      <c r="B1042">
        <v>2021</v>
      </c>
      <c r="C1042" t="s">
        <v>76</v>
      </c>
      <c r="D1042" s="8">
        <v>44506</v>
      </c>
      <c r="E1042" t="s">
        <v>25</v>
      </c>
      <c r="F1042" t="s">
        <v>12</v>
      </c>
      <c r="G1042" t="s">
        <v>20</v>
      </c>
      <c r="H1042" s="9">
        <v>4</v>
      </c>
      <c r="I1042" s="9">
        <v>99</v>
      </c>
      <c r="J1042" s="10">
        <v>84150</v>
      </c>
      <c r="K1042" s="10">
        <v>10939.5</v>
      </c>
      <c r="L1042">
        <v>45</v>
      </c>
      <c r="M1042" s="8">
        <v>44470</v>
      </c>
      <c r="N1042" s="23">
        <v>4.2388494709749599E-4</v>
      </c>
      <c r="O1042" s="10" t="str">
        <f>IF(Sales_Data[[#This Row],[Total Profit]]&gt;0,"Profitable","Loss")</f>
        <v>Profitable</v>
      </c>
      <c r="P1042" s="10" t="str">
        <f>IF(Sales_Data[[#This Row],[Total Profit]]&gt;100000,"High Value",IF(Sales_Data[[#This Row],[Total Profit]]&gt;60000,"Medium","Low"))</f>
        <v>Low</v>
      </c>
      <c r="Q1042" s="11" t="str">
        <f>PROPER(Sales_Data[[#This Row],[Month Name]])</f>
        <v>Novembro</v>
      </c>
      <c r="R1042" s="11" t="str">
        <f>PROPER(Sales_Data[[#This Row],[Sales Manager]])</f>
        <v>Emily White</v>
      </c>
    </row>
    <row r="1043" spans="1:18" hidden="1" x14ac:dyDescent="0.25">
      <c r="A1043">
        <v>11042</v>
      </c>
      <c r="B1043">
        <v>2021</v>
      </c>
      <c r="C1043" t="s">
        <v>76</v>
      </c>
      <c r="D1043" s="8">
        <v>44507</v>
      </c>
      <c r="E1043" t="s">
        <v>11</v>
      </c>
      <c r="F1043" t="s">
        <v>12</v>
      </c>
      <c r="G1043" t="s">
        <v>17</v>
      </c>
      <c r="H1043" s="9">
        <v>13</v>
      </c>
      <c r="I1043" s="9">
        <v>190</v>
      </c>
      <c r="J1043" s="10">
        <v>47500</v>
      </c>
      <c r="K1043" s="10">
        <v>7125</v>
      </c>
      <c r="L1043">
        <v>46</v>
      </c>
      <c r="M1043" s="8">
        <v>44470</v>
      </c>
      <c r="N1043" s="23">
        <v>2.3926957798135599E-4</v>
      </c>
      <c r="O1043" s="10" t="str">
        <f>IF(Sales_Data[[#This Row],[Total Profit]]&gt;0,"Profitable","Loss")</f>
        <v>Profitable</v>
      </c>
      <c r="P1043" s="10" t="str">
        <f>IF(Sales_Data[[#This Row],[Total Profit]]&gt;100000,"High Value",IF(Sales_Data[[#This Row],[Total Profit]]&gt;60000,"Medium","Low"))</f>
        <v>Low</v>
      </c>
      <c r="Q1043" s="11" t="str">
        <f>PROPER(Sales_Data[[#This Row],[Month Name]])</f>
        <v>Novembro</v>
      </c>
      <c r="R1043" s="11" t="str">
        <f>PROPER(Sales_Data[[#This Row],[Sales Manager]])</f>
        <v>Emily White</v>
      </c>
    </row>
    <row r="1044" spans="1:18" hidden="1" x14ac:dyDescent="0.25">
      <c r="A1044">
        <v>11043</v>
      </c>
      <c r="B1044">
        <v>2021</v>
      </c>
      <c r="C1044" t="s">
        <v>76</v>
      </c>
      <c r="D1044" s="8">
        <v>44508</v>
      </c>
      <c r="E1044" t="s">
        <v>19</v>
      </c>
      <c r="F1044" t="s">
        <v>12</v>
      </c>
      <c r="G1044" t="s">
        <v>15</v>
      </c>
      <c r="H1044" s="9">
        <v>3</v>
      </c>
      <c r="I1044" s="9">
        <v>33</v>
      </c>
      <c r="J1044" s="10">
        <v>16500</v>
      </c>
      <c r="K1044" s="10">
        <v>6435</v>
      </c>
      <c r="L1044">
        <v>46</v>
      </c>
      <c r="M1044" s="8">
        <v>44470</v>
      </c>
      <c r="N1044" s="23">
        <v>8.3114695509313002E-5</v>
      </c>
      <c r="O1044" s="10" t="str">
        <f>IF(Sales_Data[[#This Row],[Total Profit]]&gt;0,"Profitable","Loss")</f>
        <v>Profitable</v>
      </c>
      <c r="P1044" s="10" t="str">
        <f>IF(Sales_Data[[#This Row],[Total Profit]]&gt;100000,"High Value",IF(Sales_Data[[#This Row],[Total Profit]]&gt;60000,"Medium","Low"))</f>
        <v>Low</v>
      </c>
      <c r="Q1044" s="11" t="str">
        <f>PROPER(Sales_Data[[#This Row],[Month Name]])</f>
        <v>Novembro</v>
      </c>
      <c r="R1044" s="11" t="str">
        <f>PROPER(Sales_Data[[#This Row],[Sales Manager]])</f>
        <v>Emily White</v>
      </c>
    </row>
    <row r="1045" spans="1:18" hidden="1" x14ac:dyDescent="0.25">
      <c r="A1045">
        <v>11044</v>
      </c>
      <c r="B1045">
        <v>2021</v>
      </c>
      <c r="C1045" t="s">
        <v>76</v>
      </c>
      <c r="D1045" s="8">
        <v>44509</v>
      </c>
      <c r="E1045" t="s">
        <v>22</v>
      </c>
      <c r="F1045" t="s">
        <v>18</v>
      </c>
      <c r="G1045" t="s">
        <v>15</v>
      </c>
      <c r="H1045" s="9">
        <v>30</v>
      </c>
      <c r="I1045" s="9">
        <v>433</v>
      </c>
      <c r="J1045" s="10">
        <v>216500</v>
      </c>
      <c r="K1045" s="10">
        <v>43300</v>
      </c>
      <c r="L1045">
        <v>46</v>
      </c>
      <c r="M1045" s="8">
        <v>44470</v>
      </c>
      <c r="N1045" s="23">
        <v>1.0905655501676501E-3</v>
      </c>
      <c r="O1045" s="10" t="str">
        <f>IF(Sales_Data[[#This Row],[Total Profit]]&gt;0,"Profitable","Loss")</f>
        <v>Profitable</v>
      </c>
      <c r="P1045" s="10" t="str">
        <f>IF(Sales_Data[[#This Row],[Total Profit]]&gt;100000,"High Value",IF(Sales_Data[[#This Row],[Total Profit]]&gt;60000,"Medium","Low"))</f>
        <v>Low</v>
      </c>
      <c r="Q1045" s="11" t="str">
        <f>PROPER(Sales_Data[[#This Row],[Month Name]])</f>
        <v>Novembro</v>
      </c>
      <c r="R1045" s="11" t="str">
        <f>PROPER(Sales_Data[[#This Row],[Sales Manager]])</f>
        <v>Jane Doe</v>
      </c>
    </row>
    <row r="1046" spans="1:18" hidden="1" x14ac:dyDescent="0.25">
      <c r="A1046">
        <v>11045</v>
      </c>
      <c r="B1046">
        <v>2021</v>
      </c>
      <c r="C1046" t="s">
        <v>76</v>
      </c>
      <c r="D1046" s="8">
        <v>44510</v>
      </c>
      <c r="E1046" t="s">
        <v>25</v>
      </c>
      <c r="F1046" t="s">
        <v>21</v>
      </c>
      <c r="G1046" t="s">
        <v>20</v>
      </c>
      <c r="H1046" s="9">
        <v>26</v>
      </c>
      <c r="I1046" s="9">
        <v>365</v>
      </c>
      <c r="J1046" s="10">
        <v>310250</v>
      </c>
      <c r="K1046" s="10">
        <v>111690</v>
      </c>
      <c r="L1046">
        <v>46</v>
      </c>
      <c r="M1046" s="8">
        <v>44470</v>
      </c>
      <c r="N1046" s="23">
        <v>1.56280813828875E-3</v>
      </c>
      <c r="O1046" s="10" t="str">
        <f>IF(Sales_Data[[#This Row],[Total Profit]]&gt;0,"Profitable","Loss")</f>
        <v>Profitable</v>
      </c>
      <c r="P1046" s="10" t="str">
        <f>IF(Sales_Data[[#This Row],[Total Profit]]&gt;100000,"High Value",IF(Sales_Data[[#This Row],[Total Profit]]&gt;60000,"Medium","Low"))</f>
        <v>High Value</v>
      </c>
      <c r="Q1046" s="11" t="str">
        <f>PROPER(Sales_Data[[#This Row],[Month Name]])</f>
        <v>Novembro</v>
      </c>
      <c r="R1046" s="11" t="str">
        <f>PROPER(Sales_Data[[#This Row],[Sales Manager]])</f>
        <v>John Smith</v>
      </c>
    </row>
    <row r="1047" spans="1:18" hidden="1" x14ac:dyDescent="0.25">
      <c r="A1047">
        <v>11046</v>
      </c>
      <c r="B1047">
        <v>2021</v>
      </c>
      <c r="C1047" t="s">
        <v>76</v>
      </c>
      <c r="D1047" s="8">
        <v>44511</v>
      </c>
      <c r="E1047" t="s">
        <v>11</v>
      </c>
      <c r="F1047" t="s">
        <v>21</v>
      </c>
      <c r="G1047" t="s">
        <v>23</v>
      </c>
      <c r="H1047" s="9">
        <v>42</v>
      </c>
      <c r="I1047" s="9">
        <v>482</v>
      </c>
      <c r="J1047" s="10">
        <v>168700</v>
      </c>
      <c r="K1047" s="10">
        <v>48923</v>
      </c>
      <c r="L1047">
        <v>46</v>
      </c>
      <c r="M1047" s="8">
        <v>44470</v>
      </c>
      <c r="N1047" s="23">
        <v>8.4978479590430895E-4</v>
      </c>
      <c r="O1047" s="10" t="str">
        <f>IF(Sales_Data[[#This Row],[Total Profit]]&gt;0,"Profitable","Loss")</f>
        <v>Profitable</v>
      </c>
      <c r="P1047" s="10" t="str">
        <f>IF(Sales_Data[[#This Row],[Total Profit]]&gt;100000,"High Value",IF(Sales_Data[[#This Row],[Total Profit]]&gt;60000,"Medium","Low"))</f>
        <v>Low</v>
      </c>
      <c r="Q1047" s="11" t="str">
        <f>PROPER(Sales_Data[[#This Row],[Month Name]])</f>
        <v>Novembro</v>
      </c>
      <c r="R1047" s="11" t="str">
        <f>PROPER(Sales_Data[[#This Row],[Sales Manager]])</f>
        <v>John Smith</v>
      </c>
    </row>
    <row r="1048" spans="1:18" hidden="1" x14ac:dyDescent="0.25">
      <c r="A1048">
        <v>11047</v>
      </c>
      <c r="B1048">
        <v>2021</v>
      </c>
      <c r="C1048" t="s">
        <v>76</v>
      </c>
      <c r="D1048" s="8">
        <v>44512</v>
      </c>
      <c r="E1048" t="s">
        <v>22</v>
      </c>
      <c r="F1048" t="s">
        <v>24</v>
      </c>
      <c r="G1048" t="s">
        <v>13</v>
      </c>
      <c r="H1048" s="9">
        <v>17</v>
      </c>
      <c r="I1048" s="9">
        <v>446</v>
      </c>
      <c r="J1048" s="10">
        <v>334500</v>
      </c>
      <c r="K1048" s="10">
        <v>53520</v>
      </c>
      <c r="L1048">
        <v>46</v>
      </c>
      <c r="M1048" s="8">
        <v>44470</v>
      </c>
      <c r="N1048" s="23">
        <v>1.6849615544160699E-3</v>
      </c>
      <c r="O1048" s="10" t="str">
        <f>IF(Sales_Data[[#This Row],[Total Profit]]&gt;0,"Profitable","Loss")</f>
        <v>Profitable</v>
      </c>
      <c r="P1048" s="10" t="str">
        <f>IF(Sales_Data[[#This Row],[Total Profit]]&gt;100000,"High Value",IF(Sales_Data[[#This Row],[Total Profit]]&gt;60000,"Medium","Low"))</f>
        <v>Low</v>
      </c>
      <c r="Q1048" s="11" t="str">
        <f>PROPER(Sales_Data[[#This Row],[Month Name]])</f>
        <v>Novembro</v>
      </c>
      <c r="R1048" s="11" t="str">
        <f>PROPER(Sales_Data[[#This Row],[Sales Manager]])</f>
        <v>Liam Lee</v>
      </c>
    </row>
    <row r="1049" spans="1:18" hidden="1" x14ac:dyDescent="0.25">
      <c r="A1049">
        <v>11048</v>
      </c>
      <c r="B1049">
        <v>2021</v>
      </c>
      <c r="C1049" t="s">
        <v>76</v>
      </c>
      <c r="D1049" s="8">
        <v>44513</v>
      </c>
      <c r="E1049" t="s">
        <v>11</v>
      </c>
      <c r="F1049" t="s">
        <v>24</v>
      </c>
      <c r="G1049" t="s">
        <v>13</v>
      </c>
      <c r="H1049" s="9">
        <v>6</v>
      </c>
      <c r="I1049" s="9">
        <v>63</v>
      </c>
      <c r="J1049" s="10">
        <v>47250</v>
      </c>
      <c r="K1049" s="10">
        <v>9922.5</v>
      </c>
      <c r="L1049">
        <v>46</v>
      </c>
      <c r="M1049" s="8">
        <v>44470</v>
      </c>
      <c r="N1049" s="23">
        <v>2.3801026441303301E-4</v>
      </c>
      <c r="O1049" s="10" t="str">
        <f>IF(Sales_Data[[#This Row],[Total Profit]]&gt;0,"Profitable","Loss")</f>
        <v>Profitable</v>
      </c>
      <c r="P1049" s="10" t="str">
        <f>IF(Sales_Data[[#This Row],[Total Profit]]&gt;100000,"High Value",IF(Sales_Data[[#This Row],[Total Profit]]&gt;60000,"Medium","Low"))</f>
        <v>Low</v>
      </c>
      <c r="Q1049" s="11" t="str">
        <f>PROPER(Sales_Data[[#This Row],[Month Name]])</f>
        <v>Novembro</v>
      </c>
      <c r="R1049" s="11" t="str">
        <f>PROPER(Sales_Data[[#This Row],[Sales Manager]])</f>
        <v>Liam Lee</v>
      </c>
    </row>
    <row r="1050" spans="1:18" hidden="1" x14ac:dyDescent="0.25">
      <c r="A1050">
        <v>11049</v>
      </c>
      <c r="B1050">
        <v>2021</v>
      </c>
      <c r="C1050" t="s">
        <v>76</v>
      </c>
      <c r="D1050" s="8">
        <v>44514</v>
      </c>
      <c r="E1050" t="s">
        <v>19</v>
      </c>
      <c r="F1050" t="s">
        <v>18</v>
      </c>
      <c r="G1050" t="s">
        <v>20</v>
      </c>
      <c r="H1050" s="9">
        <v>1</v>
      </c>
      <c r="I1050" s="9">
        <v>48</v>
      </c>
      <c r="J1050" s="10">
        <v>40800</v>
      </c>
      <c r="K1050" s="10">
        <v>17952</v>
      </c>
      <c r="L1050">
        <v>47</v>
      </c>
      <c r="M1050" s="8">
        <v>44470</v>
      </c>
      <c r="N1050" s="23">
        <v>2.05519974350301E-4</v>
      </c>
      <c r="O1050" s="10" t="str">
        <f>IF(Sales_Data[[#This Row],[Total Profit]]&gt;0,"Profitable","Loss")</f>
        <v>Profitable</v>
      </c>
      <c r="P1050" s="10" t="str">
        <f>IF(Sales_Data[[#This Row],[Total Profit]]&gt;100000,"High Value",IF(Sales_Data[[#This Row],[Total Profit]]&gt;60000,"Medium","Low"))</f>
        <v>Low</v>
      </c>
      <c r="Q1050" s="11" t="str">
        <f>PROPER(Sales_Data[[#This Row],[Month Name]])</f>
        <v>Novembro</v>
      </c>
      <c r="R1050" s="11" t="str">
        <f>PROPER(Sales_Data[[#This Row],[Sales Manager]])</f>
        <v>Jane Doe</v>
      </c>
    </row>
    <row r="1051" spans="1:18" hidden="1" x14ac:dyDescent="0.25">
      <c r="A1051">
        <v>11050</v>
      </c>
      <c r="B1051">
        <v>2021</v>
      </c>
      <c r="C1051" t="s">
        <v>76</v>
      </c>
      <c r="D1051" s="8">
        <v>44515</v>
      </c>
      <c r="E1051" t="s">
        <v>14</v>
      </c>
      <c r="F1051" t="s">
        <v>18</v>
      </c>
      <c r="G1051" t="s">
        <v>13</v>
      </c>
      <c r="H1051" s="9">
        <v>10</v>
      </c>
      <c r="I1051" s="9">
        <v>114</v>
      </c>
      <c r="J1051" s="10">
        <v>85500</v>
      </c>
      <c r="K1051" s="10">
        <v>24795</v>
      </c>
      <c r="L1051">
        <v>47</v>
      </c>
      <c r="M1051" s="8">
        <v>44470</v>
      </c>
      <c r="N1051" s="23">
        <v>4.3068524036644001E-4</v>
      </c>
      <c r="O1051" s="10" t="str">
        <f>IF(Sales_Data[[#This Row],[Total Profit]]&gt;0,"Profitable","Loss")</f>
        <v>Profitable</v>
      </c>
      <c r="P1051" s="10" t="str">
        <f>IF(Sales_Data[[#This Row],[Total Profit]]&gt;100000,"High Value",IF(Sales_Data[[#This Row],[Total Profit]]&gt;60000,"Medium","Low"))</f>
        <v>Low</v>
      </c>
      <c r="Q1051" s="11" t="str">
        <f>PROPER(Sales_Data[[#This Row],[Month Name]])</f>
        <v>Novembro</v>
      </c>
      <c r="R1051" s="11" t="str">
        <f>PROPER(Sales_Data[[#This Row],[Sales Manager]])</f>
        <v>Jane Doe</v>
      </c>
    </row>
    <row r="1052" spans="1:18" hidden="1" x14ac:dyDescent="0.25">
      <c r="A1052">
        <v>11051</v>
      </c>
      <c r="B1052">
        <v>2021</v>
      </c>
      <c r="C1052" t="s">
        <v>76</v>
      </c>
      <c r="D1052" s="8">
        <v>44516</v>
      </c>
      <c r="E1052" t="s">
        <v>14</v>
      </c>
      <c r="F1052" t="s">
        <v>18</v>
      </c>
      <c r="G1052" t="s">
        <v>23</v>
      </c>
      <c r="H1052" s="9">
        <v>19</v>
      </c>
      <c r="I1052" s="9">
        <v>498</v>
      </c>
      <c r="J1052" s="10">
        <v>174300</v>
      </c>
      <c r="K1052" s="10">
        <v>47061</v>
      </c>
      <c r="L1052">
        <v>47</v>
      </c>
      <c r="M1052" s="8">
        <v>44470</v>
      </c>
      <c r="N1052" s="23">
        <v>8.7799341983474301E-4</v>
      </c>
      <c r="O1052" s="10" t="str">
        <f>IF(Sales_Data[[#This Row],[Total Profit]]&gt;0,"Profitable","Loss")</f>
        <v>Profitable</v>
      </c>
      <c r="P1052" s="10" t="str">
        <f>IF(Sales_Data[[#This Row],[Total Profit]]&gt;100000,"High Value",IF(Sales_Data[[#This Row],[Total Profit]]&gt;60000,"Medium","Low"))</f>
        <v>Low</v>
      </c>
      <c r="Q1052" s="11" t="str">
        <f>PROPER(Sales_Data[[#This Row],[Month Name]])</f>
        <v>Novembro</v>
      </c>
      <c r="R1052" s="11" t="str">
        <f>PROPER(Sales_Data[[#This Row],[Sales Manager]])</f>
        <v>Jane Doe</v>
      </c>
    </row>
    <row r="1053" spans="1:18" hidden="1" x14ac:dyDescent="0.25">
      <c r="A1053">
        <v>11052</v>
      </c>
      <c r="B1053">
        <v>2021</v>
      </c>
      <c r="C1053" t="s">
        <v>76</v>
      </c>
      <c r="D1053" s="8">
        <v>44517</v>
      </c>
      <c r="E1053" t="s">
        <v>11</v>
      </c>
      <c r="F1053" t="s">
        <v>16</v>
      </c>
      <c r="G1053" t="s">
        <v>17</v>
      </c>
      <c r="H1053" s="9">
        <v>22</v>
      </c>
      <c r="I1053" s="9">
        <v>305</v>
      </c>
      <c r="J1053" s="10">
        <v>76250</v>
      </c>
      <c r="K1053" s="10">
        <v>21350.000000000004</v>
      </c>
      <c r="L1053">
        <v>47</v>
      </c>
      <c r="M1053" s="8">
        <v>44470</v>
      </c>
      <c r="N1053" s="23">
        <v>3.84090638338492E-4</v>
      </c>
      <c r="O1053" s="10" t="str">
        <f>IF(Sales_Data[[#This Row],[Total Profit]]&gt;0,"Profitable","Loss")</f>
        <v>Profitable</v>
      </c>
      <c r="P1053" s="10" t="str">
        <f>IF(Sales_Data[[#This Row],[Total Profit]]&gt;100000,"High Value",IF(Sales_Data[[#This Row],[Total Profit]]&gt;60000,"Medium","Low"))</f>
        <v>Low</v>
      </c>
      <c r="Q1053" s="11" t="str">
        <f>PROPER(Sales_Data[[#This Row],[Month Name]])</f>
        <v>Novembro</v>
      </c>
      <c r="R1053" s="11" t="str">
        <f>PROPER(Sales_Data[[#This Row],[Sales Manager]])</f>
        <v>James Brown</v>
      </c>
    </row>
    <row r="1054" spans="1:18" hidden="1" x14ac:dyDescent="0.25">
      <c r="A1054">
        <v>11053</v>
      </c>
      <c r="B1054">
        <v>2021</v>
      </c>
      <c r="C1054" t="s">
        <v>76</v>
      </c>
      <c r="D1054" s="8">
        <v>44518</v>
      </c>
      <c r="E1054" t="s">
        <v>19</v>
      </c>
      <c r="F1054" t="s">
        <v>21</v>
      </c>
      <c r="G1054" t="s">
        <v>20</v>
      </c>
      <c r="H1054" s="9">
        <v>6</v>
      </c>
      <c r="I1054" s="9">
        <v>207</v>
      </c>
      <c r="J1054" s="10">
        <v>175950</v>
      </c>
      <c r="K1054" s="10">
        <v>21114</v>
      </c>
      <c r="L1054">
        <v>47</v>
      </c>
      <c r="M1054" s="8">
        <v>44470</v>
      </c>
      <c r="N1054" s="23">
        <v>8.8630488938567403E-4</v>
      </c>
      <c r="O1054" s="10" t="str">
        <f>IF(Sales_Data[[#This Row],[Total Profit]]&gt;0,"Profitable","Loss")</f>
        <v>Profitable</v>
      </c>
      <c r="P1054" s="10" t="str">
        <f>IF(Sales_Data[[#This Row],[Total Profit]]&gt;100000,"High Value",IF(Sales_Data[[#This Row],[Total Profit]]&gt;60000,"Medium","Low"))</f>
        <v>Low</v>
      </c>
      <c r="Q1054" s="11" t="str">
        <f>PROPER(Sales_Data[[#This Row],[Month Name]])</f>
        <v>Novembro</v>
      </c>
      <c r="R1054" s="11" t="str">
        <f>PROPER(Sales_Data[[#This Row],[Sales Manager]])</f>
        <v>John Smith</v>
      </c>
    </row>
    <row r="1055" spans="1:18" hidden="1" x14ac:dyDescent="0.25">
      <c r="A1055">
        <v>11054</v>
      </c>
      <c r="B1055">
        <v>2021</v>
      </c>
      <c r="C1055" t="s">
        <v>76</v>
      </c>
      <c r="D1055" s="8">
        <v>44519</v>
      </c>
      <c r="E1055" t="s">
        <v>14</v>
      </c>
      <c r="F1055" t="s">
        <v>24</v>
      </c>
      <c r="G1055" t="s">
        <v>13</v>
      </c>
      <c r="H1055" s="9">
        <v>10</v>
      </c>
      <c r="I1055" s="9">
        <v>144</v>
      </c>
      <c r="J1055" s="10">
        <v>108000</v>
      </c>
      <c r="K1055" s="10">
        <v>12960</v>
      </c>
      <c r="L1055">
        <v>47</v>
      </c>
      <c r="M1055" s="8">
        <v>44470</v>
      </c>
      <c r="N1055" s="23">
        <v>5.4402346151550304E-4</v>
      </c>
      <c r="O1055" s="10" t="str">
        <f>IF(Sales_Data[[#This Row],[Total Profit]]&gt;0,"Profitable","Loss")</f>
        <v>Profitable</v>
      </c>
      <c r="P1055" s="10" t="str">
        <f>IF(Sales_Data[[#This Row],[Total Profit]]&gt;100000,"High Value",IF(Sales_Data[[#This Row],[Total Profit]]&gt;60000,"Medium","Low"))</f>
        <v>Low</v>
      </c>
      <c r="Q1055" s="11" t="str">
        <f>PROPER(Sales_Data[[#This Row],[Month Name]])</f>
        <v>Novembro</v>
      </c>
      <c r="R1055" s="11" t="str">
        <f>PROPER(Sales_Data[[#This Row],[Sales Manager]])</f>
        <v>Liam Lee</v>
      </c>
    </row>
    <row r="1056" spans="1:18" hidden="1" x14ac:dyDescent="0.25">
      <c r="A1056">
        <v>11055</v>
      </c>
      <c r="B1056">
        <v>2021</v>
      </c>
      <c r="C1056" t="s">
        <v>76</v>
      </c>
      <c r="D1056" s="8">
        <v>44520</v>
      </c>
      <c r="E1056" t="s">
        <v>19</v>
      </c>
      <c r="F1056" t="s">
        <v>12</v>
      </c>
      <c r="G1056" t="s">
        <v>17</v>
      </c>
      <c r="H1056" s="9">
        <v>40</v>
      </c>
      <c r="I1056" s="9">
        <v>409</v>
      </c>
      <c r="J1056" s="10">
        <v>102250</v>
      </c>
      <c r="K1056" s="10">
        <v>30675</v>
      </c>
      <c r="L1056">
        <v>47</v>
      </c>
      <c r="M1056" s="8">
        <v>44470</v>
      </c>
      <c r="N1056" s="23">
        <v>5.1505924944407597E-4</v>
      </c>
      <c r="O1056" s="10" t="str">
        <f>IF(Sales_Data[[#This Row],[Total Profit]]&gt;0,"Profitable","Loss")</f>
        <v>Profitable</v>
      </c>
      <c r="P1056" s="10" t="str">
        <f>IF(Sales_Data[[#This Row],[Total Profit]]&gt;100000,"High Value",IF(Sales_Data[[#This Row],[Total Profit]]&gt;60000,"Medium","Low"))</f>
        <v>Low</v>
      </c>
      <c r="Q1056" s="11" t="str">
        <f>PROPER(Sales_Data[[#This Row],[Month Name]])</f>
        <v>Novembro</v>
      </c>
      <c r="R1056" s="11" t="str">
        <f>PROPER(Sales_Data[[#This Row],[Sales Manager]])</f>
        <v>Emily White</v>
      </c>
    </row>
    <row r="1057" spans="1:18" hidden="1" x14ac:dyDescent="0.25">
      <c r="A1057">
        <v>11056</v>
      </c>
      <c r="B1057">
        <v>2021</v>
      </c>
      <c r="C1057" t="s">
        <v>76</v>
      </c>
      <c r="D1057" s="8">
        <v>44521</v>
      </c>
      <c r="E1057" t="s">
        <v>22</v>
      </c>
      <c r="F1057" t="s">
        <v>21</v>
      </c>
      <c r="G1057" t="s">
        <v>17</v>
      </c>
      <c r="H1057" s="9">
        <v>1</v>
      </c>
      <c r="I1057" s="9">
        <v>21</v>
      </c>
      <c r="J1057" s="10">
        <v>5250</v>
      </c>
      <c r="K1057" s="10">
        <v>2100</v>
      </c>
      <c r="L1057">
        <v>48</v>
      </c>
      <c r="M1057" s="8">
        <v>44470</v>
      </c>
      <c r="N1057" s="23">
        <v>2.6445584934781399E-5</v>
      </c>
      <c r="O1057" s="10" t="str">
        <f>IF(Sales_Data[[#This Row],[Total Profit]]&gt;0,"Profitable","Loss")</f>
        <v>Profitable</v>
      </c>
      <c r="P1057" s="10" t="str">
        <f>IF(Sales_Data[[#This Row],[Total Profit]]&gt;100000,"High Value",IF(Sales_Data[[#This Row],[Total Profit]]&gt;60000,"Medium","Low"))</f>
        <v>Low</v>
      </c>
      <c r="Q1057" s="11" t="str">
        <f>PROPER(Sales_Data[[#This Row],[Month Name]])</f>
        <v>Novembro</v>
      </c>
      <c r="R1057" s="11" t="str">
        <f>PROPER(Sales_Data[[#This Row],[Sales Manager]])</f>
        <v>John Smith</v>
      </c>
    </row>
    <row r="1058" spans="1:18" hidden="1" x14ac:dyDescent="0.25">
      <c r="A1058">
        <v>11057</v>
      </c>
      <c r="B1058">
        <v>2021</v>
      </c>
      <c r="C1058" t="s">
        <v>76</v>
      </c>
      <c r="D1058" s="8">
        <v>44522</v>
      </c>
      <c r="E1058" t="s">
        <v>25</v>
      </c>
      <c r="F1058" t="s">
        <v>12</v>
      </c>
      <c r="G1058" t="s">
        <v>15</v>
      </c>
      <c r="H1058" s="9">
        <v>1</v>
      </c>
      <c r="I1058" s="9">
        <v>59</v>
      </c>
      <c r="J1058" s="10">
        <v>29500</v>
      </c>
      <c r="K1058" s="10">
        <v>10620</v>
      </c>
      <c r="L1058">
        <v>48</v>
      </c>
      <c r="M1058" s="8">
        <v>44470</v>
      </c>
      <c r="N1058" s="23">
        <v>1.4859900106210501E-4</v>
      </c>
      <c r="O1058" s="10" t="str">
        <f>IF(Sales_Data[[#This Row],[Total Profit]]&gt;0,"Profitable","Loss")</f>
        <v>Profitable</v>
      </c>
      <c r="P1058" s="10" t="str">
        <f>IF(Sales_Data[[#This Row],[Total Profit]]&gt;100000,"High Value",IF(Sales_Data[[#This Row],[Total Profit]]&gt;60000,"Medium","Low"))</f>
        <v>Low</v>
      </c>
      <c r="Q1058" s="11" t="str">
        <f>PROPER(Sales_Data[[#This Row],[Month Name]])</f>
        <v>Novembro</v>
      </c>
      <c r="R1058" s="11" t="str">
        <f>PROPER(Sales_Data[[#This Row],[Sales Manager]])</f>
        <v>Emily White</v>
      </c>
    </row>
    <row r="1059" spans="1:18" hidden="1" x14ac:dyDescent="0.25">
      <c r="A1059">
        <v>11058</v>
      </c>
      <c r="B1059">
        <v>2021</v>
      </c>
      <c r="C1059" t="s">
        <v>76</v>
      </c>
      <c r="D1059" s="8">
        <v>44523</v>
      </c>
      <c r="E1059" t="s">
        <v>11</v>
      </c>
      <c r="F1059" t="s">
        <v>16</v>
      </c>
      <c r="G1059" t="s">
        <v>20</v>
      </c>
      <c r="H1059" s="9">
        <v>35</v>
      </c>
      <c r="I1059" s="9">
        <v>486</v>
      </c>
      <c r="J1059" s="10">
        <v>413100</v>
      </c>
      <c r="K1059" s="10">
        <v>82620</v>
      </c>
      <c r="L1059">
        <v>48</v>
      </c>
      <c r="M1059" s="8">
        <v>44470</v>
      </c>
      <c r="N1059" s="23">
        <v>2.0808897402967998E-3</v>
      </c>
      <c r="O1059" s="10" t="str">
        <f>IF(Sales_Data[[#This Row],[Total Profit]]&gt;0,"Profitable","Loss")</f>
        <v>Profitable</v>
      </c>
      <c r="P1059" s="10" t="str">
        <f>IF(Sales_Data[[#This Row],[Total Profit]]&gt;100000,"High Value",IF(Sales_Data[[#This Row],[Total Profit]]&gt;60000,"Medium","Low"))</f>
        <v>Medium</v>
      </c>
      <c r="Q1059" s="11" t="str">
        <f>PROPER(Sales_Data[[#This Row],[Month Name]])</f>
        <v>Novembro</v>
      </c>
      <c r="R1059" s="11" t="str">
        <f>PROPER(Sales_Data[[#This Row],[Sales Manager]])</f>
        <v>James Brown</v>
      </c>
    </row>
    <row r="1060" spans="1:18" hidden="1" x14ac:dyDescent="0.25">
      <c r="A1060">
        <v>11059</v>
      </c>
      <c r="B1060">
        <v>2021</v>
      </c>
      <c r="C1060" t="s">
        <v>76</v>
      </c>
      <c r="D1060" s="8">
        <v>44524</v>
      </c>
      <c r="E1060" t="s">
        <v>25</v>
      </c>
      <c r="F1060" t="s">
        <v>24</v>
      </c>
      <c r="G1060" t="s">
        <v>20</v>
      </c>
      <c r="H1060" s="9">
        <v>15</v>
      </c>
      <c r="I1060" s="9">
        <v>346</v>
      </c>
      <c r="J1060" s="10">
        <v>294100</v>
      </c>
      <c r="K1060" s="10">
        <v>79407</v>
      </c>
      <c r="L1060">
        <v>48</v>
      </c>
      <c r="M1060" s="8">
        <v>44470</v>
      </c>
      <c r="N1060" s="23">
        <v>1.48145648177509E-3</v>
      </c>
      <c r="O1060" s="10" t="str">
        <f>IF(Sales_Data[[#This Row],[Total Profit]]&gt;0,"Profitable","Loss")</f>
        <v>Profitable</v>
      </c>
      <c r="P1060" s="10" t="str">
        <f>IF(Sales_Data[[#This Row],[Total Profit]]&gt;100000,"High Value",IF(Sales_Data[[#This Row],[Total Profit]]&gt;60000,"Medium","Low"))</f>
        <v>Medium</v>
      </c>
      <c r="Q1060" s="11" t="str">
        <f>PROPER(Sales_Data[[#This Row],[Month Name]])</f>
        <v>Novembro</v>
      </c>
      <c r="R1060" s="11" t="str">
        <f>PROPER(Sales_Data[[#This Row],[Sales Manager]])</f>
        <v>Liam Lee</v>
      </c>
    </row>
    <row r="1061" spans="1:18" hidden="1" x14ac:dyDescent="0.25">
      <c r="A1061">
        <v>11060</v>
      </c>
      <c r="B1061">
        <v>2021</v>
      </c>
      <c r="C1061" t="s">
        <v>76</v>
      </c>
      <c r="D1061" s="8">
        <v>44525</v>
      </c>
      <c r="E1061" t="s">
        <v>14</v>
      </c>
      <c r="F1061" t="s">
        <v>21</v>
      </c>
      <c r="G1061" t="s">
        <v>23</v>
      </c>
      <c r="H1061" s="9">
        <v>18</v>
      </c>
      <c r="I1061" s="9">
        <v>465</v>
      </c>
      <c r="J1061" s="10">
        <v>162750</v>
      </c>
      <c r="K1061" s="10">
        <v>42315</v>
      </c>
      <c r="L1061">
        <v>48</v>
      </c>
      <c r="M1061" s="8">
        <v>44470</v>
      </c>
      <c r="N1061" s="23">
        <v>8.1981313297822399E-4</v>
      </c>
      <c r="O1061" s="10" t="str">
        <f>IF(Sales_Data[[#This Row],[Total Profit]]&gt;0,"Profitable","Loss")</f>
        <v>Profitable</v>
      </c>
      <c r="P1061" s="10" t="str">
        <f>IF(Sales_Data[[#This Row],[Total Profit]]&gt;100000,"High Value",IF(Sales_Data[[#This Row],[Total Profit]]&gt;60000,"Medium","Low"))</f>
        <v>Low</v>
      </c>
      <c r="Q1061" s="11" t="str">
        <f>PROPER(Sales_Data[[#This Row],[Month Name]])</f>
        <v>Novembro</v>
      </c>
      <c r="R1061" s="11" t="str">
        <f>PROPER(Sales_Data[[#This Row],[Sales Manager]])</f>
        <v>John Smith</v>
      </c>
    </row>
    <row r="1062" spans="1:18" hidden="1" x14ac:dyDescent="0.25">
      <c r="A1062">
        <v>11061</v>
      </c>
      <c r="B1062">
        <v>2021</v>
      </c>
      <c r="C1062" t="s">
        <v>76</v>
      </c>
      <c r="D1062" s="8">
        <v>44526</v>
      </c>
      <c r="E1062" t="s">
        <v>11</v>
      </c>
      <c r="F1062" t="s">
        <v>21</v>
      </c>
      <c r="G1062" t="s">
        <v>17</v>
      </c>
      <c r="H1062" s="9">
        <v>10</v>
      </c>
      <c r="I1062" s="9">
        <v>249</v>
      </c>
      <c r="J1062" s="10">
        <v>62250</v>
      </c>
      <c r="K1062" s="10">
        <v>28012.5</v>
      </c>
      <c r="L1062">
        <v>48</v>
      </c>
      <c r="M1062" s="8">
        <v>44470</v>
      </c>
      <c r="N1062" s="23">
        <v>3.1356907851240798E-4</v>
      </c>
      <c r="O1062" s="10" t="str">
        <f>IF(Sales_Data[[#This Row],[Total Profit]]&gt;0,"Profitable","Loss")</f>
        <v>Profitable</v>
      </c>
      <c r="P1062" s="10" t="str">
        <f>IF(Sales_Data[[#This Row],[Total Profit]]&gt;100000,"High Value",IF(Sales_Data[[#This Row],[Total Profit]]&gt;60000,"Medium","Low"))</f>
        <v>Low</v>
      </c>
      <c r="Q1062" s="11" t="str">
        <f>PROPER(Sales_Data[[#This Row],[Month Name]])</f>
        <v>Novembro</v>
      </c>
      <c r="R1062" s="11" t="str">
        <f>PROPER(Sales_Data[[#This Row],[Sales Manager]])</f>
        <v>John Smith</v>
      </c>
    </row>
    <row r="1063" spans="1:18" hidden="1" x14ac:dyDescent="0.25">
      <c r="A1063">
        <v>11062</v>
      </c>
      <c r="B1063">
        <v>2021</v>
      </c>
      <c r="C1063" t="s">
        <v>76</v>
      </c>
      <c r="D1063" s="8">
        <v>44527</v>
      </c>
      <c r="E1063" t="s">
        <v>11</v>
      </c>
      <c r="F1063" t="s">
        <v>16</v>
      </c>
      <c r="G1063" t="s">
        <v>17</v>
      </c>
      <c r="H1063" s="9">
        <v>15</v>
      </c>
      <c r="I1063" s="9">
        <v>385</v>
      </c>
      <c r="J1063" s="10">
        <v>96250</v>
      </c>
      <c r="K1063" s="10">
        <v>43312.5</v>
      </c>
      <c r="L1063">
        <v>48</v>
      </c>
      <c r="M1063" s="8">
        <v>44470</v>
      </c>
      <c r="N1063" s="23">
        <v>4.8483572380432602E-4</v>
      </c>
      <c r="O1063" s="10" t="str">
        <f>IF(Sales_Data[[#This Row],[Total Profit]]&gt;0,"Profitable","Loss")</f>
        <v>Profitable</v>
      </c>
      <c r="P1063" s="10" t="str">
        <f>IF(Sales_Data[[#This Row],[Total Profit]]&gt;100000,"High Value",IF(Sales_Data[[#This Row],[Total Profit]]&gt;60000,"Medium","Low"))</f>
        <v>Low</v>
      </c>
      <c r="Q1063" s="11" t="str">
        <f>PROPER(Sales_Data[[#This Row],[Month Name]])</f>
        <v>Novembro</v>
      </c>
      <c r="R1063" s="11" t="str">
        <f>PROPER(Sales_Data[[#This Row],[Sales Manager]])</f>
        <v>James Brown</v>
      </c>
    </row>
    <row r="1064" spans="1:18" hidden="1" x14ac:dyDescent="0.25">
      <c r="A1064">
        <v>11063</v>
      </c>
      <c r="B1064">
        <v>2021</v>
      </c>
      <c r="C1064" t="s">
        <v>76</v>
      </c>
      <c r="D1064" s="8">
        <v>44528</v>
      </c>
      <c r="E1064" t="s">
        <v>25</v>
      </c>
      <c r="F1064" t="s">
        <v>18</v>
      </c>
      <c r="G1064" t="s">
        <v>23</v>
      </c>
      <c r="H1064" s="9">
        <v>37</v>
      </c>
      <c r="I1064" s="9">
        <v>392</v>
      </c>
      <c r="J1064" s="10">
        <v>137200</v>
      </c>
      <c r="K1064" s="10">
        <v>19208.000000000004</v>
      </c>
      <c r="L1064">
        <v>49</v>
      </c>
      <c r="M1064" s="8">
        <v>44470</v>
      </c>
      <c r="N1064" s="23">
        <v>6.91111286295621E-4</v>
      </c>
      <c r="O1064" s="10" t="str">
        <f>IF(Sales_Data[[#This Row],[Total Profit]]&gt;0,"Profitable","Loss")</f>
        <v>Profitable</v>
      </c>
      <c r="P1064" s="10" t="str">
        <f>IF(Sales_Data[[#This Row],[Total Profit]]&gt;100000,"High Value",IF(Sales_Data[[#This Row],[Total Profit]]&gt;60000,"Medium","Low"))</f>
        <v>Low</v>
      </c>
      <c r="Q1064" s="11" t="str">
        <f>PROPER(Sales_Data[[#This Row],[Month Name]])</f>
        <v>Novembro</v>
      </c>
      <c r="R1064" s="11" t="str">
        <f>PROPER(Sales_Data[[#This Row],[Sales Manager]])</f>
        <v>Jane Doe</v>
      </c>
    </row>
    <row r="1065" spans="1:18" hidden="1" x14ac:dyDescent="0.25">
      <c r="A1065">
        <v>11064</v>
      </c>
      <c r="B1065">
        <v>2021</v>
      </c>
      <c r="C1065" t="s">
        <v>76</v>
      </c>
      <c r="D1065" s="8">
        <v>44529</v>
      </c>
      <c r="E1065" t="s">
        <v>14</v>
      </c>
      <c r="F1065" t="s">
        <v>12</v>
      </c>
      <c r="G1065" t="s">
        <v>20</v>
      </c>
      <c r="H1065" s="9">
        <v>18</v>
      </c>
      <c r="I1065" s="9">
        <v>187</v>
      </c>
      <c r="J1065" s="10">
        <v>158950</v>
      </c>
      <c r="K1065" s="10">
        <v>22253.000000000004</v>
      </c>
      <c r="L1065">
        <v>49</v>
      </c>
      <c r="M1065" s="8">
        <v>44470</v>
      </c>
      <c r="N1065" s="23">
        <v>8.0067156673971503E-4</v>
      </c>
      <c r="O1065" s="10" t="str">
        <f>IF(Sales_Data[[#This Row],[Total Profit]]&gt;0,"Profitable","Loss")</f>
        <v>Profitable</v>
      </c>
      <c r="P1065" s="10" t="str">
        <f>IF(Sales_Data[[#This Row],[Total Profit]]&gt;100000,"High Value",IF(Sales_Data[[#This Row],[Total Profit]]&gt;60000,"Medium","Low"))</f>
        <v>Low</v>
      </c>
      <c r="Q1065" s="11" t="str">
        <f>PROPER(Sales_Data[[#This Row],[Month Name]])</f>
        <v>Novembro</v>
      </c>
      <c r="R1065" s="11" t="str">
        <f>PROPER(Sales_Data[[#This Row],[Sales Manager]])</f>
        <v>Emily White</v>
      </c>
    </row>
    <row r="1066" spans="1:18" hidden="1" x14ac:dyDescent="0.25">
      <c r="A1066">
        <v>11065</v>
      </c>
      <c r="B1066">
        <v>2021</v>
      </c>
      <c r="C1066" t="s">
        <v>76</v>
      </c>
      <c r="D1066" s="8">
        <v>44530</v>
      </c>
      <c r="E1066" t="s">
        <v>14</v>
      </c>
      <c r="F1066" t="s">
        <v>16</v>
      </c>
      <c r="G1066" t="s">
        <v>15</v>
      </c>
      <c r="H1066" s="9">
        <v>22</v>
      </c>
      <c r="I1066" s="9">
        <v>406</v>
      </c>
      <c r="J1066" s="10">
        <v>203000</v>
      </c>
      <c r="K1066" s="10">
        <v>46690</v>
      </c>
      <c r="L1066">
        <v>49</v>
      </c>
      <c r="M1066" s="8">
        <v>44470</v>
      </c>
      <c r="N1066" s="23">
        <v>1.0225626174782099E-3</v>
      </c>
      <c r="O1066" s="10" t="str">
        <f>IF(Sales_Data[[#This Row],[Total Profit]]&gt;0,"Profitable","Loss")</f>
        <v>Profitable</v>
      </c>
      <c r="P1066" s="10" t="str">
        <f>IF(Sales_Data[[#This Row],[Total Profit]]&gt;100000,"High Value",IF(Sales_Data[[#This Row],[Total Profit]]&gt;60000,"Medium","Low"))</f>
        <v>Low</v>
      </c>
      <c r="Q1066" s="11" t="str">
        <f>PROPER(Sales_Data[[#This Row],[Month Name]])</f>
        <v>Novembro</v>
      </c>
      <c r="R1066" s="11" t="str">
        <f>PROPER(Sales_Data[[#This Row],[Sales Manager]])</f>
        <v>James Brown</v>
      </c>
    </row>
    <row r="1067" spans="1:18" hidden="1" x14ac:dyDescent="0.25">
      <c r="A1067">
        <v>11066</v>
      </c>
      <c r="B1067">
        <v>2021</v>
      </c>
      <c r="C1067" t="s">
        <v>77</v>
      </c>
      <c r="D1067" s="8">
        <v>44531</v>
      </c>
      <c r="E1067" t="s">
        <v>19</v>
      </c>
      <c r="F1067" t="s">
        <v>21</v>
      </c>
      <c r="G1067" t="s">
        <v>13</v>
      </c>
      <c r="H1067" s="9">
        <v>6</v>
      </c>
      <c r="I1067" s="9">
        <v>74</v>
      </c>
      <c r="J1067" s="10">
        <v>55500</v>
      </c>
      <c r="K1067" s="10">
        <v>17205</v>
      </c>
      <c r="L1067">
        <v>49</v>
      </c>
      <c r="M1067" s="8">
        <v>44470</v>
      </c>
      <c r="N1067" s="23">
        <v>2.7956761216768898E-4</v>
      </c>
      <c r="O1067" s="10" t="str">
        <f>IF(Sales_Data[[#This Row],[Total Profit]]&gt;0,"Profitable","Loss")</f>
        <v>Profitable</v>
      </c>
      <c r="P1067" s="10" t="str">
        <f>IF(Sales_Data[[#This Row],[Total Profit]]&gt;100000,"High Value",IF(Sales_Data[[#This Row],[Total Profit]]&gt;60000,"Medium","Low"))</f>
        <v>Low</v>
      </c>
      <c r="Q1067" s="11" t="str">
        <f>PROPER(Sales_Data[[#This Row],[Month Name]])</f>
        <v>Dezembro</v>
      </c>
      <c r="R1067" s="11" t="str">
        <f>PROPER(Sales_Data[[#This Row],[Sales Manager]])</f>
        <v>John Smith</v>
      </c>
    </row>
    <row r="1068" spans="1:18" hidden="1" x14ac:dyDescent="0.25">
      <c r="A1068">
        <v>11067</v>
      </c>
      <c r="B1068">
        <v>2021</v>
      </c>
      <c r="C1068" t="s">
        <v>77</v>
      </c>
      <c r="D1068" s="8">
        <v>44532</v>
      </c>
      <c r="E1068" t="s">
        <v>19</v>
      </c>
      <c r="F1068" t="s">
        <v>18</v>
      </c>
      <c r="G1068" t="s">
        <v>23</v>
      </c>
      <c r="H1068" s="9">
        <v>13</v>
      </c>
      <c r="I1068" s="9">
        <v>222</v>
      </c>
      <c r="J1068" s="10">
        <v>77700</v>
      </c>
      <c r="K1068" s="10">
        <v>13209.000000000002</v>
      </c>
      <c r="L1068">
        <v>49</v>
      </c>
      <c r="M1068" s="8">
        <v>44470</v>
      </c>
      <c r="N1068" s="23">
        <v>3.9139465703476501E-4</v>
      </c>
      <c r="O1068" s="10" t="str">
        <f>IF(Sales_Data[[#This Row],[Total Profit]]&gt;0,"Profitable","Loss")</f>
        <v>Profitable</v>
      </c>
      <c r="P1068" s="10" t="str">
        <f>IF(Sales_Data[[#This Row],[Total Profit]]&gt;100000,"High Value",IF(Sales_Data[[#This Row],[Total Profit]]&gt;60000,"Medium","Low"))</f>
        <v>Low</v>
      </c>
      <c r="Q1068" s="11" t="str">
        <f>PROPER(Sales_Data[[#This Row],[Month Name]])</f>
        <v>Dezembro</v>
      </c>
      <c r="R1068" s="11" t="str">
        <f>PROPER(Sales_Data[[#This Row],[Sales Manager]])</f>
        <v>Jane Doe</v>
      </c>
    </row>
    <row r="1069" spans="1:18" hidden="1" x14ac:dyDescent="0.25">
      <c r="A1069">
        <v>11068</v>
      </c>
      <c r="B1069">
        <v>2021</v>
      </c>
      <c r="C1069" t="s">
        <v>77</v>
      </c>
      <c r="D1069" s="8">
        <v>44533</v>
      </c>
      <c r="E1069" t="s">
        <v>19</v>
      </c>
      <c r="F1069" t="s">
        <v>16</v>
      </c>
      <c r="G1069" t="s">
        <v>15</v>
      </c>
      <c r="H1069" s="9">
        <v>6</v>
      </c>
      <c r="I1069" s="9">
        <v>423</v>
      </c>
      <c r="J1069" s="10">
        <v>211500</v>
      </c>
      <c r="K1069" s="10">
        <v>82485</v>
      </c>
      <c r="L1069">
        <v>49</v>
      </c>
      <c r="M1069" s="8">
        <v>44470</v>
      </c>
      <c r="N1069" s="23">
        <v>1.06537927880119E-3</v>
      </c>
      <c r="O1069" s="10" t="str">
        <f>IF(Sales_Data[[#This Row],[Total Profit]]&gt;0,"Profitable","Loss")</f>
        <v>Profitable</v>
      </c>
      <c r="P1069" s="10" t="str">
        <f>IF(Sales_Data[[#This Row],[Total Profit]]&gt;100000,"High Value",IF(Sales_Data[[#This Row],[Total Profit]]&gt;60000,"Medium","Low"))</f>
        <v>Medium</v>
      </c>
      <c r="Q1069" s="11" t="str">
        <f>PROPER(Sales_Data[[#This Row],[Month Name]])</f>
        <v>Dezembro</v>
      </c>
      <c r="R1069" s="11" t="str">
        <f>PROPER(Sales_Data[[#This Row],[Sales Manager]])</f>
        <v>James Brown</v>
      </c>
    </row>
    <row r="1070" spans="1:18" hidden="1" x14ac:dyDescent="0.25">
      <c r="A1070">
        <v>11069</v>
      </c>
      <c r="B1070">
        <v>2021</v>
      </c>
      <c r="C1070" t="s">
        <v>77</v>
      </c>
      <c r="D1070" s="8">
        <v>44534</v>
      </c>
      <c r="E1070" t="s">
        <v>22</v>
      </c>
      <c r="F1070" t="s">
        <v>24</v>
      </c>
      <c r="G1070" t="s">
        <v>17</v>
      </c>
      <c r="H1070" s="9">
        <v>1</v>
      </c>
      <c r="I1070" s="9">
        <v>11</v>
      </c>
      <c r="J1070" s="10">
        <v>2750</v>
      </c>
      <c r="K1070" s="10">
        <v>385.00000000000006</v>
      </c>
      <c r="L1070">
        <v>49</v>
      </c>
      <c r="M1070" s="8">
        <v>44470</v>
      </c>
      <c r="N1070" s="23">
        <v>1.3852449251552199E-5</v>
      </c>
      <c r="O1070" s="10" t="str">
        <f>IF(Sales_Data[[#This Row],[Total Profit]]&gt;0,"Profitable","Loss")</f>
        <v>Profitable</v>
      </c>
      <c r="P1070" s="10" t="str">
        <f>IF(Sales_Data[[#This Row],[Total Profit]]&gt;100000,"High Value",IF(Sales_Data[[#This Row],[Total Profit]]&gt;60000,"Medium","Low"))</f>
        <v>Low</v>
      </c>
      <c r="Q1070" s="11" t="str">
        <f>PROPER(Sales_Data[[#This Row],[Month Name]])</f>
        <v>Dezembro</v>
      </c>
      <c r="R1070" s="11" t="str">
        <f>PROPER(Sales_Data[[#This Row],[Sales Manager]])</f>
        <v>Liam Lee</v>
      </c>
    </row>
    <row r="1071" spans="1:18" hidden="1" x14ac:dyDescent="0.25">
      <c r="A1071">
        <v>11070</v>
      </c>
      <c r="B1071">
        <v>2021</v>
      </c>
      <c r="C1071" t="s">
        <v>77</v>
      </c>
      <c r="D1071" s="8">
        <v>44535</v>
      </c>
      <c r="E1071" t="s">
        <v>14</v>
      </c>
      <c r="F1071" t="s">
        <v>18</v>
      </c>
      <c r="G1071" t="s">
        <v>23</v>
      </c>
      <c r="H1071" s="9">
        <v>7</v>
      </c>
      <c r="I1071" s="9">
        <v>377</v>
      </c>
      <c r="J1071" s="10">
        <v>131950</v>
      </c>
      <c r="K1071" s="10">
        <v>36946</v>
      </c>
      <c r="L1071">
        <v>50</v>
      </c>
      <c r="M1071" s="8">
        <v>44470</v>
      </c>
      <c r="N1071" s="23">
        <v>6.6466570136084E-4</v>
      </c>
      <c r="O1071" s="10" t="str">
        <f>IF(Sales_Data[[#This Row],[Total Profit]]&gt;0,"Profitable","Loss")</f>
        <v>Profitable</v>
      </c>
      <c r="P1071" s="10" t="str">
        <f>IF(Sales_Data[[#This Row],[Total Profit]]&gt;100000,"High Value",IF(Sales_Data[[#This Row],[Total Profit]]&gt;60000,"Medium","Low"))</f>
        <v>Low</v>
      </c>
      <c r="Q1071" s="11" t="str">
        <f>PROPER(Sales_Data[[#This Row],[Month Name]])</f>
        <v>Dezembro</v>
      </c>
      <c r="R1071" s="11" t="str">
        <f>PROPER(Sales_Data[[#This Row],[Sales Manager]])</f>
        <v>Jane Doe</v>
      </c>
    </row>
    <row r="1072" spans="1:18" hidden="1" x14ac:dyDescent="0.25">
      <c r="A1072">
        <v>11071</v>
      </c>
      <c r="B1072">
        <v>2021</v>
      </c>
      <c r="C1072" t="s">
        <v>77</v>
      </c>
      <c r="D1072" s="8">
        <v>44536</v>
      </c>
      <c r="E1072" t="s">
        <v>19</v>
      </c>
      <c r="F1072" t="s">
        <v>12</v>
      </c>
      <c r="G1072" t="s">
        <v>15</v>
      </c>
      <c r="H1072" s="9">
        <v>11</v>
      </c>
      <c r="I1072" s="9">
        <v>264</v>
      </c>
      <c r="J1072" s="10">
        <v>132000</v>
      </c>
      <c r="K1072" s="10">
        <v>30360</v>
      </c>
      <c r="L1072">
        <v>50</v>
      </c>
      <c r="M1072" s="8">
        <v>44470</v>
      </c>
      <c r="N1072" s="23">
        <v>6.6491756407450401E-4</v>
      </c>
      <c r="O1072" s="10" t="str">
        <f>IF(Sales_Data[[#This Row],[Total Profit]]&gt;0,"Profitable","Loss")</f>
        <v>Profitable</v>
      </c>
      <c r="P1072" s="10" t="str">
        <f>IF(Sales_Data[[#This Row],[Total Profit]]&gt;100000,"High Value",IF(Sales_Data[[#This Row],[Total Profit]]&gt;60000,"Medium","Low"))</f>
        <v>Low</v>
      </c>
      <c r="Q1072" s="11" t="str">
        <f>PROPER(Sales_Data[[#This Row],[Month Name]])</f>
        <v>Dezembro</v>
      </c>
      <c r="R1072" s="11" t="str">
        <f>PROPER(Sales_Data[[#This Row],[Sales Manager]])</f>
        <v>Emily White</v>
      </c>
    </row>
    <row r="1073" spans="1:18" hidden="1" x14ac:dyDescent="0.25">
      <c r="A1073">
        <v>11072</v>
      </c>
      <c r="B1073">
        <v>2021</v>
      </c>
      <c r="C1073" t="s">
        <v>77</v>
      </c>
      <c r="D1073" s="8">
        <v>44537</v>
      </c>
      <c r="E1073" t="s">
        <v>19</v>
      </c>
      <c r="F1073" t="s">
        <v>21</v>
      </c>
      <c r="G1073" t="s">
        <v>20</v>
      </c>
      <c r="H1073" s="9">
        <v>7</v>
      </c>
      <c r="I1073" s="9">
        <v>183</v>
      </c>
      <c r="J1073" s="10">
        <v>155550</v>
      </c>
      <c r="K1073" s="10">
        <v>69997.5</v>
      </c>
      <c r="L1073">
        <v>50</v>
      </c>
      <c r="M1073" s="8">
        <v>44470</v>
      </c>
      <c r="N1073" s="23">
        <v>7.8354490221052401E-4</v>
      </c>
      <c r="O1073" s="10" t="str">
        <f>IF(Sales_Data[[#This Row],[Total Profit]]&gt;0,"Profitable","Loss")</f>
        <v>Profitable</v>
      </c>
      <c r="P1073" s="10" t="str">
        <f>IF(Sales_Data[[#This Row],[Total Profit]]&gt;100000,"High Value",IF(Sales_Data[[#This Row],[Total Profit]]&gt;60000,"Medium","Low"))</f>
        <v>Medium</v>
      </c>
      <c r="Q1073" s="11" t="str">
        <f>PROPER(Sales_Data[[#This Row],[Month Name]])</f>
        <v>Dezembro</v>
      </c>
      <c r="R1073" s="11" t="str">
        <f>PROPER(Sales_Data[[#This Row],[Sales Manager]])</f>
        <v>John Smith</v>
      </c>
    </row>
    <row r="1074" spans="1:18" hidden="1" x14ac:dyDescent="0.25">
      <c r="A1074">
        <v>11073</v>
      </c>
      <c r="B1074">
        <v>2021</v>
      </c>
      <c r="C1074" t="s">
        <v>77</v>
      </c>
      <c r="D1074" s="8">
        <v>44538</v>
      </c>
      <c r="E1074" t="s">
        <v>25</v>
      </c>
      <c r="F1074" t="s">
        <v>24</v>
      </c>
      <c r="G1074" t="s">
        <v>23</v>
      </c>
      <c r="H1074" s="9">
        <v>11</v>
      </c>
      <c r="I1074" s="9">
        <v>144</v>
      </c>
      <c r="J1074" s="10">
        <v>50400</v>
      </c>
      <c r="K1074" s="10">
        <v>7056.0000000000009</v>
      </c>
      <c r="L1074">
        <v>50</v>
      </c>
      <c r="M1074" s="8">
        <v>44470</v>
      </c>
      <c r="N1074" s="23">
        <v>2.5387761537390202E-4</v>
      </c>
      <c r="O1074" s="10" t="str">
        <f>IF(Sales_Data[[#This Row],[Total Profit]]&gt;0,"Profitable","Loss")</f>
        <v>Profitable</v>
      </c>
      <c r="P1074" s="10" t="str">
        <f>IF(Sales_Data[[#This Row],[Total Profit]]&gt;100000,"High Value",IF(Sales_Data[[#This Row],[Total Profit]]&gt;60000,"Medium","Low"))</f>
        <v>Low</v>
      </c>
      <c r="Q1074" s="11" t="str">
        <f>PROPER(Sales_Data[[#This Row],[Month Name]])</f>
        <v>Dezembro</v>
      </c>
      <c r="R1074" s="11" t="str">
        <f>PROPER(Sales_Data[[#This Row],[Sales Manager]])</f>
        <v>Liam Lee</v>
      </c>
    </row>
    <row r="1075" spans="1:18" hidden="1" x14ac:dyDescent="0.25">
      <c r="A1075">
        <v>11074</v>
      </c>
      <c r="B1075">
        <v>2021</v>
      </c>
      <c r="C1075" t="s">
        <v>77</v>
      </c>
      <c r="D1075" s="8">
        <v>44539</v>
      </c>
      <c r="E1075" t="s">
        <v>19</v>
      </c>
      <c r="F1075" t="s">
        <v>12</v>
      </c>
      <c r="G1075" t="s">
        <v>23</v>
      </c>
      <c r="H1075" s="9">
        <v>18</v>
      </c>
      <c r="I1075" s="9">
        <v>260</v>
      </c>
      <c r="J1075" s="10">
        <v>91000</v>
      </c>
      <c r="K1075" s="10">
        <v>39130</v>
      </c>
      <c r="L1075">
        <v>50</v>
      </c>
      <c r="M1075" s="8">
        <v>44470</v>
      </c>
      <c r="N1075" s="23">
        <v>4.5839013886954399E-4</v>
      </c>
      <c r="O1075" s="10" t="str">
        <f>IF(Sales_Data[[#This Row],[Total Profit]]&gt;0,"Profitable","Loss")</f>
        <v>Profitable</v>
      </c>
      <c r="P1075" s="10" t="str">
        <f>IF(Sales_Data[[#This Row],[Total Profit]]&gt;100000,"High Value",IF(Sales_Data[[#This Row],[Total Profit]]&gt;60000,"Medium","Low"))</f>
        <v>Low</v>
      </c>
      <c r="Q1075" s="11" t="str">
        <f>PROPER(Sales_Data[[#This Row],[Month Name]])</f>
        <v>Dezembro</v>
      </c>
      <c r="R1075" s="11" t="str">
        <f>PROPER(Sales_Data[[#This Row],[Sales Manager]])</f>
        <v>Emily White</v>
      </c>
    </row>
    <row r="1076" spans="1:18" hidden="1" x14ac:dyDescent="0.25">
      <c r="A1076">
        <v>11075</v>
      </c>
      <c r="B1076">
        <v>2021</v>
      </c>
      <c r="C1076" t="s">
        <v>77</v>
      </c>
      <c r="D1076" s="8">
        <v>44540</v>
      </c>
      <c r="E1076" t="s">
        <v>19</v>
      </c>
      <c r="F1076" t="s">
        <v>18</v>
      </c>
      <c r="G1076" t="s">
        <v>17</v>
      </c>
      <c r="H1076" s="9">
        <v>25</v>
      </c>
      <c r="I1076" s="9">
        <v>499</v>
      </c>
      <c r="J1076" s="10">
        <v>124750</v>
      </c>
      <c r="K1076" s="10">
        <v>12475</v>
      </c>
      <c r="L1076">
        <v>50</v>
      </c>
      <c r="M1076" s="8">
        <v>44470</v>
      </c>
      <c r="N1076" s="23">
        <v>6.2839747059313905E-4</v>
      </c>
      <c r="O1076" s="10" t="str">
        <f>IF(Sales_Data[[#This Row],[Total Profit]]&gt;0,"Profitable","Loss")</f>
        <v>Profitable</v>
      </c>
      <c r="P1076" s="10" t="str">
        <f>IF(Sales_Data[[#This Row],[Total Profit]]&gt;100000,"High Value",IF(Sales_Data[[#This Row],[Total Profit]]&gt;60000,"Medium","Low"))</f>
        <v>Low</v>
      </c>
      <c r="Q1076" s="11" t="str">
        <f>PROPER(Sales_Data[[#This Row],[Month Name]])</f>
        <v>Dezembro</v>
      </c>
      <c r="R1076" s="11" t="str">
        <f>PROPER(Sales_Data[[#This Row],[Sales Manager]])</f>
        <v>Jane Doe</v>
      </c>
    </row>
    <row r="1077" spans="1:18" hidden="1" x14ac:dyDescent="0.25">
      <c r="A1077">
        <v>11076</v>
      </c>
      <c r="B1077">
        <v>2021</v>
      </c>
      <c r="C1077" t="s">
        <v>77</v>
      </c>
      <c r="D1077" s="8">
        <v>44541</v>
      </c>
      <c r="E1077" t="s">
        <v>14</v>
      </c>
      <c r="F1077" t="s">
        <v>12</v>
      </c>
      <c r="G1077" t="s">
        <v>23</v>
      </c>
      <c r="H1077" s="9">
        <v>29</v>
      </c>
      <c r="I1077" s="9">
        <v>358</v>
      </c>
      <c r="J1077" s="10">
        <v>125300</v>
      </c>
      <c r="K1077" s="10">
        <v>21301</v>
      </c>
      <c r="L1077">
        <v>50</v>
      </c>
      <c r="M1077" s="8">
        <v>44470</v>
      </c>
      <c r="N1077" s="23">
        <v>6.3116796044345E-4</v>
      </c>
      <c r="O1077" s="10" t="str">
        <f>IF(Sales_Data[[#This Row],[Total Profit]]&gt;0,"Profitable","Loss")</f>
        <v>Profitable</v>
      </c>
      <c r="P1077" s="10" t="str">
        <f>IF(Sales_Data[[#This Row],[Total Profit]]&gt;100000,"High Value",IF(Sales_Data[[#This Row],[Total Profit]]&gt;60000,"Medium","Low"))</f>
        <v>Low</v>
      </c>
      <c r="Q1077" s="11" t="str">
        <f>PROPER(Sales_Data[[#This Row],[Month Name]])</f>
        <v>Dezembro</v>
      </c>
      <c r="R1077" s="11" t="str">
        <f>PROPER(Sales_Data[[#This Row],[Sales Manager]])</f>
        <v>Emily White</v>
      </c>
    </row>
    <row r="1078" spans="1:18" hidden="1" x14ac:dyDescent="0.25">
      <c r="A1078">
        <v>11077</v>
      </c>
      <c r="B1078">
        <v>2021</v>
      </c>
      <c r="C1078" t="s">
        <v>77</v>
      </c>
      <c r="D1078" s="8">
        <v>44542</v>
      </c>
      <c r="E1078" t="s">
        <v>11</v>
      </c>
      <c r="F1078" t="s">
        <v>18</v>
      </c>
      <c r="G1078" t="s">
        <v>17</v>
      </c>
      <c r="H1078" s="9">
        <v>14</v>
      </c>
      <c r="I1078" s="9">
        <v>490</v>
      </c>
      <c r="J1078" s="10">
        <v>122500</v>
      </c>
      <c r="K1078" s="10">
        <v>53900</v>
      </c>
      <c r="L1078">
        <v>51</v>
      </c>
      <c r="M1078" s="8">
        <v>44470</v>
      </c>
      <c r="N1078" s="23">
        <v>6.1706364847823297E-4</v>
      </c>
      <c r="O1078" s="10" t="str">
        <f>IF(Sales_Data[[#This Row],[Total Profit]]&gt;0,"Profitable","Loss")</f>
        <v>Profitable</v>
      </c>
      <c r="P1078" s="10" t="str">
        <f>IF(Sales_Data[[#This Row],[Total Profit]]&gt;100000,"High Value",IF(Sales_Data[[#This Row],[Total Profit]]&gt;60000,"Medium","Low"))</f>
        <v>Low</v>
      </c>
      <c r="Q1078" s="11" t="str">
        <f>PROPER(Sales_Data[[#This Row],[Month Name]])</f>
        <v>Dezembro</v>
      </c>
      <c r="R1078" s="11" t="str">
        <f>PROPER(Sales_Data[[#This Row],[Sales Manager]])</f>
        <v>Jane Doe</v>
      </c>
    </row>
    <row r="1079" spans="1:18" hidden="1" x14ac:dyDescent="0.25">
      <c r="A1079">
        <v>11078</v>
      </c>
      <c r="B1079">
        <v>2021</v>
      </c>
      <c r="C1079" t="s">
        <v>77</v>
      </c>
      <c r="D1079" s="8">
        <v>44543</v>
      </c>
      <c r="E1079" t="s">
        <v>19</v>
      </c>
      <c r="F1079" t="s">
        <v>18</v>
      </c>
      <c r="G1079" t="s">
        <v>17</v>
      </c>
      <c r="H1079" s="9">
        <v>7</v>
      </c>
      <c r="I1079" s="9">
        <v>92</v>
      </c>
      <c r="J1079" s="10">
        <v>23000</v>
      </c>
      <c r="K1079" s="10">
        <v>5750</v>
      </c>
      <c r="L1079">
        <v>51</v>
      </c>
      <c r="M1079" s="8">
        <v>44470</v>
      </c>
      <c r="N1079" s="23">
        <v>1.1585684828570899E-4</v>
      </c>
      <c r="O1079" s="10" t="str">
        <f>IF(Sales_Data[[#This Row],[Total Profit]]&gt;0,"Profitable","Loss")</f>
        <v>Profitable</v>
      </c>
      <c r="P1079" s="10" t="str">
        <f>IF(Sales_Data[[#This Row],[Total Profit]]&gt;100000,"High Value",IF(Sales_Data[[#This Row],[Total Profit]]&gt;60000,"Medium","Low"))</f>
        <v>Low</v>
      </c>
      <c r="Q1079" s="11" t="str">
        <f>PROPER(Sales_Data[[#This Row],[Month Name]])</f>
        <v>Dezembro</v>
      </c>
      <c r="R1079" s="11" t="str">
        <f>PROPER(Sales_Data[[#This Row],[Sales Manager]])</f>
        <v>Jane Doe</v>
      </c>
    </row>
    <row r="1080" spans="1:18" hidden="1" x14ac:dyDescent="0.25">
      <c r="A1080">
        <v>11079</v>
      </c>
      <c r="B1080">
        <v>2021</v>
      </c>
      <c r="C1080" t="s">
        <v>77</v>
      </c>
      <c r="D1080" s="8">
        <v>44544</v>
      </c>
      <c r="E1080" t="s">
        <v>19</v>
      </c>
      <c r="F1080" t="s">
        <v>21</v>
      </c>
      <c r="G1080" t="s">
        <v>20</v>
      </c>
      <c r="H1080" s="9">
        <v>29</v>
      </c>
      <c r="I1080" s="9">
        <v>366</v>
      </c>
      <c r="J1080" s="10">
        <v>311100</v>
      </c>
      <c r="K1080" s="10">
        <v>83997</v>
      </c>
      <c r="L1080">
        <v>51</v>
      </c>
      <c r="M1080" s="8">
        <v>44470</v>
      </c>
      <c r="N1080" s="23">
        <v>1.56708980442105E-3</v>
      </c>
      <c r="O1080" s="10" t="str">
        <f>IF(Sales_Data[[#This Row],[Total Profit]]&gt;0,"Profitable","Loss")</f>
        <v>Profitable</v>
      </c>
      <c r="P1080" s="10" t="str">
        <f>IF(Sales_Data[[#This Row],[Total Profit]]&gt;100000,"High Value",IF(Sales_Data[[#This Row],[Total Profit]]&gt;60000,"Medium","Low"))</f>
        <v>Medium</v>
      </c>
      <c r="Q1080" s="11" t="str">
        <f>PROPER(Sales_Data[[#This Row],[Month Name]])</f>
        <v>Dezembro</v>
      </c>
      <c r="R1080" s="11" t="str">
        <f>PROPER(Sales_Data[[#This Row],[Sales Manager]])</f>
        <v>John Smith</v>
      </c>
    </row>
    <row r="1081" spans="1:18" hidden="1" x14ac:dyDescent="0.25">
      <c r="A1081">
        <v>11080</v>
      </c>
      <c r="B1081">
        <v>2021</v>
      </c>
      <c r="C1081" t="s">
        <v>77</v>
      </c>
      <c r="D1081" s="8">
        <v>44545</v>
      </c>
      <c r="E1081" t="s">
        <v>22</v>
      </c>
      <c r="F1081" t="s">
        <v>12</v>
      </c>
      <c r="G1081" t="s">
        <v>15</v>
      </c>
      <c r="H1081" s="9">
        <v>13</v>
      </c>
      <c r="I1081" s="9">
        <v>225</v>
      </c>
      <c r="J1081" s="10">
        <v>112500</v>
      </c>
      <c r="K1081" s="10">
        <v>32624.999999999996</v>
      </c>
      <c r="L1081">
        <v>51</v>
      </c>
      <c r="M1081" s="8">
        <v>44470</v>
      </c>
      <c r="N1081" s="23">
        <v>5.6669110574531596E-4</v>
      </c>
      <c r="O1081" s="10" t="str">
        <f>IF(Sales_Data[[#This Row],[Total Profit]]&gt;0,"Profitable","Loss")</f>
        <v>Profitable</v>
      </c>
      <c r="P1081" s="10" t="str">
        <f>IF(Sales_Data[[#This Row],[Total Profit]]&gt;100000,"High Value",IF(Sales_Data[[#This Row],[Total Profit]]&gt;60000,"Medium","Low"))</f>
        <v>Low</v>
      </c>
      <c r="Q1081" s="11" t="str">
        <f>PROPER(Sales_Data[[#This Row],[Month Name]])</f>
        <v>Dezembro</v>
      </c>
      <c r="R1081" s="11" t="str">
        <f>PROPER(Sales_Data[[#This Row],[Sales Manager]])</f>
        <v>Emily White</v>
      </c>
    </row>
    <row r="1082" spans="1:18" hidden="1" x14ac:dyDescent="0.25">
      <c r="A1082">
        <v>11081</v>
      </c>
      <c r="B1082">
        <v>2021</v>
      </c>
      <c r="C1082" t="s">
        <v>77</v>
      </c>
      <c r="D1082" s="8">
        <v>44546</v>
      </c>
      <c r="E1082" t="s">
        <v>14</v>
      </c>
      <c r="F1082" t="s">
        <v>18</v>
      </c>
      <c r="G1082" t="s">
        <v>23</v>
      </c>
      <c r="H1082" s="9">
        <v>24</v>
      </c>
      <c r="I1082" s="9">
        <v>340</v>
      </c>
      <c r="J1082" s="10">
        <v>119000</v>
      </c>
      <c r="K1082" s="10">
        <v>26180</v>
      </c>
      <c r="L1082">
        <v>51</v>
      </c>
      <c r="M1082" s="8">
        <v>44470</v>
      </c>
      <c r="N1082" s="23">
        <v>5.9943325852171198E-4</v>
      </c>
      <c r="O1082" s="10" t="str">
        <f>IF(Sales_Data[[#This Row],[Total Profit]]&gt;0,"Profitable","Loss")</f>
        <v>Profitable</v>
      </c>
      <c r="P1082" s="10" t="str">
        <f>IF(Sales_Data[[#This Row],[Total Profit]]&gt;100000,"High Value",IF(Sales_Data[[#This Row],[Total Profit]]&gt;60000,"Medium","Low"))</f>
        <v>Low</v>
      </c>
      <c r="Q1082" s="11" t="str">
        <f>PROPER(Sales_Data[[#This Row],[Month Name]])</f>
        <v>Dezembro</v>
      </c>
      <c r="R1082" s="11" t="str">
        <f>PROPER(Sales_Data[[#This Row],[Sales Manager]])</f>
        <v>Jane Doe</v>
      </c>
    </row>
    <row r="1083" spans="1:18" hidden="1" x14ac:dyDescent="0.25">
      <c r="A1083">
        <v>11082</v>
      </c>
      <c r="B1083">
        <v>2021</v>
      </c>
      <c r="C1083" t="s">
        <v>77</v>
      </c>
      <c r="D1083" s="8">
        <v>44547</v>
      </c>
      <c r="E1083" t="s">
        <v>11</v>
      </c>
      <c r="F1083" t="s">
        <v>16</v>
      </c>
      <c r="G1083" t="s">
        <v>13</v>
      </c>
      <c r="H1083" s="9">
        <v>37</v>
      </c>
      <c r="I1083" s="9">
        <v>416</v>
      </c>
      <c r="J1083" s="10">
        <v>312000</v>
      </c>
      <c r="K1083" s="10">
        <v>102960</v>
      </c>
      <c r="L1083">
        <v>51</v>
      </c>
      <c r="M1083" s="8">
        <v>44470</v>
      </c>
      <c r="N1083" s="23">
        <v>1.57162333326701E-3</v>
      </c>
      <c r="O1083" s="10" t="str">
        <f>IF(Sales_Data[[#This Row],[Total Profit]]&gt;0,"Profitable","Loss")</f>
        <v>Profitable</v>
      </c>
      <c r="P1083" s="10" t="str">
        <f>IF(Sales_Data[[#This Row],[Total Profit]]&gt;100000,"High Value",IF(Sales_Data[[#This Row],[Total Profit]]&gt;60000,"Medium","Low"))</f>
        <v>High Value</v>
      </c>
      <c r="Q1083" s="11" t="str">
        <f>PROPER(Sales_Data[[#This Row],[Month Name]])</f>
        <v>Dezembro</v>
      </c>
      <c r="R1083" s="11" t="str">
        <f>PROPER(Sales_Data[[#This Row],[Sales Manager]])</f>
        <v>James Brown</v>
      </c>
    </row>
    <row r="1084" spans="1:18" hidden="1" x14ac:dyDescent="0.25">
      <c r="A1084">
        <v>11083</v>
      </c>
      <c r="B1084">
        <v>2021</v>
      </c>
      <c r="C1084" t="s">
        <v>77</v>
      </c>
      <c r="D1084" s="8">
        <v>44548</v>
      </c>
      <c r="E1084" t="s">
        <v>14</v>
      </c>
      <c r="F1084" t="s">
        <v>12</v>
      </c>
      <c r="G1084" t="s">
        <v>20</v>
      </c>
      <c r="H1084" s="9">
        <v>7</v>
      </c>
      <c r="I1084" s="9">
        <v>166</v>
      </c>
      <c r="J1084" s="10">
        <v>141100</v>
      </c>
      <c r="K1084" s="10">
        <v>35275</v>
      </c>
      <c r="L1084">
        <v>51</v>
      </c>
      <c r="M1084" s="8">
        <v>44470</v>
      </c>
      <c r="N1084" s="23">
        <v>7.1075657796145799E-4</v>
      </c>
      <c r="O1084" s="10" t="str">
        <f>IF(Sales_Data[[#This Row],[Total Profit]]&gt;0,"Profitable","Loss")</f>
        <v>Profitable</v>
      </c>
      <c r="P1084" s="10" t="str">
        <f>IF(Sales_Data[[#This Row],[Total Profit]]&gt;100000,"High Value",IF(Sales_Data[[#This Row],[Total Profit]]&gt;60000,"Medium","Low"))</f>
        <v>Low</v>
      </c>
      <c r="Q1084" s="11" t="str">
        <f>PROPER(Sales_Data[[#This Row],[Month Name]])</f>
        <v>Dezembro</v>
      </c>
      <c r="R1084" s="11" t="str">
        <f>PROPER(Sales_Data[[#This Row],[Sales Manager]])</f>
        <v>Emily White</v>
      </c>
    </row>
    <row r="1085" spans="1:18" hidden="1" x14ac:dyDescent="0.25">
      <c r="A1085">
        <v>11084</v>
      </c>
      <c r="B1085">
        <v>2021</v>
      </c>
      <c r="C1085" t="s">
        <v>77</v>
      </c>
      <c r="D1085" s="8">
        <v>44549</v>
      </c>
      <c r="E1085" t="s">
        <v>22</v>
      </c>
      <c r="F1085" t="s">
        <v>18</v>
      </c>
      <c r="G1085" t="s">
        <v>17</v>
      </c>
      <c r="H1085" s="9">
        <v>12</v>
      </c>
      <c r="I1085" s="9">
        <v>196</v>
      </c>
      <c r="J1085" s="10">
        <v>49000</v>
      </c>
      <c r="K1085" s="10">
        <v>19600</v>
      </c>
      <c r="L1085">
        <v>52</v>
      </c>
      <c r="M1085" s="8">
        <v>44470</v>
      </c>
      <c r="N1085" s="23">
        <v>2.4682545939129301E-4</v>
      </c>
      <c r="O1085" s="10" t="str">
        <f>IF(Sales_Data[[#This Row],[Total Profit]]&gt;0,"Profitable","Loss")</f>
        <v>Profitable</v>
      </c>
      <c r="P1085" s="10" t="str">
        <f>IF(Sales_Data[[#This Row],[Total Profit]]&gt;100000,"High Value",IF(Sales_Data[[#This Row],[Total Profit]]&gt;60000,"Medium","Low"))</f>
        <v>Low</v>
      </c>
      <c r="Q1085" s="11" t="str">
        <f>PROPER(Sales_Data[[#This Row],[Month Name]])</f>
        <v>Dezembro</v>
      </c>
      <c r="R1085" s="11" t="str">
        <f>PROPER(Sales_Data[[#This Row],[Sales Manager]])</f>
        <v>Jane Doe</v>
      </c>
    </row>
    <row r="1086" spans="1:18" hidden="1" x14ac:dyDescent="0.25">
      <c r="A1086">
        <v>11085</v>
      </c>
      <c r="B1086">
        <v>2021</v>
      </c>
      <c r="C1086" t="s">
        <v>77</v>
      </c>
      <c r="D1086" s="8">
        <v>44550</v>
      </c>
      <c r="E1086" t="s">
        <v>14</v>
      </c>
      <c r="F1086" t="s">
        <v>16</v>
      </c>
      <c r="G1086" t="s">
        <v>17</v>
      </c>
      <c r="H1086" s="9">
        <v>3</v>
      </c>
      <c r="I1086" s="9">
        <v>51</v>
      </c>
      <c r="J1086" s="10">
        <v>12750</v>
      </c>
      <c r="K1086" s="10">
        <v>1785.0000000000002</v>
      </c>
      <c r="L1086">
        <v>52</v>
      </c>
      <c r="M1086" s="8">
        <v>44470</v>
      </c>
      <c r="N1086" s="23">
        <v>6.4224991984469096E-5</v>
      </c>
      <c r="O1086" s="10" t="str">
        <f>IF(Sales_Data[[#This Row],[Total Profit]]&gt;0,"Profitable","Loss")</f>
        <v>Profitable</v>
      </c>
      <c r="P1086" s="10" t="str">
        <f>IF(Sales_Data[[#This Row],[Total Profit]]&gt;100000,"High Value",IF(Sales_Data[[#This Row],[Total Profit]]&gt;60000,"Medium","Low"))</f>
        <v>Low</v>
      </c>
      <c r="Q1086" s="11" t="str">
        <f>PROPER(Sales_Data[[#This Row],[Month Name]])</f>
        <v>Dezembro</v>
      </c>
      <c r="R1086" s="11" t="str">
        <f>PROPER(Sales_Data[[#This Row],[Sales Manager]])</f>
        <v>James Brown</v>
      </c>
    </row>
    <row r="1087" spans="1:18" hidden="1" x14ac:dyDescent="0.25">
      <c r="A1087">
        <v>11086</v>
      </c>
      <c r="B1087">
        <v>2021</v>
      </c>
      <c r="C1087" t="s">
        <v>77</v>
      </c>
      <c r="D1087" s="8">
        <v>44551</v>
      </c>
      <c r="E1087" t="s">
        <v>25</v>
      </c>
      <c r="F1087" t="s">
        <v>21</v>
      </c>
      <c r="G1087" t="s">
        <v>23</v>
      </c>
      <c r="H1087" s="9">
        <v>9</v>
      </c>
      <c r="I1087" s="9">
        <v>333</v>
      </c>
      <c r="J1087" s="10">
        <v>116550</v>
      </c>
      <c r="K1087" s="10">
        <v>26806.5</v>
      </c>
      <c r="L1087">
        <v>52</v>
      </c>
      <c r="M1087" s="8">
        <v>44470</v>
      </c>
      <c r="N1087" s="23">
        <v>5.8709198555214703E-4</v>
      </c>
      <c r="O1087" s="10" t="str">
        <f>IF(Sales_Data[[#This Row],[Total Profit]]&gt;0,"Profitable","Loss")</f>
        <v>Profitable</v>
      </c>
      <c r="P1087" s="10" t="str">
        <f>IF(Sales_Data[[#This Row],[Total Profit]]&gt;100000,"High Value",IF(Sales_Data[[#This Row],[Total Profit]]&gt;60000,"Medium","Low"))</f>
        <v>Low</v>
      </c>
      <c r="Q1087" s="11" t="str">
        <f>PROPER(Sales_Data[[#This Row],[Month Name]])</f>
        <v>Dezembro</v>
      </c>
      <c r="R1087" s="11" t="str">
        <f>PROPER(Sales_Data[[#This Row],[Sales Manager]])</f>
        <v>John Smith</v>
      </c>
    </row>
    <row r="1088" spans="1:18" hidden="1" x14ac:dyDescent="0.25">
      <c r="A1088">
        <v>11087</v>
      </c>
      <c r="B1088">
        <v>2021</v>
      </c>
      <c r="C1088" t="s">
        <v>77</v>
      </c>
      <c r="D1088" s="8">
        <v>44552</v>
      </c>
      <c r="E1088" t="s">
        <v>14</v>
      </c>
      <c r="F1088" t="s">
        <v>12</v>
      </c>
      <c r="G1088" t="s">
        <v>23</v>
      </c>
      <c r="H1088" s="9">
        <v>5</v>
      </c>
      <c r="I1088" s="9">
        <v>182</v>
      </c>
      <c r="J1088" s="10">
        <v>63700</v>
      </c>
      <c r="K1088" s="10">
        <v>10192</v>
      </c>
      <c r="L1088">
        <v>52</v>
      </c>
      <c r="M1088" s="8">
        <v>44470</v>
      </c>
      <c r="N1088" s="23">
        <v>3.2087309720868099E-4</v>
      </c>
      <c r="O1088" s="10" t="str">
        <f>IF(Sales_Data[[#This Row],[Total Profit]]&gt;0,"Profitable","Loss")</f>
        <v>Profitable</v>
      </c>
      <c r="P1088" s="10" t="str">
        <f>IF(Sales_Data[[#This Row],[Total Profit]]&gt;100000,"High Value",IF(Sales_Data[[#This Row],[Total Profit]]&gt;60000,"Medium","Low"))</f>
        <v>Low</v>
      </c>
      <c r="Q1088" s="11" t="str">
        <f>PROPER(Sales_Data[[#This Row],[Month Name]])</f>
        <v>Dezembro</v>
      </c>
      <c r="R1088" s="11" t="str">
        <f>PROPER(Sales_Data[[#This Row],[Sales Manager]])</f>
        <v>Emily White</v>
      </c>
    </row>
    <row r="1089" spans="1:18" hidden="1" x14ac:dyDescent="0.25">
      <c r="A1089">
        <v>11088</v>
      </c>
      <c r="B1089">
        <v>2021</v>
      </c>
      <c r="C1089" t="s">
        <v>77</v>
      </c>
      <c r="D1089" s="8">
        <v>44553</v>
      </c>
      <c r="E1089" t="s">
        <v>22</v>
      </c>
      <c r="F1089" t="s">
        <v>21</v>
      </c>
      <c r="G1089" t="s">
        <v>15</v>
      </c>
      <c r="H1089" s="9">
        <v>15</v>
      </c>
      <c r="I1089" s="9">
        <v>348</v>
      </c>
      <c r="J1089" s="10">
        <v>174000</v>
      </c>
      <c r="K1089" s="10">
        <v>53940</v>
      </c>
      <c r="L1089">
        <v>52</v>
      </c>
      <c r="M1089" s="8">
        <v>44470</v>
      </c>
      <c r="N1089" s="23">
        <v>8.7648224355275505E-4</v>
      </c>
      <c r="O1089" s="10" t="str">
        <f>IF(Sales_Data[[#This Row],[Total Profit]]&gt;0,"Profitable","Loss")</f>
        <v>Profitable</v>
      </c>
      <c r="P1089" s="10" t="str">
        <f>IF(Sales_Data[[#This Row],[Total Profit]]&gt;100000,"High Value",IF(Sales_Data[[#This Row],[Total Profit]]&gt;60000,"Medium","Low"))</f>
        <v>Low</v>
      </c>
      <c r="Q1089" s="11" t="str">
        <f>PROPER(Sales_Data[[#This Row],[Month Name]])</f>
        <v>Dezembro</v>
      </c>
      <c r="R1089" s="11" t="str">
        <f>PROPER(Sales_Data[[#This Row],[Sales Manager]])</f>
        <v>John Smith</v>
      </c>
    </row>
    <row r="1090" spans="1:18" hidden="1" x14ac:dyDescent="0.25">
      <c r="A1090">
        <v>11089</v>
      </c>
      <c r="B1090">
        <v>2021</v>
      </c>
      <c r="C1090" t="s">
        <v>77</v>
      </c>
      <c r="D1090" s="8">
        <v>44554</v>
      </c>
      <c r="E1090" t="s">
        <v>19</v>
      </c>
      <c r="F1090" t="s">
        <v>21</v>
      </c>
      <c r="G1090" t="s">
        <v>20</v>
      </c>
      <c r="H1090" s="9">
        <v>5</v>
      </c>
      <c r="I1090" s="9">
        <v>89</v>
      </c>
      <c r="J1090" s="10">
        <v>75650</v>
      </c>
      <c r="K1090" s="10">
        <v>17399.5</v>
      </c>
      <c r="L1090">
        <v>52</v>
      </c>
      <c r="M1090" s="8">
        <v>44470</v>
      </c>
      <c r="N1090" s="23">
        <v>3.8106828577451698E-4</v>
      </c>
      <c r="O1090" s="10" t="str">
        <f>IF(Sales_Data[[#This Row],[Total Profit]]&gt;0,"Profitable","Loss")</f>
        <v>Profitable</v>
      </c>
      <c r="P1090" s="10" t="str">
        <f>IF(Sales_Data[[#This Row],[Total Profit]]&gt;100000,"High Value",IF(Sales_Data[[#This Row],[Total Profit]]&gt;60000,"Medium","Low"))</f>
        <v>Low</v>
      </c>
      <c r="Q1090" s="11" t="str">
        <f>PROPER(Sales_Data[[#This Row],[Month Name]])</f>
        <v>Dezembro</v>
      </c>
      <c r="R1090" s="11" t="str">
        <f>PROPER(Sales_Data[[#This Row],[Sales Manager]])</f>
        <v>John Smith</v>
      </c>
    </row>
    <row r="1091" spans="1:18" hidden="1" x14ac:dyDescent="0.25">
      <c r="A1091">
        <v>11090</v>
      </c>
      <c r="B1091">
        <v>2021</v>
      </c>
      <c r="C1091" t="s">
        <v>77</v>
      </c>
      <c r="D1091" s="8">
        <v>44555</v>
      </c>
      <c r="E1091" t="s">
        <v>11</v>
      </c>
      <c r="F1091" t="s">
        <v>12</v>
      </c>
      <c r="G1091" t="s">
        <v>23</v>
      </c>
      <c r="H1091" s="9">
        <v>4</v>
      </c>
      <c r="I1091" s="9">
        <v>143</v>
      </c>
      <c r="J1091" s="10">
        <v>50050</v>
      </c>
      <c r="K1091" s="10">
        <v>19019</v>
      </c>
      <c r="L1091">
        <v>52</v>
      </c>
      <c r="M1091" s="8">
        <v>44470</v>
      </c>
      <c r="N1091" s="23">
        <v>2.5211457637824901E-4</v>
      </c>
      <c r="O1091" s="10" t="str">
        <f>IF(Sales_Data[[#This Row],[Total Profit]]&gt;0,"Profitable","Loss")</f>
        <v>Profitable</v>
      </c>
      <c r="P1091" s="10" t="str">
        <f>IF(Sales_Data[[#This Row],[Total Profit]]&gt;100000,"High Value",IF(Sales_Data[[#This Row],[Total Profit]]&gt;60000,"Medium","Low"))</f>
        <v>Low</v>
      </c>
      <c r="Q1091" s="11" t="str">
        <f>PROPER(Sales_Data[[#This Row],[Month Name]])</f>
        <v>Dezembro</v>
      </c>
      <c r="R1091" s="11" t="str">
        <f>PROPER(Sales_Data[[#This Row],[Sales Manager]])</f>
        <v>Emily White</v>
      </c>
    </row>
    <row r="1092" spans="1:18" hidden="1" x14ac:dyDescent="0.25">
      <c r="A1092">
        <v>11091</v>
      </c>
      <c r="B1092">
        <v>2021</v>
      </c>
      <c r="C1092" t="s">
        <v>77</v>
      </c>
      <c r="D1092" s="8">
        <v>44556</v>
      </c>
      <c r="E1092" t="s">
        <v>14</v>
      </c>
      <c r="F1092" t="s">
        <v>24</v>
      </c>
      <c r="G1092" t="s">
        <v>15</v>
      </c>
      <c r="H1092" s="9">
        <v>1</v>
      </c>
      <c r="I1092" s="9">
        <v>60</v>
      </c>
      <c r="J1092" s="10">
        <v>30000</v>
      </c>
      <c r="K1092" s="10">
        <v>12900</v>
      </c>
      <c r="L1092">
        <v>53</v>
      </c>
      <c r="M1092" s="8">
        <v>44470</v>
      </c>
      <c r="N1092" s="23">
        <v>1.51117628198751E-4</v>
      </c>
      <c r="O1092" s="10" t="str">
        <f>IF(Sales_Data[[#This Row],[Total Profit]]&gt;0,"Profitable","Loss")</f>
        <v>Profitable</v>
      </c>
      <c r="P1092" s="10" t="str">
        <f>IF(Sales_Data[[#This Row],[Total Profit]]&gt;100000,"High Value",IF(Sales_Data[[#This Row],[Total Profit]]&gt;60000,"Medium","Low"))</f>
        <v>Low</v>
      </c>
      <c r="Q1092" s="11" t="str">
        <f>PROPER(Sales_Data[[#This Row],[Month Name]])</f>
        <v>Dezembro</v>
      </c>
      <c r="R1092" s="11" t="str">
        <f>PROPER(Sales_Data[[#This Row],[Sales Manager]])</f>
        <v>Liam Lee</v>
      </c>
    </row>
    <row r="1093" spans="1:18" hidden="1" x14ac:dyDescent="0.25">
      <c r="A1093">
        <v>11092</v>
      </c>
      <c r="B1093">
        <v>2021</v>
      </c>
      <c r="C1093" t="s">
        <v>77</v>
      </c>
      <c r="D1093" s="8">
        <v>44557</v>
      </c>
      <c r="E1093" t="s">
        <v>19</v>
      </c>
      <c r="F1093" t="s">
        <v>16</v>
      </c>
      <c r="G1093" t="s">
        <v>17</v>
      </c>
      <c r="H1093" s="9">
        <v>21</v>
      </c>
      <c r="I1093" s="9">
        <v>416</v>
      </c>
      <c r="J1093" s="10">
        <v>104000</v>
      </c>
      <c r="K1093" s="10">
        <v>37440</v>
      </c>
      <c r="L1093">
        <v>53</v>
      </c>
      <c r="M1093" s="8">
        <v>44470</v>
      </c>
      <c r="N1093" s="23">
        <v>5.2387444442233597E-4</v>
      </c>
      <c r="O1093" s="10" t="str">
        <f>IF(Sales_Data[[#This Row],[Total Profit]]&gt;0,"Profitable","Loss")</f>
        <v>Profitable</v>
      </c>
      <c r="P1093" s="10" t="str">
        <f>IF(Sales_Data[[#This Row],[Total Profit]]&gt;100000,"High Value",IF(Sales_Data[[#This Row],[Total Profit]]&gt;60000,"Medium","Low"))</f>
        <v>Low</v>
      </c>
      <c r="Q1093" s="11" t="str">
        <f>PROPER(Sales_Data[[#This Row],[Month Name]])</f>
        <v>Dezembro</v>
      </c>
      <c r="R1093" s="11" t="str">
        <f>PROPER(Sales_Data[[#This Row],[Sales Manager]])</f>
        <v>James Brown</v>
      </c>
    </row>
    <row r="1094" spans="1:18" hidden="1" x14ac:dyDescent="0.25">
      <c r="A1094">
        <v>11093</v>
      </c>
      <c r="B1094">
        <v>2021</v>
      </c>
      <c r="C1094" t="s">
        <v>77</v>
      </c>
      <c r="D1094" s="8">
        <v>44558</v>
      </c>
      <c r="E1094" t="s">
        <v>25</v>
      </c>
      <c r="F1094" t="s">
        <v>16</v>
      </c>
      <c r="G1094" t="s">
        <v>15</v>
      </c>
      <c r="H1094" s="9">
        <v>7</v>
      </c>
      <c r="I1094" s="9">
        <v>91</v>
      </c>
      <c r="J1094" s="10">
        <v>45500</v>
      </c>
      <c r="K1094" s="10">
        <v>9100</v>
      </c>
      <c r="L1094">
        <v>53</v>
      </c>
      <c r="M1094" s="8">
        <v>44470</v>
      </c>
      <c r="N1094" s="23">
        <v>2.29195069434772E-4</v>
      </c>
      <c r="O1094" s="10" t="str">
        <f>IF(Sales_Data[[#This Row],[Total Profit]]&gt;0,"Profitable","Loss")</f>
        <v>Profitable</v>
      </c>
      <c r="P1094" s="10" t="str">
        <f>IF(Sales_Data[[#This Row],[Total Profit]]&gt;100000,"High Value",IF(Sales_Data[[#This Row],[Total Profit]]&gt;60000,"Medium","Low"))</f>
        <v>Low</v>
      </c>
      <c r="Q1094" s="11" t="str">
        <f>PROPER(Sales_Data[[#This Row],[Month Name]])</f>
        <v>Dezembro</v>
      </c>
      <c r="R1094" s="11" t="str">
        <f>PROPER(Sales_Data[[#This Row],[Sales Manager]])</f>
        <v>James Brown</v>
      </c>
    </row>
    <row r="1095" spans="1:18" hidden="1" x14ac:dyDescent="0.25">
      <c r="A1095">
        <v>11094</v>
      </c>
      <c r="B1095">
        <v>2021</v>
      </c>
      <c r="C1095" t="s">
        <v>77</v>
      </c>
      <c r="D1095" s="8">
        <v>44559</v>
      </c>
      <c r="E1095" t="s">
        <v>14</v>
      </c>
      <c r="F1095" t="s">
        <v>24</v>
      </c>
      <c r="G1095" t="s">
        <v>20</v>
      </c>
      <c r="H1095" s="9">
        <v>9</v>
      </c>
      <c r="I1095" s="9">
        <v>92</v>
      </c>
      <c r="J1095" s="10">
        <v>78200</v>
      </c>
      <c r="K1095" s="10">
        <v>17986</v>
      </c>
      <c r="L1095">
        <v>53</v>
      </c>
      <c r="M1095" s="8">
        <v>44470</v>
      </c>
      <c r="N1095" s="23">
        <v>3.9391328417141098E-4</v>
      </c>
      <c r="O1095" s="10" t="str">
        <f>IF(Sales_Data[[#This Row],[Total Profit]]&gt;0,"Profitable","Loss")</f>
        <v>Profitable</v>
      </c>
      <c r="P1095" s="10" t="str">
        <f>IF(Sales_Data[[#This Row],[Total Profit]]&gt;100000,"High Value",IF(Sales_Data[[#This Row],[Total Profit]]&gt;60000,"Medium","Low"))</f>
        <v>Low</v>
      </c>
      <c r="Q1095" s="11" t="str">
        <f>PROPER(Sales_Data[[#This Row],[Month Name]])</f>
        <v>Dezembro</v>
      </c>
      <c r="R1095" s="11" t="str">
        <f>PROPER(Sales_Data[[#This Row],[Sales Manager]])</f>
        <v>Liam Lee</v>
      </c>
    </row>
    <row r="1096" spans="1:18" hidden="1" x14ac:dyDescent="0.25">
      <c r="A1096">
        <v>11095</v>
      </c>
      <c r="B1096">
        <v>2021</v>
      </c>
      <c r="C1096" t="s">
        <v>77</v>
      </c>
      <c r="D1096" s="8">
        <v>44560</v>
      </c>
      <c r="E1096" t="s">
        <v>22</v>
      </c>
      <c r="F1096" t="s">
        <v>12</v>
      </c>
      <c r="G1096" t="s">
        <v>23</v>
      </c>
      <c r="H1096" s="9">
        <v>5</v>
      </c>
      <c r="I1096" s="9">
        <v>249</v>
      </c>
      <c r="J1096" s="10">
        <v>87150</v>
      </c>
      <c r="K1096" s="10">
        <v>34860</v>
      </c>
      <c r="L1096">
        <v>53</v>
      </c>
      <c r="M1096" s="8">
        <v>44470</v>
      </c>
      <c r="N1096" s="23">
        <v>4.3899670991737102E-4</v>
      </c>
      <c r="O1096" s="10" t="str">
        <f>IF(Sales_Data[[#This Row],[Total Profit]]&gt;0,"Profitable","Loss")</f>
        <v>Profitable</v>
      </c>
      <c r="P1096" s="10" t="str">
        <f>IF(Sales_Data[[#This Row],[Total Profit]]&gt;100000,"High Value",IF(Sales_Data[[#This Row],[Total Profit]]&gt;60000,"Medium","Low"))</f>
        <v>Low</v>
      </c>
      <c r="Q1096" s="11" t="str">
        <f>PROPER(Sales_Data[[#This Row],[Month Name]])</f>
        <v>Dezembro</v>
      </c>
      <c r="R1096" s="11" t="str">
        <f>PROPER(Sales_Data[[#This Row],[Sales Manager]])</f>
        <v>Emily White</v>
      </c>
    </row>
    <row r="1097" spans="1:18" hidden="1" x14ac:dyDescent="0.25">
      <c r="A1097">
        <v>11096</v>
      </c>
      <c r="B1097">
        <v>2021</v>
      </c>
      <c r="C1097" t="s">
        <v>77</v>
      </c>
      <c r="D1097" s="8">
        <v>44561</v>
      </c>
      <c r="E1097" t="s">
        <v>22</v>
      </c>
      <c r="F1097" t="s">
        <v>16</v>
      </c>
      <c r="G1097" t="s">
        <v>13</v>
      </c>
      <c r="H1097" s="9">
        <v>12</v>
      </c>
      <c r="I1097" s="9">
        <v>435</v>
      </c>
      <c r="J1097" s="10">
        <v>326250</v>
      </c>
      <c r="K1097" s="10">
        <v>114187.5</v>
      </c>
      <c r="L1097">
        <v>53</v>
      </c>
      <c r="M1097" s="8">
        <v>44470</v>
      </c>
      <c r="N1097" s="23">
        <v>1.64340420666142E-3</v>
      </c>
      <c r="O1097" s="10" t="str">
        <f>IF(Sales_Data[[#This Row],[Total Profit]]&gt;0,"Profitable","Loss")</f>
        <v>Profitable</v>
      </c>
      <c r="P1097" s="10" t="str">
        <f>IF(Sales_Data[[#This Row],[Total Profit]]&gt;100000,"High Value",IF(Sales_Data[[#This Row],[Total Profit]]&gt;60000,"Medium","Low"))</f>
        <v>High Value</v>
      </c>
      <c r="Q1097" s="11" t="str">
        <f>PROPER(Sales_Data[[#This Row],[Month Name]])</f>
        <v>Dezembro</v>
      </c>
      <c r="R1097" s="11" t="str">
        <f>PROPER(Sales_Data[[#This Row],[Sales Manager]])</f>
        <v>James Brown</v>
      </c>
    </row>
    <row r="1098" spans="1:18" x14ac:dyDescent="0.25">
      <c r="A1098">
        <v>11097</v>
      </c>
      <c r="B1098">
        <v>2022</v>
      </c>
      <c r="C1098" t="s">
        <v>66</v>
      </c>
      <c r="D1098" s="8">
        <v>44562</v>
      </c>
      <c r="E1098" t="s">
        <v>11</v>
      </c>
      <c r="F1098" t="s">
        <v>24</v>
      </c>
      <c r="G1098" t="s">
        <v>15</v>
      </c>
      <c r="H1098" s="9">
        <v>3</v>
      </c>
      <c r="I1098" s="9">
        <v>235</v>
      </c>
      <c r="J1098" s="10">
        <v>117500</v>
      </c>
      <c r="K1098" s="10">
        <v>28200</v>
      </c>
      <c r="L1098">
        <v>1</v>
      </c>
      <c r="M1098" s="8">
        <v>44562</v>
      </c>
      <c r="N1098" s="23">
        <v>5.9187737711177398E-4</v>
      </c>
      <c r="O1098" s="10" t="str">
        <f>IF(Sales_Data[[#This Row],[Total Profit]]&gt;0,"Profitable","Loss")</f>
        <v>Profitable</v>
      </c>
      <c r="P1098" s="10" t="str">
        <f>IF(Sales_Data[[#This Row],[Total Profit]]&gt;100000,"High Value",IF(Sales_Data[[#This Row],[Total Profit]]&gt;60000,"Medium","Low"))</f>
        <v>Low</v>
      </c>
      <c r="Q1098" s="11" t="str">
        <f>PROPER(Sales_Data[[#This Row],[Month Name]])</f>
        <v>Janeiro</v>
      </c>
      <c r="R1098" s="11" t="str">
        <f>PROPER(Sales_Data[[#This Row],[Sales Manager]])</f>
        <v>Liam Lee</v>
      </c>
    </row>
    <row r="1099" spans="1:18" x14ac:dyDescent="0.25">
      <c r="A1099">
        <v>11098</v>
      </c>
      <c r="B1099">
        <v>2022</v>
      </c>
      <c r="C1099" t="s">
        <v>66</v>
      </c>
      <c r="D1099" s="8">
        <v>44563</v>
      </c>
      <c r="E1099" t="s">
        <v>19</v>
      </c>
      <c r="F1099" t="s">
        <v>12</v>
      </c>
      <c r="G1099" t="s">
        <v>13</v>
      </c>
      <c r="H1099" s="9">
        <v>12</v>
      </c>
      <c r="I1099" s="9">
        <v>175</v>
      </c>
      <c r="J1099" s="10">
        <v>131250</v>
      </c>
      <c r="K1099" s="10">
        <v>59062.5</v>
      </c>
      <c r="L1099">
        <v>2</v>
      </c>
      <c r="M1099" s="8">
        <v>44562</v>
      </c>
      <c r="N1099" s="23">
        <v>6.6113962336953496E-4</v>
      </c>
      <c r="O1099" s="10" t="str">
        <f>IF(Sales_Data[[#This Row],[Total Profit]]&gt;0,"Profitable","Loss")</f>
        <v>Profitable</v>
      </c>
      <c r="P1099" s="10" t="str">
        <f>IF(Sales_Data[[#This Row],[Total Profit]]&gt;100000,"High Value",IF(Sales_Data[[#This Row],[Total Profit]]&gt;60000,"Medium","Low"))</f>
        <v>Low</v>
      </c>
      <c r="Q1099" s="11" t="str">
        <f>PROPER(Sales_Data[[#This Row],[Month Name]])</f>
        <v>Janeiro</v>
      </c>
      <c r="R1099" s="11" t="str">
        <f>PROPER(Sales_Data[[#This Row],[Sales Manager]])</f>
        <v>Emily White</v>
      </c>
    </row>
    <row r="1100" spans="1:18" x14ac:dyDescent="0.25">
      <c r="A1100">
        <v>11099</v>
      </c>
      <c r="B1100">
        <v>2022</v>
      </c>
      <c r="C1100" t="s">
        <v>66</v>
      </c>
      <c r="D1100" s="8">
        <v>44564</v>
      </c>
      <c r="E1100" t="s">
        <v>11</v>
      </c>
      <c r="F1100" t="s">
        <v>24</v>
      </c>
      <c r="G1100" t="s">
        <v>23</v>
      </c>
      <c r="H1100" s="9">
        <v>23</v>
      </c>
      <c r="I1100" s="9">
        <v>266</v>
      </c>
      <c r="J1100" s="10">
        <v>93100</v>
      </c>
      <c r="K1100" s="10">
        <v>29792</v>
      </c>
      <c r="L1100">
        <v>2</v>
      </c>
      <c r="M1100" s="8">
        <v>44562</v>
      </c>
      <c r="N1100" s="23">
        <v>4.6896837284345701E-4</v>
      </c>
      <c r="O1100" s="10" t="str">
        <f>IF(Sales_Data[[#This Row],[Total Profit]]&gt;0,"Profitable","Loss")</f>
        <v>Profitable</v>
      </c>
      <c r="P1100" s="10" t="str">
        <f>IF(Sales_Data[[#This Row],[Total Profit]]&gt;100000,"High Value",IF(Sales_Data[[#This Row],[Total Profit]]&gt;60000,"Medium","Low"))</f>
        <v>Low</v>
      </c>
      <c r="Q1100" s="11" t="str">
        <f>PROPER(Sales_Data[[#This Row],[Month Name]])</f>
        <v>Janeiro</v>
      </c>
      <c r="R1100" s="11" t="str">
        <f>PROPER(Sales_Data[[#This Row],[Sales Manager]])</f>
        <v>Liam Lee</v>
      </c>
    </row>
    <row r="1101" spans="1:18" x14ac:dyDescent="0.25">
      <c r="A1101">
        <v>11100</v>
      </c>
      <c r="B1101">
        <v>2022</v>
      </c>
      <c r="C1101" t="s">
        <v>66</v>
      </c>
      <c r="D1101" s="8">
        <v>44565</v>
      </c>
      <c r="E1101" t="s">
        <v>25</v>
      </c>
      <c r="F1101" t="s">
        <v>18</v>
      </c>
      <c r="G1101" t="s">
        <v>17</v>
      </c>
      <c r="H1101" s="9">
        <v>32</v>
      </c>
      <c r="I1101" s="9">
        <v>499</v>
      </c>
      <c r="J1101" s="10">
        <v>124750</v>
      </c>
      <c r="K1101" s="10">
        <v>23702.5</v>
      </c>
      <c r="L1101">
        <v>2</v>
      </c>
      <c r="M1101" s="8">
        <v>44562</v>
      </c>
      <c r="N1101" s="23">
        <v>6.2839747059313905E-4</v>
      </c>
      <c r="O1101" s="10" t="str">
        <f>IF(Sales_Data[[#This Row],[Total Profit]]&gt;0,"Profitable","Loss")</f>
        <v>Profitable</v>
      </c>
      <c r="P1101" s="10" t="str">
        <f>IF(Sales_Data[[#This Row],[Total Profit]]&gt;100000,"High Value",IF(Sales_Data[[#This Row],[Total Profit]]&gt;60000,"Medium","Low"))</f>
        <v>Low</v>
      </c>
      <c r="Q1101" s="11" t="str">
        <f>PROPER(Sales_Data[[#This Row],[Month Name]])</f>
        <v>Janeiro</v>
      </c>
      <c r="R1101" s="11" t="str">
        <f>PROPER(Sales_Data[[#This Row],[Sales Manager]])</f>
        <v>Jane Doe</v>
      </c>
    </row>
    <row r="1102" spans="1:18" x14ac:dyDescent="0.25">
      <c r="A1102">
        <v>11101</v>
      </c>
      <c r="B1102">
        <v>2022</v>
      </c>
      <c r="C1102" t="s">
        <v>66</v>
      </c>
      <c r="D1102" s="8">
        <v>44566</v>
      </c>
      <c r="E1102" t="s">
        <v>25</v>
      </c>
      <c r="F1102" t="s">
        <v>16</v>
      </c>
      <c r="G1102" t="s">
        <v>15</v>
      </c>
      <c r="H1102" s="9">
        <v>4</v>
      </c>
      <c r="I1102" s="9">
        <v>66</v>
      </c>
      <c r="J1102" s="10">
        <v>33000</v>
      </c>
      <c r="K1102" s="10">
        <v>8910</v>
      </c>
      <c r="L1102">
        <v>2</v>
      </c>
      <c r="M1102" s="8">
        <v>44562</v>
      </c>
      <c r="N1102" s="23">
        <v>1.66229391018626E-4</v>
      </c>
      <c r="O1102" s="10" t="str">
        <f>IF(Sales_Data[[#This Row],[Total Profit]]&gt;0,"Profitable","Loss")</f>
        <v>Profitable</v>
      </c>
      <c r="P1102" s="10" t="str">
        <f>IF(Sales_Data[[#This Row],[Total Profit]]&gt;100000,"High Value",IF(Sales_Data[[#This Row],[Total Profit]]&gt;60000,"Medium","Low"))</f>
        <v>Low</v>
      </c>
      <c r="Q1102" s="11" t="str">
        <f>PROPER(Sales_Data[[#This Row],[Month Name]])</f>
        <v>Janeiro</v>
      </c>
      <c r="R1102" s="11" t="str">
        <f>PROPER(Sales_Data[[#This Row],[Sales Manager]])</f>
        <v>James Brown</v>
      </c>
    </row>
    <row r="1103" spans="1:18" x14ac:dyDescent="0.25">
      <c r="A1103">
        <v>11102</v>
      </c>
      <c r="B1103">
        <v>2022</v>
      </c>
      <c r="C1103" t="s">
        <v>66</v>
      </c>
      <c r="D1103" s="8">
        <v>44567</v>
      </c>
      <c r="E1103" t="s">
        <v>22</v>
      </c>
      <c r="F1103" t="s">
        <v>18</v>
      </c>
      <c r="G1103" t="s">
        <v>17</v>
      </c>
      <c r="H1103" s="9">
        <v>38</v>
      </c>
      <c r="I1103" s="9">
        <v>437</v>
      </c>
      <c r="J1103" s="10">
        <v>109250</v>
      </c>
      <c r="K1103" s="10">
        <v>33867.5</v>
      </c>
      <c r="L1103">
        <v>2</v>
      </c>
      <c r="M1103" s="8">
        <v>44562</v>
      </c>
      <c r="N1103" s="23">
        <v>5.5032002935711795E-4</v>
      </c>
      <c r="O1103" s="10" t="str">
        <f>IF(Sales_Data[[#This Row],[Total Profit]]&gt;0,"Profitable","Loss")</f>
        <v>Profitable</v>
      </c>
      <c r="P1103" s="10" t="str">
        <f>IF(Sales_Data[[#This Row],[Total Profit]]&gt;100000,"High Value",IF(Sales_Data[[#This Row],[Total Profit]]&gt;60000,"Medium","Low"))</f>
        <v>Low</v>
      </c>
      <c r="Q1103" s="11" t="str">
        <f>PROPER(Sales_Data[[#This Row],[Month Name]])</f>
        <v>Janeiro</v>
      </c>
      <c r="R1103" s="11" t="str">
        <f>PROPER(Sales_Data[[#This Row],[Sales Manager]])</f>
        <v>Jane Doe</v>
      </c>
    </row>
    <row r="1104" spans="1:18" x14ac:dyDescent="0.25">
      <c r="A1104">
        <v>11103</v>
      </c>
      <c r="B1104">
        <v>2022</v>
      </c>
      <c r="C1104" t="s">
        <v>66</v>
      </c>
      <c r="D1104" s="8">
        <v>44568</v>
      </c>
      <c r="E1104" t="s">
        <v>22</v>
      </c>
      <c r="F1104" t="s">
        <v>24</v>
      </c>
      <c r="G1104" t="s">
        <v>15</v>
      </c>
      <c r="H1104" s="9">
        <v>31</v>
      </c>
      <c r="I1104" s="9">
        <v>422</v>
      </c>
      <c r="J1104" s="10">
        <v>211000</v>
      </c>
      <c r="K1104" s="10">
        <v>90730</v>
      </c>
      <c r="L1104">
        <v>2</v>
      </c>
      <c r="M1104" s="8">
        <v>44562</v>
      </c>
      <c r="N1104" s="23">
        <v>1.0628606516645499E-3</v>
      </c>
      <c r="O1104" s="10" t="str">
        <f>IF(Sales_Data[[#This Row],[Total Profit]]&gt;0,"Profitable","Loss")</f>
        <v>Profitable</v>
      </c>
      <c r="P1104" s="10" t="str">
        <f>IF(Sales_Data[[#This Row],[Total Profit]]&gt;100000,"High Value",IF(Sales_Data[[#This Row],[Total Profit]]&gt;60000,"Medium","Low"))</f>
        <v>Medium</v>
      </c>
      <c r="Q1104" s="11" t="str">
        <f>PROPER(Sales_Data[[#This Row],[Month Name]])</f>
        <v>Janeiro</v>
      </c>
      <c r="R1104" s="11" t="str">
        <f>PROPER(Sales_Data[[#This Row],[Sales Manager]])</f>
        <v>Liam Lee</v>
      </c>
    </row>
    <row r="1105" spans="1:18" x14ac:dyDescent="0.25">
      <c r="A1105">
        <v>11104</v>
      </c>
      <c r="B1105">
        <v>2022</v>
      </c>
      <c r="C1105" t="s">
        <v>66</v>
      </c>
      <c r="D1105" s="8">
        <v>44569</v>
      </c>
      <c r="E1105" t="s">
        <v>14</v>
      </c>
      <c r="F1105" t="s">
        <v>12</v>
      </c>
      <c r="G1105" t="s">
        <v>17</v>
      </c>
      <c r="H1105" s="9">
        <v>18</v>
      </c>
      <c r="I1105" s="9">
        <v>373</v>
      </c>
      <c r="J1105" s="10">
        <v>93250</v>
      </c>
      <c r="K1105" s="10">
        <v>12122.5</v>
      </c>
      <c r="L1105">
        <v>2</v>
      </c>
      <c r="M1105" s="8">
        <v>44562</v>
      </c>
      <c r="N1105" s="23">
        <v>4.6972396098445099E-4</v>
      </c>
      <c r="O1105" s="10" t="str">
        <f>IF(Sales_Data[[#This Row],[Total Profit]]&gt;0,"Profitable","Loss")</f>
        <v>Profitable</v>
      </c>
      <c r="P1105" s="10" t="str">
        <f>IF(Sales_Data[[#This Row],[Total Profit]]&gt;100000,"High Value",IF(Sales_Data[[#This Row],[Total Profit]]&gt;60000,"Medium","Low"))</f>
        <v>Low</v>
      </c>
      <c r="Q1105" s="11" t="str">
        <f>PROPER(Sales_Data[[#This Row],[Month Name]])</f>
        <v>Janeiro</v>
      </c>
      <c r="R1105" s="11" t="str">
        <f>PROPER(Sales_Data[[#This Row],[Sales Manager]])</f>
        <v>Emily White</v>
      </c>
    </row>
    <row r="1106" spans="1:18" x14ac:dyDescent="0.25">
      <c r="A1106">
        <v>11105</v>
      </c>
      <c r="B1106">
        <v>2022</v>
      </c>
      <c r="C1106" t="s">
        <v>66</v>
      </c>
      <c r="D1106" s="8">
        <v>44570</v>
      </c>
      <c r="E1106" t="s">
        <v>22</v>
      </c>
      <c r="F1106" t="s">
        <v>24</v>
      </c>
      <c r="G1106" t="s">
        <v>20</v>
      </c>
      <c r="H1106" s="9">
        <v>39</v>
      </c>
      <c r="I1106" s="9">
        <v>456</v>
      </c>
      <c r="J1106" s="10">
        <v>387600</v>
      </c>
      <c r="K1106" s="10">
        <v>155040</v>
      </c>
      <c r="L1106">
        <v>3</v>
      </c>
      <c r="M1106" s="8">
        <v>44562</v>
      </c>
      <c r="N1106" s="23">
        <v>1.95243975632786E-3</v>
      </c>
      <c r="O1106" s="10" t="str">
        <f>IF(Sales_Data[[#This Row],[Total Profit]]&gt;0,"Profitable","Loss")</f>
        <v>Profitable</v>
      </c>
      <c r="P1106" s="10" t="str">
        <f>IF(Sales_Data[[#This Row],[Total Profit]]&gt;100000,"High Value",IF(Sales_Data[[#This Row],[Total Profit]]&gt;60000,"Medium","Low"))</f>
        <v>High Value</v>
      </c>
      <c r="Q1106" s="11" t="str">
        <f>PROPER(Sales_Data[[#This Row],[Month Name]])</f>
        <v>Janeiro</v>
      </c>
      <c r="R1106" s="11" t="str">
        <f>PROPER(Sales_Data[[#This Row],[Sales Manager]])</f>
        <v>Liam Lee</v>
      </c>
    </row>
    <row r="1107" spans="1:18" x14ac:dyDescent="0.25">
      <c r="A1107">
        <v>11106</v>
      </c>
      <c r="B1107">
        <v>2022</v>
      </c>
      <c r="C1107" t="s">
        <v>66</v>
      </c>
      <c r="D1107" s="8">
        <v>44571</v>
      </c>
      <c r="E1107" t="s">
        <v>11</v>
      </c>
      <c r="F1107" t="s">
        <v>24</v>
      </c>
      <c r="G1107" t="s">
        <v>15</v>
      </c>
      <c r="H1107" s="9">
        <v>11</v>
      </c>
      <c r="I1107" s="9">
        <v>125</v>
      </c>
      <c r="J1107" s="10">
        <v>62500</v>
      </c>
      <c r="K1107" s="10">
        <v>20000</v>
      </c>
      <c r="L1107">
        <v>3</v>
      </c>
      <c r="M1107" s="8">
        <v>44562</v>
      </c>
      <c r="N1107" s="23">
        <v>3.1482839208073102E-4</v>
      </c>
      <c r="O1107" s="10" t="str">
        <f>IF(Sales_Data[[#This Row],[Total Profit]]&gt;0,"Profitable","Loss")</f>
        <v>Profitable</v>
      </c>
      <c r="P1107" s="10" t="str">
        <f>IF(Sales_Data[[#This Row],[Total Profit]]&gt;100000,"High Value",IF(Sales_Data[[#This Row],[Total Profit]]&gt;60000,"Medium","Low"))</f>
        <v>Low</v>
      </c>
      <c r="Q1107" s="11" t="str">
        <f>PROPER(Sales_Data[[#This Row],[Month Name]])</f>
        <v>Janeiro</v>
      </c>
      <c r="R1107" s="11" t="str">
        <f>PROPER(Sales_Data[[#This Row],[Sales Manager]])</f>
        <v>Liam Lee</v>
      </c>
    </row>
    <row r="1108" spans="1:18" x14ac:dyDescent="0.25">
      <c r="A1108">
        <v>11107</v>
      </c>
      <c r="B1108">
        <v>2022</v>
      </c>
      <c r="C1108" t="s">
        <v>66</v>
      </c>
      <c r="D1108" s="8">
        <v>44572</v>
      </c>
      <c r="E1108" t="s">
        <v>19</v>
      </c>
      <c r="F1108" t="s">
        <v>21</v>
      </c>
      <c r="G1108" t="s">
        <v>17</v>
      </c>
      <c r="H1108" s="9">
        <v>12</v>
      </c>
      <c r="I1108" s="9">
        <v>396</v>
      </c>
      <c r="J1108" s="10">
        <v>99000</v>
      </c>
      <c r="K1108" s="10">
        <v>30690</v>
      </c>
      <c r="L1108">
        <v>3</v>
      </c>
      <c r="M1108" s="8">
        <v>44562</v>
      </c>
      <c r="N1108" s="23">
        <v>4.9868817305587796E-4</v>
      </c>
      <c r="O1108" s="10" t="str">
        <f>IF(Sales_Data[[#This Row],[Total Profit]]&gt;0,"Profitable","Loss")</f>
        <v>Profitable</v>
      </c>
      <c r="P1108" s="10" t="str">
        <f>IF(Sales_Data[[#This Row],[Total Profit]]&gt;100000,"High Value",IF(Sales_Data[[#This Row],[Total Profit]]&gt;60000,"Medium","Low"))</f>
        <v>Low</v>
      </c>
      <c r="Q1108" s="11" t="str">
        <f>PROPER(Sales_Data[[#This Row],[Month Name]])</f>
        <v>Janeiro</v>
      </c>
      <c r="R1108" s="11" t="str">
        <f>PROPER(Sales_Data[[#This Row],[Sales Manager]])</f>
        <v>John Smith</v>
      </c>
    </row>
    <row r="1109" spans="1:18" x14ac:dyDescent="0.25">
      <c r="A1109">
        <v>11108</v>
      </c>
      <c r="B1109">
        <v>2022</v>
      </c>
      <c r="C1109" t="s">
        <v>66</v>
      </c>
      <c r="D1109" s="8">
        <v>44573</v>
      </c>
      <c r="E1109" t="s">
        <v>19</v>
      </c>
      <c r="F1109" t="s">
        <v>21</v>
      </c>
      <c r="G1109" t="s">
        <v>20</v>
      </c>
      <c r="H1109" s="9">
        <v>46</v>
      </c>
      <c r="I1109" s="9">
        <v>462</v>
      </c>
      <c r="J1109" s="10">
        <v>392700</v>
      </c>
      <c r="K1109" s="10">
        <v>153153</v>
      </c>
      <c r="L1109">
        <v>3</v>
      </c>
      <c r="M1109" s="8">
        <v>44562</v>
      </c>
      <c r="N1109" s="23">
        <v>1.97812975312165E-3</v>
      </c>
      <c r="O1109" s="10" t="str">
        <f>IF(Sales_Data[[#This Row],[Total Profit]]&gt;0,"Profitable","Loss")</f>
        <v>Profitable</v>
      </c>
      <c r="P1109" s="10" t="str">
        <f>IF(Sales_Data[[#This Row],[Total Profit]]&gt;100000,"High Value",IF(Sales_Data[[#This Row],[Total Profit]]&gt;60000,"Medium","Low"))</f>
        <v>High Value</v>
      </c>
      <c r="Q1109" s="11" t="str">
        <f>PROPER(Sales_Data[[#This Row],[Month Name]])</f>
        <v>Janeiro</v>
      </c>
      <c r="R1109" s="11" t="str">
        <f>PROPER(Sales_Data[[#This Row],[Sales Manager]])</f>
        <v>John Smith</v>
      </c>
    </row>
    <row r="1110" spans="1:18" x14ac:dyDescent="0.25">
      <c r="A1110">
        <v>11109</v>
      </c>
      <c r="B1110">
        <v>2022</v>
      </c>
      <c r="C1110" t="s">
        <v>66</v>
      </c>
      <c r="D1110" s="8">
        <v>44574</v>
      </c>
      <c r="E1110" t="s">
        <v>19</v>
      </c>
      <c r="F1110" t="s">
        <v>21</v>
      </c>
      <c r="G1110" t="s">
        <v>15</v>
      </c>
      <c r="H1110" s="9">
        <v>9</v>
      </c>
      <c r="I1110" s="9">
        <v>99</v>
      </c>
      <c r="J1110" s="10">
        <v>49500</v>
      </c>
      <c r="K1110" s="10">
        <v>17325</v>
      </c>
      <c r="L1110">
        <v>3</v>
      </c>
      <c r="M1110" s="8">
        <v>44562</v>
      </c>
      <c r="N1110" s="23">
        <v>2.4934408652793898E-4</v>
      </c>
      <c r="O1110" s="10" t="str">
        <f>IF(Sales_Data[[#This Row],[Total Profit]]&gt;0,"Profitable","Loss")</f>
        <v>Profitable</v>
      </c>
      <c r="P1110" s="10" t="str">
        <f>IF(Sales_Data[[#This Row],[Total Profit]]&gt;100000,"High Value",IF(Sales_Data[[#This Row],[Total Profit]]&gt;60000,"Medium","Low"))</f>
        <v>Low</v>
      </c>
      <c r="Q1110" s="11" t="str">
        <f>PROPER(Sales_Data[[#This Row],[Month Name]])</f>
        <v>Janeiro</v>
      </c>
      <c r="R1110" s="11" t="str">
        <f>PROPER(Sales_Data[[#This Row],[Sales Manager]])</f>
        <v>John Smith</v>
      </c>
    </row>
    <row r="1111" spans="1:18" x14ac:dyDescent="0.25">
      <c r="A1111">
        <v>11110</v>
      </c>
      <c r="B1111">
        <v>2022</v>
      </c>
      <c r="C1111" t="s">
        <v>66</v>
      </c>
      <c r="D1111" s="8">
        <v>44575</v>
      </c>
      <c r="E1111" t="s">
        <v>19</v>
      </c>
      <c r="F1111" t="s">
        <v>12</v>
      </c>
      <c r="G1111" t="s">
        <v>15</v>
      </c>
      <c r="H1111" s="9">
        <v>6</v>
      </c>
      <c r="I1111" s="9">
        <v>173</v>
      </c>
      <c r="J1111" s="10">
        <v>86500</v>
      </c>
      <c r="K1111" s="10">
        <v>19030</v>
      </c>
      <c r="L1111">
        <v>3</v>
      </c>
      <c r="M1111" s="8">
        <v>44562</v>
      </c>
      <c r="N1111" s="23">
        <v>4.3572249463973199E-4</v>
      </c>
      <c r="O1111" s="10" t="str">
        <f>IF(Sales_Data[[#This Row],[Total Profit]]&gt;0,"Profitable","Loss")</f>
        <v>Profitable</v>
      </c>
      <c r="P1111" s="10" t="str">
        <f>IF(Sales_Data[[#This Row],[Total Profit]]&gt;100000,"High Value",IF(Sales_Data[[#This Row],[Total Profit]]&gt;60000,"Medium","Low"))</f>
        <v>Low</v>
      </c>
      <c r="Q1111" s="11" t="str">
        <f>PROPER(Sales_Data[[#This Row],[Month Name]])</f>
        <v>Janeiro</v>
      </c>
      <c r="R1111" s="11" t="str">
        <f>PROPER(Sales_Data[[#This Row],[Sales Manager]])</f>
        <v>Emily White</v>
      </c>
    </row>
    <row r="1112" spans="1:18" x14ac:dyDescent="0.25">
      <c r="A1112">
        <v>11111</v>
      </c>
      <c r="B1112">
        <v>2022</v>
      </c>
      <c r="C1112" t="s">
        <v>66</v>
      </c>
      <c r="D1112" s="8">
        <v>44576</v>
      </c>
      <c r="E1112" t="s">
        <v>11</v>
      </c>
      <c r="F1112" t="s">
        <v>24</v>
      </c>
      <c r="G1112" t="s">
        <v>23</v>
      </c>
      <c r="H1112" s="9">
        <v>10</v>
      </c>
      <c r="I1112" s="9">
        <v>252</v>
      </c>
      <c r="J1112" s="10">
        <v>88200</v>
      </c>
      <c r="K1112" s="10">
        <v>22932</v>
      </c>
      <c r="L1112">
        <v>3</v>
      </c>
      <c r="M1112" s="8">
        <v>44562</v>
      </c>
      <c r="N1112" s="23">
        <v>4.4428582690432799E-4</v>
      </c>
      <c r="O1112" s="10" t="str">
        <f>IF(Sales_Data[[#This Row],[Total Profit]]&gt;0,"Profitable","Loss")</f>
        <v>Profitable</v>
      </c>
      <c r="P1112" s="10" t="str">
        <f>IF(Sales_Data[[#This Row],[Total Profit]]&gt;100000,"High Value",IF(Sales_Data[[#This Row],[Total Profit]]&gt;60000,"Medium","Low"))</f>
        <v>Low</v>
      </c>
      <c r="Q1112" s="11" t="str">
        <f>PROPER(Sales_Data[[#This Row],[Month Name]])</f>
        <v>Janeiro</v>
      </c>
      <c r="R1112" s="11" t="str">
        <f>PROPER(Sales_Data[[#This Row],[Sales Manager]])</f>
        <v>Liam Lee</v>
      </c>
    </row>
    <row r="1113" spans="1:18" x14ac:dyDescent="0.25">
      <c r="A1113">
        <v>11112</v>
      </c>
      <c r="B1113">
        <v>2022</v>
      </c>
      <c r="C1113" t="s">
        <v>66</v>
      </c>
      <c r="D1113" s="8">
        <v>44577</v>
      </c>
      <c r="E1113" t="s">
        <v>19</v>
      </c>
      <c r="F1113" t="s">
        <v>24</v>
      </c>
      <c r="G1113" t="s">
        <v>20</v>
      </c>
      <c r="H1113" s="9">
        <v>35</v>
      </c>
      <c r="I1113" s="9">
        <v>391</v>
      </c>
      <c r="J1113" s="10">
        <v>332350</v>
      </c>
      <c r="K1113" s="10">
        <v>136263.5</v>
      </c>
      <c r="L1113">
        <v>4</v>
      </c>
      <c r="M1113" s="8">
        <v>44562</v>
      </c>
      <c r="N1113" s="23">
        <v>1.6741314577285E-3</v>
      </c>
      <c r="O1113" s="10" t="str">
        <f>IF(Sales_Data[[#This Row],[Total Profit]]&gt;0,"Profitable","Loss")</f>
        <v>Profitable</v>
      </c>
      <c r="P1113" s="10" t="str">
        <f>IF(Sales_Data[[#This Row],[Total Profit]]&gt;100000,"High Value",IF(Sales_Data[[#This Row],[Total Profit]]&gt;60000,"Medium","Low"))</f>
        <v>High Value</v>
      </c>
      <c r="Q1113" s="11" t="str">
        <f>PROPER(Sales_Data[[#This Row],[Month Name]])</f>
        <v>Janeiro</v>
      </c>
      <c r="R1113" s="11" t="str">
        <f>PROPER(Sales_Data[[#This Row],[Sales Manager]])</f>
        <v>Liam Lee</v>
      </c>
    </row>
    <row r="1114" spans="1:18" x14ac:dyDescent="0.25">
      <c r="A1114">
        <v>11113</v>
      </c>
      <c r="B1114">
        <v>2022</v>
      </c>
      <c r="C1114" t="s">
        <v>66</v>
      </c>
      <c r="D1114" s="8">
        <v>44578</v>
      </c>
      <c r="E1114" t="s">
        <v>19</v>
      </c>
      <c r="F1114" t="s">
        <v>16</v>
      </c>
      <c r="G1114" t="s">
        <v>15</v>
      </c>
      <c r="H1114" s="9">
        <v>6</v>
      </c>
      <c r="I1114" s="9">
        <v>111</v>
      </c>
      <c r="J1114" s="10">
        <v>55500</v>
      </c>
      <c r="K1114" s="10">
        <v>20535</v>
      </c>
      <c r="L1114">
        <v>4</v>
      </c>
      <c r="M1114" s="8">
        <v>44562</v>
      </c>
      <c r="N1114" s="23">
        <v>2.7956761216768898E-4</v>
      </c>
      <c r="O1114" s="10" t="str">
        <f>IF(Sales_Data[[#This Row],[Total Profit]]&gt;0,"Profitable","Loss")</f>
        <v>Profitable</v>
      </c>
      <c r="P1114" s="10" t="str">
        <f>IF(Sales_Data[[#This Row],[Total Profit]]&gt;100000,"High Value",IF(Sales_Data[[#This Row],[Total Profit]]&gt;60000,"Medium","Low"))</f>
        <v>Low</v>
      </c>
      <c r="Q1114" s="11" t="str">
        <f>PROPER(Sales_Data[[#This Row],[Month Name]])</f>
        <v>Janeiro</v>
      </c>
      <c r="R1114" s="11" t="str">
        <f>PROPER(Sales_Data[[#This Row],[Sales Manager]])</f>
        <v>James Brown</v>
      </c>
    </row>
    <row r="1115" spans="1:18" x14ac:dyDescent="0.25">
      <c r="A1115">
        <v>11114</v>
      </c>
      <c r="B1115">
        <v>2022</v>
      </c>
      <c r="C1115" t="s">
        <v>66</v>
      </c>
      <c r="D1115" s="8">
        <v>44579</v>
      </c>
      <c r="E1115" t="s">
        <v>25</v>
      </c>
      <c r="F1115" t="s">
        <v>16</v>
      </c>
      <c r="G1115" t="s">
        <v>13</v>
      </c>
      <c r="H1115" s="9">
        <v>36</v>
      </c>
      <c r="I1115" s="9">
        <v>466</v>
      </c>
      <c r="J1115" s="10">
        <v>349500</v>
      </c>
      <c r="K1115" s="10">
        <v>52425</v>
      </c>
      <c r="L1115">
        <v>4</v>
      </c>
      <c r="M1115" s="8">
        <v>44562</v>
      </c>
      <c r="N1115" s="23">
        <v>1.7605203685154499E-3</v>
      </c>
      <c r="O1115" s="10" t="str">
        <f>IF(Sales_Data[[#This Row],[Total Profit]]&gt;0,"Profitable","Loss")</f>
        <v>Profitable</v>
      </c>
      <c r="P1115" s="10" t="str">
        <f>IF(Sales_Data[[#This Row],[Total Profit]]&gt;100000,"High Value",IF(Sales_Data[[#This Row],[Total Profit]]&gt;60000,"Medium","Low"))</f>
        <v>Low</v>
      </c>
      <c r="Q1115" s="11" t="str">
        <f>PROPER(Sales_Data[[#This Row],[Month Name]])</f>
        <v>Janeiro</v>
      </c>
      <c r="R1115" s="11" t="str">
        <f>PROPER(Sales_Data[[#This Row],[Sales Manager]])</f>
        <v>James Brown</v>
      </c>
    </row>
    <row r="1116" spans="1:18" x14ac:dyDescent="0.25">
      <c r="A1116">
        <v>11115</v>
      </c>
      <c r="B1116">
        <v>2022</v>
      </c>
      <c r="C1116" t="s">
        <v>66</v>
      </c>
      <c r="D1116" s="8">
        <v>44580</v>
      </c>
      <c r="E1116" t="s">
        <v>11</v>
      </c>
      <c r="F1116" t="s">
        <v>24</v>
      </c>
      <c r="G1116" t="s">
        <v>20</v>
      </c>
      <c r="H1116" s="9">
        <v>2</v>
      </c>
      <c r="I1116" s="9">
        <v>34</v>
      </c>
      <c r="J1116" s="10">
        <v>28900</v>
      </c>
      <c r="K1116" s="10">
        <v>5780</v>
      </c>
      <c r="L1116">
        <v>4</v>
      </c>
      <c r="M1116" s="8">
        <v>44562</v>
      </c>
      <c r="N1116" s="23">
        <v>1.4557664849813E-4</v>
      </c>
      <c r="O1116" s="10" t="str">
        <f>IF(Sales_Data[[#This Row],[Total Profit]]&gt;0,"Profitable","Loss")</f>
        <v>Profitable</v>
      </c>
      <c r="P1116" s="10" t="str">
        <f>IF(Sales_Data[[#This Row],[Total Profit]]&gt;100000,"High Value",IF(Sales_Data[[#This Row],[Total Profit]]&gt;60000,"Medium","Low"))</f>
        <v>Low</v>
      </c>
      <c r="Q1116" s="11" t="str">
        <f>PROPER(Sales_Data[[#This Row],[Month Name]])</f>
        <v>Janeiro</v>
      </c>
      <c r="R1116" s="11" t="str">
        <f>PROPER(Sales_Data[[#This Row],[Sales Manager]])</f>
        <v>Liam Lee</v>
      </c>
    </row>
    <row r="1117" spans="1:18" x14ac:dyDescent="0.25">
      <c r="A1117">
        <v>11116</v>
      </c>
      <c r="B1117">
        <v>2022</v>
      </c>
      <c r="C1117" t="s">
        <v>66</v>
      </c>
      <c r="D1117" s="8">
        <v>44581</v>
      </c>
      <c r="E1117" t="s">
        <v>19</v>
      </c>
      <c r="F1117" t="s">
        <v>24</v>
      </c>
      <c r="G1117" t="s">
        <v>13</v>
      </c>
      <c r="H1117" s="9">
        <v>8</v>
      </c>
      <c r="I1117" s="9">
        <v>120</v>
      </c>
      <c r="J1117" s="10">
        <v>90000</v>
      </c>
      <c r="K1117" s="10">
        <v>12600.000000000002</v>
      </c>
      <c r="L1117">
        <v>4</v>
      </c>
      <c r="M1117" s="8">
        <v>44562</v>
      </c>
      <c r="N1117" s="23">
        <v>4.5335288459625298E-4</v>
      </c>
      <c r="O1117" s="10" t="str">
        <f>IF(Sales_Data[[#This Row],[Total Profit]]&gt;0,"Profitable","Loss")</f>
        <v>Profitable</v>
      </c>
      <c r="P1117" s="10" t="str">
        <f>IF(Sales_Data[[#This Row],[Total Profit]]&gt;100000,"High Value",IF(Sales_Data[[#This Row],[Total Profit]]&gt;60000,"Medium","Low"))</f>
        <v>Low</v>
      </c>
      <c r="Q1117" s="11" t="str">
        <f>PROPER(Sales_Data[[#This Row],[Month Name]])</f>
        <v>Janeiro</v>
      </c>
      <c r="R1117" s="11" t="str">
        <f>PROPER(Sales_Data[[#This Row],[Sales Manager]])</f>
        <v>Liam Lee</v>
      </c>
    </row>
    <row r="1118" spans="1:18" x14ac:dyDescent="0.25">
      <c r="A1118">
        <v>11117</v>
      </c>
      <c r="B1118">
        <v>2022</v>
      </c>
      <c r="C1118" t="s">
        <v>66</v>
      </c>
      <c r="D1118" s="8">
        <v>44582</v>
      </c>
      <c r="E1118" t="s">
        <v>22</v>
      </c>
      <c r="F1118" t="s">
        <v>24</v>
      </c>
      <c r="G1118" t="s">
        <v>17</v>
      </c>
      <c r="H1118" s="9">
        <v>7</v>
      </c>
      <c r="I1118" s="9">
        <v>325</v>
      </c>
      <c r="J1118" s="10">
        <v>81250</v>
      </c>
      <c r="K1118" s="10">
        <v>26000</v>
      </c>
      <c r="L1118">
        <v>4</v>
      </c>
      <c r="M1118" s="8">
        <v>44562</v>
      </c>
      <c r="N1118" s="23">
        <v>4.0927690970495002E-4</v>
      </c>
      <c r="O1118" s="10" t="str">
        <f>IF(Sales_Data[[#This Row],[Total Profit]]&gt;0,"Profitable","Loss")</f>
        <v>Profitable</v>
      </c>
      <c r="P1118" s="10" t="str">
        <f>IF(Sales_Data[[#This Row],[Total Profit]]&gt;100000,"High Value",IF(Sales_Data[[#This Row],[Total Profit]]&gt;60000,"Medium","Low"))</f>
        <v>Low</v>
      </c>
      <c r="Q1118" s="11" t="str">
        <f>PROPER(Sales_Data[[#This Row],[Month Name]])</f>
        <v>Janeiro</v>
      </c>
      <c r="R1118" s="11" t="str">
        <f>PROPER(Sales_Data[[#This Row],[Sales Manager]])</f>
        <v>Liam Lee</v>
      </c>
    </row>
    <row r="1119" spans="1:18" x14ac:dyDescent="0.25">
      <c r="A1119">
        <v>11118</v>
      </c>
      <c r="B1119">
        <v>2022</v>
      </c>
      <c r="C1119" t="s">
        <v>66</v>
      </c>
      <c r="D1119" s="8">
        <v>44583</v>
      </c>
      <c r="E1119" t="s">
        <v>14</v>
      </c>
      <c r="F1119" t="s">
        <v>18</v>
      </c>
      <c r="G1119" t="s">
        <v>20</v>
      </c>
      <c r="H1119" s="9">
        <v>15</v>
      </c>
      <c r="I1119" s="9">
        <v>348</v>
      </c>
      <c r="J1119" s="10">
        <v>295800</v>
      </c>
      <c r="K1119" s="10">
        <v>106488</v>
      </c>
      <c r="L1119">
        <v>4</v>
      </c>
      <c r="M1119" s="8">
        <v>44562</v>
      </c>
      <c r="N1119" s="23">
        <v>1.49001981403968E-3</v>
      </c>
      <c r="O1119" s="10" t="str">
        <f>IF(Sales_Data[[#This Row],[Total Profit]]&gt;0,"Profitable","Loss")</f>
        <v>Profitable</v>
      </c>
      <c r="P1119" s="10" t="str">
        <f>IF(Sales_Data[[#This Row],[Total Profit]]&gt;100000,"High Value",IF(Sales_Data[[#This Row],[Total Profit]]&gt;60000,"Medium","Low"))</f>
        <v>High Value</v>
      </c>
      <c r="Q1119" s="11" t="str">
        <f>PROPER(Sales_Data[[#This Row],[Month Name]])</f>
        <v>Janeiro</v>
      </c>
      <c r="R1119" s="11" t="str">
        <f>PROPER(Sales_Data[[#This Row],[Sales Manager]])</f>
        <v>Jane Doe</v>
      </c>
    </row>
    <row r="1120" spans="1:18" x14ac:dyDescent="0.25">
      <c r="A1120">
        <v>11119</v>
      </c>
      <c r="B1120">
        <v>2022</v>
      </c>
      <c r="C1120" t="s">
        <v>66</v>
      </c>
      <c r="D1120" s="8">
        <v>44584</v>
      </c>
      <c r="E1120" t="s">
        <v>22</v>
      </c>
      <c r="F1120" t="s">
        <v>12</v>
      </c>
      <c r="G1120" t="s">
        <v>20</v>
      </c>
      <c r="H1120" s="9">
        <v>22</v>
      </c>
      <c r="I1120" s="9">
        <v>309</v>
      </c>
      <c r="J1120" s="10">
        <v>262650</v>
      </c>
      <c r="K1120" s="10">
        <v>76168.5</v>
      </c>
      <c r="L1120">
        <v>5</v>
      </c>
      <c r="M1120" s="8">
        <v>44562</v>
      </c>
      <c r="N1120" s="23">
        <v>1.3230348348800599E-3</v>
      </c>
      <c r="O1120" s="10" t="str">
        <f>IF(Sales_Data[[#This Row],[Total Profit]]&gt;0,"Profitable","Loss")</f>
        <v>Profitable</v>
      </c>
      <c r="P1120" s="10" t="str">
        <f>IF(Sales_Data[[#This Row],[Total Profit]]&gt;100000,"High Value",IF(Sales_Data[[#This Row],[Total Profit]]&gt;60000,"Medium","Low"))</f>
        <v>Medium</v>
      </c>
      <c r="Q1120" s="11" t="str">
        <f>PROPER(Sales_Data[[#This Row],[Month Name]])</f>
        <v>Janeiro</v>
      </c>
      <c r="R1120" s="11" t="str">
        <f>PROPER(Sales_Data[[#This Row],[Sales Manager]])</f>
        <v>Emily White</v>
      </c>
    </row>
    <row r="1121" spans="1:18" x14ac:dyDescent="0.25">
      <c r="A1121">
        <v>11120</v>
      </c>
      <c r="B1121">
        <v>2022</v>
      </c>
      <c r="C1121" t="s">
        <v>66</v>
      </c>
      <c r="D1121" s="8">
        <v>44585</v>
      </c>
      <c r="E1121" t="s">
        <v>22</v>
      </c>
      <c r="F1121" t="s">
        <v>18</v>
      </c>
      <c r="G1121" t="s">
        <v>20</v>
      </c>
      <c r="H1121" s="9">
        <v>5</v>
      </c>
      <c r="I1121" s="9">
        <v>205</v>
      </c>
      <c r="J1121" s="10">
        <v>174250</v>
      </c>
      <c r="K1121" s="10">
        <v>67957.5</v>
      </c>
      <c r="L1121">
        <v>5</v>
      </c>
      <c r="M1121" s="8">
        <v>44562</v>
      </c>
      <c r="N1121" s="23">
        <v>8.7774155712107803E-4</v>
      </c>
      <c r="O1121" s="10" t="str">
        <f>IF(Sales_Data[[#This Row],[Total Profit]]&gt;0,"Profitable","Loss")</f>
        <v>Profitable</v>
      </c>
      <c r="P1121" s="10" t="str">
        <f>IF(Sales_Data[[#This Row],[Total Profit]]&gt;100000,"High Value",IF(Sales_Data[[#This Row],[Total Profit]]&gt;60000,"Medium","Low"))</f>
        <v>Medium</v>
      </c>
      <c r="Q1121" s="11" t="str">
        <f>PROPER(Sales_Data[[#This Row],[Month Name]])</f>
        <v>Janeiro</v>
      </c>
      <c r="R1121" s="11" t="str">
        <f>PROPER(Sales_Data[[#This Row],[Sales Manager]])</f>
        <v>Jane Doe</v>
      </c>
    </row>
    <row r="1122" spans="1:18" x14ac:dyDescent="0.25">
      <c r="A1122">
        <v>11121</v>
      </c>
      <c r="B1122">
        <v>2022</v>
      </c>
      <c r="C1122" t="s">
        <v>66</v>
      </c>
      <c r="D1122" s="8">
        <v>44586</v>
      </c>
      <c r="E1122" t="s">
        <v>25</v>
      </c>
      <c r="F1122" t="s">
        <v>12</v>
      </c>
      <c r="G1122" t="s">
        <v>13</v>
      </c>
      <c r="H1122" s="9">
        <v>26</v>
      </c>
      <c r="I1122" s="9">
        <v>335</v>
      </c>
      <c r="J1122" s="10">
        <v>251250</v>
      </c>
      <c r="K1122" s="10">
        <v>82912.5</v>
      </c>
      <c r="L1122">
        <v>5</v>
      </c>
      <c r="M1122" s="8">
        <v>44562</v>
      </c>
      <c r="N1122" s="23">
        <v>1.2656101361645401E-3</v>
      </c>
      <c r="O1122" s="10" t="str">
        <f>IF(Sales_Data[[#This Row],[Total Profit]]&gt;0,"Profitable","Loss")</f>
        <v>Profitable</v>
      </c>
      <c r="P1122" s="10" t="str">
        <f>IF(Sales_Data[[#This Row],[Total Profit]]&gt;100000,"High Value",IF(Sales_Data[[#This Row],[Total Profit]]&gt;60000,"Medium","Low"))</f>
        <v>Medium</v>
      </c>
      <c r="Q1122" s="11" t="str">
        <f>PROPER(Sales_Data[[#This Row],[Month Name]])</f>
        <v>Janeiro</v>
      </c>
      <c r="R1122" s="11" t="str">
        <f>PROPER(Sales_Data[[#This Row],[Sales Manager]])</f>
        <v>Emily White</v>
      </c>
    </row>
    <row r="1123" spans="1:18" x14ac:dyDescent="0.25">
      <c r="A1123">
        <v>11122</v>
      </c>
      <c r="B1123">
        <v>2022</v>
      </c>
      <c r="C1123" t="s">
        <v>66</v>
      </c>
      <c r="D1123" s="8">
        <v>44587</v>
      </c>
      <c r="E1123" t="s">
        <v>25</v>
      </c>
      <c r="F1123" t="s">
        <v>16</v>
      </c>
      <c r="G1123" t="s">
        <v>13</v>
      </c>
      <c r="H1123" s="9">
        <v>27</v>
      </c>
      <c r="I1123" s="9">
        <v>349</v>
      </c>
      <c r="J1123" s="10">
        <v>261750</v>
      </c>
      <c r="K1123" s="10">
        <v>88995</v>
      </c>
      <c r="L1123">
        <v>5</v>
      </c>
      <c r="M1123" s="8">
        <v>44562</v>
      </c>
      <c r="N1123" s="23">
        <v>1.3185013060341001E-3</v>
      </c>
      <c r="O1123" s="10" t="str">
        <f>IF(Sales_Data[[#This Row],[Total Profit]]&gt;0,"Profitable","Loss")</f>
        <v>Profitable</v>
      </c>
      <c r="P1123" s="10" t="str">
        <f>IF(Sales_Data[[#This Row],[Total Profit]]&gt;100000,"High Value",IF(Sales_Data[[#This Row],[Total Profit]]&gt;60000,"Medium","Low"))</f>
        <v>Medium</v>
      </c>
      <c r="Q1123" s="11" t="str">
        <f>PROPER(Sales_Data[[#This Row],[Month Name]])</f>
        <v>Janeiro</v>
      </c>
      <c r="R1123" s="11" t="str">
        <f>PROPER(Sales_Data[[#This Row],[Sales Manager]])</f>
        <v>James Brown</v>
      </c>
    </row>
    <row r="1124" spans="1:18" x14ac:dyDescent="0.25">
      <c r="A1124">
        <v>11123</v>
      </c>
      <c r="B1124">
        <v>2022</v>
      </c>
      <c r="C1124" t="s">
        <v>66</v>
      </c>
      <c r="D1124" s="8">
        <v>44588</v>
      </c>
      <c r="E1124" t="s">
        <v>25</v>
      </c>
      <c r="F1124" t="s">
        <v>18</v>
      </c>
      <c r="G1124" t="s">
        <v>15</v>
      </c>
      <c r="H1124" s="9">
        <v>14</v>
      </c>
      <c r="I1124" s="9">
        <v>222</v>
      </c>
      <c r="J1124" s="10">
        <v>111000</v>
      </c>
      <c r="K1124" s="10">
        <v>47730</v>
      </c>
      <c r="L1124">
        <v>5</v>
      </c>
      <c r="M1124" s="8">
        <v>44562</v>
      </c>
      <c r="N1124" s="23">
        <v>5.5913522433537796E-4</v>
      </c>
      <c r="O1124" s="10" t="str">
        <f>IF(Sales_Data[[#This Row],[Total Profit]]&gt;0,"Profitable","Loss")</f>
        <v>Profitable</v>
      </c>
      <c r="P1124" s="10" t="str">
        <f>IF(Sales_Data[[#This Row],[Total Profit]]&gt;100000,"High Value",IF(Sales_Data[[#This Row],[Total Profit]]&gt;60000,"Medium","Low"))</f>
        <v>Low</v>
      </c>
      <c r="Q1124" s="11" t="str">
        <f>PROPER(Sales_Data[[#This Row],[Month Name]])</f>
        <v>Janeiro</v>
      </c>
      <c r="R1124" s="11" t="str">
        <f>PROPER(Sales_Data[[#This Row],[Sales Manager]])</f>
        <v>Jane Doe</v>
      </c>
    </row>
    <row r="1125" spans="1:18" x14ac:dyDescent="0.25">
      <c r="A1125">
        <v>11124</v>
      </c>
      <c r="B1125">
        <v>2022</v>
      </c>
      <c r="C1125" t="s">
        <v>66</v>
      </c>
      <c r="D1125" s="8">
        <v>44589</v>
      </c>
      <c r="E1125" t="s">
        <v>22</v>
      </c>
      <c r="F1125" t="s">
        <v>16</v>
      </c>
      <c r="G1125" t="s">
        <v>15</v>
      </c>
      <c r="H1125" s="9">
        <v>31</v>
      </c>
      <c r="I1125" s="9">
        <v>395</v>
      </c>
      <c r="J1125" s="10">
        <v>197500</v>
      </c>
      <c r="K1125" s="10">
        <v>21725</v>
      </c>
      <c r="L1125">
        <v>5</v>
      </c>
      <c r="M1125" s="8">
        <v>44562</v>
      </c>
      <c r="N1125" s="23">
        <v>9.9485771897510995E-4</v>
      </c>
      <c r="O1125" s="10" t="str">
        <f>IF(Sales_Data[[#This Row],[Total Profit]]&gt;0,"Profitable","Loss")</f>
        <v>Profitable</v>
      </c>
      <c r="P1125" s="10" t="str">
        <f>IF(Sales_Data[[#This Row],[Total Profit]]&gt;100000,"High Value",IF(Sales_Data[[#This Row],[Total Profit]]&gt;60000,"Medium","Low"))</f>
        <v>Low</v>
      </c>
      <c r="Q1125" s="11" t="str">
        <f>PROPER(Sales_Data[[#This Row],[Month Name]])</f>
        <v>Janeiro</v>
      </c>
      <c r="R1125" s="11" t="str">
        <f>PROPER(Sales_Data[[#This Row],[Sales Manager]])</f>
        <v>James Brown</v>
      </c>
    </row>
    <row r="1126" spans="1:18" x14ac:dyDescent="0.25">
      <c r="A1126">
        <v>11125</v>
      </c>
      <c r="B1126">
        <v>2022</v>
      </c>
      <c r="C1126" t="s">
        <v>66</v>
      </c>
      <c r="D1126" s="8">
        <v>44590</v>
      </c>
      <c r="E1126" t="s">
        <v>14</v>
      </c>
      <c r="F1126" t="s">
        <v>24</v>
      </c>
      <c r="G1126" t="s">
        <v>20</v>
      </c>
      <c r="H1126" s="9">
        <v>12</v>
      </c>
      <c r="I1126" s="9">
        <v>342</v>
      </c>
      <c r="J1126" s="10">
        <v>290700</v>
      </c>
      <c r="K1126" s="10">
        <v>58140</v>
      </c>
      <c r="L1126">
        <v>5</v>
      </c>
      <c r="M1126" s="8">
        <v>44562</v>
      </c>
      <c r="N1126" s="23">
        <v>1.4643298172459E-3</v>
      </c>
      <c r="O1126" s="10" t="str">
        <f>IF(Sales_Data[[#This Row],[Total Profit]]&gt;0,"Profitable","Loss")</f>
        <v>Profitable</v>
      </c>
      <c r="P1126" s="10" t="str">
        <f>IF(Sales_Data[[#This Row],[Total Profit]]&gt;100000,"High Value",IF(Sales_Data[[#This Row],[Total Profit]]&gt;60000,"Medium","Low"))</f>
        <v>Low</v>
      </c>
      <c r="Q1126" s="11" t="str">
        <f>PROPER(Sales_Data[[#This Row],[Month Name]])</f>
        <v>Janeiro</v>
      </c>
      <c r="R1126" s="11" t="str">
        <f>PROPER(Sales_Data[[#This Row],[Sales Manager]])</f>
        <v>Liam Lee</v>
      </c>
    </row>
    <row r="1127" spans="1:18" x14ac:dyDescent="0.25">
      <c r="A1127">
        <v>11126</v>
      </c>
      <c r="B1127">
        <v>2022</v>
      </c>
      <c r="C1127" t="s">
        <v>66</v>
      </c>
      <c r="D1127" s="8">
        <v>44591</v>
      </c>
      <c r="E1127" t="s">
        <v>22</v>
      </c>
      <c r="F1127" t="s">
        <v>24</v>
      </c>
      <c r="G1127" t="s">
        <v>13</v>
      </c>
      <c r="H1127" s="9">
        <v>4</v>
      </c>
      <c r="I1127" s="9">
        <v>203</v>
      </c>
      <c r="J1127" s="10">
        <v>152250</v>
      </c>
      <c r="K1127" s="10">
        <v>36540</v>
      </c>
      <c r="L1127">
        <v>6</v>
      </c>
      <c r="M1127" s="8">
        <v>44562</v>
      </c>
      <c r="N1127" s="23">
        <v>7.6692196310866102E-4</v>
      </c>
      <c r="O1127" s="10" t="str">
        <f>IF(Sales_Data[[#This Row],[Total Profit]]&gt;0,"Profitable","Loss")</f>
        <v>Profitable</v>
      </c>
      <c r="P1127" s="10" t="str">
        <f>IF(Sales_Data[[#This Row],[Total Profit]]&gt;100000,"High Value",IF(Sales_Data[[#This Row],[Total Profit]]&gt;60000,"Medium","Low"))</f>
        <v>Low</v>
      </c>
      <c r="Q1127" s="11" t="str">
        <f>PROPER(Sales_Data[[#This Row],[Month Name]])</f>
        <v>Janeiro</v>
      </c>
      <c r="R1127" s="11" t="str">
        <f>PROPER(Sales_Data[[#This Row],[Sales Manager]])</f>
        <v>Liam Lee</v>
      </c>
    </row>
    <row r="1128" spans="1:18" x14ac:dyDescent="0.25">
      <c r="A1128">
        <v>11127</v>
      </c>
      <c r="B1128">
        <v>2022</v>
      </c>
      <c r="C1128" t="s">
        <v>66</v>
      </c>
      <c r="D1128" s="8">
        <v>44592</v>
      </c>
      <c r="E1128" t="s">
        <v>19</v>
      </c>
      <c r="F1128" t="s">
        <v>21</v>
      </c>
      <c r="G1128" t="s">
        <v>17</v>
      </c>
      <c r="H1128" s="9">
        <v>38</v>
      </c>
      <c r="I1128" s="9">
        <v>387</v>
      </c>
      <c r="J1128" s="10">
        <v>96750</v>
      </c>
      <c r="K1128" s="10">
        <v>22252.5</v>
      </c>
      <c r="L1128">
        <v>6</v>
      </c>
      <c r="M1128" s="8">
        <v>44562</v>
      </c>
      <c r="N1128" s="23">
        <v>4.8735435094097198E-4</v>
      </c>
      <c r="O1128" s="10" t="str">
        <f>IF(Sales_Data[[#This Row],[Total Profit]]&gt;0,"Profitable","Loss")</f>
        <v>Profitable</v>
      </c>
      <c r="P1128" s="10" t="str">
        <f>IF(Sales_Data[[#This Row],[Total Profit]]&gt;100000,"High Value",IF(Sales_Data[[#This Row],[Total Profit]]&gt;60000,"Medium","Low"))</f>
        <v>Low</v>
      </c>
      <c r="Q1128" s="11" t="str">
        <f>PROPER(Sales_Data[[#This Row],[Month Name]])</f>
        <v>Janeiro</v>
      </c>
      <c r="R1128" s="11" t="str">
        <f>PROPER(Sales_Data[[#This Row],[Sales Manager]])</f>
        <v>John Smith</v>
      </c>
    </row>
    <row r="1129" spans="1:18" x14ac:dyDescent="0.25">
      <c r="A1129">
        <v>11128</v>
      </c>
      <c r="B1129">
        <v>2022</v>
      </c>
      <c r="C1129" t="s">
        <v>67</v>
      </c>
      <c r="D1129" s="8">
        <v>44593</v>
      </c>
      <c r="E1129" t="s">
        <v>11</v>
      </c>
      <c r="F1129" t="s">
        <v>12</v>
      </c>
      <c r="G1129" t="s">
        <v>13</v>
      </c>
      <c r="H1129" s="9">
        <v>38</v>
      </c>
      <c r="I1129" s="9">
        <v>466</v>
      </c>
      <c r="J1129" s="10">
        <v>349500</v>
      </c>
      <c r="K1129" s="10">
        <v>146790</v>
      </c>
      <c r="L1129">
        <v>6</v>
      </c>
      <c r="M1129" s="8">
        <v>44562</v>
      </c>
      <c r="N1129" s="23">
        <v>1.7605203685154499E-3</v>
      </c>
      <c r="O1129" s="10" t="str">
        <f>IF(Sales_Data[[#This Row],[Total Profit]]&gt;0,"Profitable","Loss")</f>
        <v>Profitable</v>
      </c>
      <c r="P1129" s="10" t="str">
        <f>IF(Sales_Data[[#This Row],[Total Profit]]&gt;100000,"High Value",IF(Sales_Data[[#This Row],[Total Profit]]&gt;60000,"Medium","Low"))</f>
        <v>High Value</v>
      </c>
      <c r="Q1129" s="11" t="str">
        <f>PROPER(Sales_Data[[#This Row],[Month Name]])</f>
        <v>Fevereiro</v>
      </c>
      <c r="R1129" s="11" t="str">
        <f>PROPER(Sales_Data[[#This Row],[Sales Manager]])</f>
        <v>Emily White</v>
      </c>
    </row>
    <row r="1130" spans="1:18" x14ac:dyDescent="0.25">
      <c r="A1130">
        <v>11129</v>
      </c>
      <c r="B1130">
        <v>2022</v>
      </c>
      <c r="C1130" t="s">
        <v>67</v>
      </c>
      <c r="D1130" s="8">
        <v>44594</v>
      </c>
      <c r="E1130" t="s">
        <v>22</v>
      </c>
      <c r="F1130" t="s">
        <v>24</v>
      </c>
      <c r="G1130" t="s">
        <v>13</v>
      </c>
      <c r="H1130" s="9">
        <v>1</v>
      </c>
      <c r="I1130" s="9">
        <v>37</v>
      </c>
      <c r="J1130" s="10">
        <v>27750</v>
      </c>
      <c r="K1130" s="10">
        <v>7492.5000000000009</v>
      </c>
      <c r="L1130">
        <v>6</v>
      </c>
      <c r="M1130" s="8">
        <v>44562</v>
      </c>
      <c r="N1130" s="23">
        <v>1.39783806083845E-4</v>
      </c>
      <c r="O1130" s="10" t="str">
        <f>IF(Sales_Data[[#This Row],[Total Profit]]&gt;0,"Profitable","Loss")</f>
        <v>Profitable</v>
      </c>
      <c r="P1130" s="10" t="str">
        <f>IF(Sales_Data[[#This Row],[Total Profit]]&gt;100000,"High Value",IF(Sales_Data[[#This Row],[Total Profit]]&gt;60000,"Medium","Low"))</f>
        <v>Low</v>
      </c>
      <c r="Q1130" s="11" t="str">
        <f>PROPER(Sales_Data[[#This Row],[Month Name]])</f>
        <v>Fevereiro</v>
      </c>
      <c r="R1130" s="11" t="str">
        <f>PROPER(Sales_Data[[#This Row],[Sales Manager]])</f>
        <v>Liam Lee</v>
      </c>
    </row>
    <row r="1131" spans="1:18" x14ac:dyDescent="0.25">
      <c r="A1131">
        <v>11130</v>
      </c>
      <c r="B1131">
        <v>2022</v>
      </c>
      <c r="C1131" t="s">
        <v>67</v>
      </c>
      <c r="D1131" s="8">
        <v>44595</v>
      </c>
      <c r="E1131" t="s">
        <v>22</v>
      </c>
      <c r="F1131" t="s">
        <v>12</v>
      </c>
      <c r="G1131" t="s">
        <v>13</v>
      </c>
      <c r="H1131" s="9">
        <v>17</v>
      </c>
      <c r="I1131" s="9">
        <v>423</v>
      </c>
      <c r="J1131" s="10">
        <v>317250</v>
      </c>
      <c r="K1131" s="10">
        <v>66622.5</v>
      </c>
      <c r="L1131">
        <v>6</v>
      </c>
      <c r="M1131" s="8">
        <v>44562</v>
      </c>
      <c r="N1131" s="23">
        <v>1.59806891820179E-3</v>
      </c>
      <c r="O1131" s="10" t="str">
        <f>IF(Sales_Data[[#This Row],[Total Profit]]&gt;0,"Profitable","Loss")</f>
        <v>Profitable</v>
      </c>
      <c r="P1131" s="10" t="str">
        <f>IF(Sales_Data[[#This Row],[Total Profit]]&gt;100000,"High Value",IF(Sales_Data[[#This Row],[Total Profit]]&gt;60000,"Medium","Low"))</f>
        <v>Medium</v>
      </c>
      <c r="Q1131" s="11" t="str">
        <f>PROPER(Sales_Data[[#This Row],[Month Name]])</f>
        <v>Fevereiro</v>
      </c>
      <c r="R1131" s="11" t="str">
        <f>PROPER(Sales_Data[[#This Row],[Sales Manager]])</f>
        <v>Emily White</v>
      </c>
    </row>
    <row r="1132" spans="1:18" x14ac:dyDescent="0.25">
      <c r="A1132">
        <v>11131</v>
      </c>
      <c r="B1132">
        <v>2022</v>
      </c>
      <c r="C1132" t="s">
        <v>67</v>
      </c>
      <c r="D1132" s="8">
        <v>44596</v>
      </c>
      <c r="E1132" t="s">
        <v>11</v>
      </c>
      <c r="F1132" t="s">
        <v>18</v>
      </c>
      <c r="G1132" t="s">
        <v>13</v>
      </c>
      <c r="H1132" s="9">
        <v>8</v>
      </c>
      <c r="I1132" s="9">
        <v>276</v>
      </c>
      <c r="J1132" s="10">
        <v>207000</v>
      </c>
      <c r="K1132" s="10">
        <v>26910</v>
      </c>
      <c r="L1132">
        <v>6</v>
      </c>
      <c r="M1132" s="8">
        <v>44562</v>
      </c>
      <c r="N1132" s="23">
        <v>1.04271163457138E-3</v>
      </c>
      <c r="O1132" s="10" t="str">
        <f>IF(Sales_Data[[#This Row],[Total Profit]]&gt;0,"Profitable","Loss")</f>
        <v>Profitable</v>
      </c>
      <c r="P1132" s="10" t="str">
        <f>IF(Sales_Data[[#This Row],[Total Profit]]&gt;100000,"High Value",IF(Sales_Data[[#This Row],[Total Profit]]&gt;60000,"Medium","Low"))</f>
        <v>Low</v>
      </c>
      <c r="Q1132" s="11" t="str">
        <f>PROPER(Sales_Data[[#This Row],[Month Name]])</f>
        <v>Fevereiro</v>
      </c>
      <c r="R1132" s="11" t="str">
        <f>PROPER(Sales_Data[[#This Row],[Sales Manager]])</f>
        <v>Jane Doe</v>
      </c>
    </row>
    <row r="1133" spans="1:18" x14ac:dyDescent="0.25">
      <c r="A1133">
        <v>11132</v>
      </c>
      <c r="B1133">
        <v>2022</v>
      </c>
      <c r="C1133" t="s">
        <v>67</v>
      </c>
      <c r="D1133" s="8">
        <v>44597</v>
      </c>
      <c r="E1133" t="s">
        <v>22</v>
      </c>
      <c r="F1133" t="s">
        <v>16</v>
      </c>
      <c r="G1133" t="s">
        <v>23</v>
      </c>
      <c r="H1133" s="9">
        <v>25</v>
      </c>
      <c r="I1133" s="9">
        <v>484</v>
      </c>
      <c r="J1133" s="10">
        <v>169400</v>
      </c>
      <c r="K1133" s="10">
        <v>47432.000000000007</v>
      </c>
      <c r="L1133">
        <v>6</v>
      </c>
      <c r="M1133" s="8">
        <v>44562</v>
      </c>
      <c r="N1133" s="23">
        <v>8.53310873895614E-4</v>
      </c>
      <c r="O1133" s="10" t="str">
        <f>IF(Sales_Data[[#This Row],[Total Profit]]&gt;0,"Profitable","Loss")</f>
        <v>Profitable</v>
      </c>
      <c r="P1133" s="10" t="str">
        <f>IF(Sales_Data[[#This Row],[Total Profit]]&gt;100000,"High Value",IF(Sales_Data[[#This Row],[Total Profit]]&gt;60000,"Medium","Low"))</f>
        <v>Low</v>
      </c>
      <c r="Q1133" s="11" t="str">
        <f>PROPER(Sales_Data[[#This Row],[Month Name]])</f>
        <v>Fevereiro</v>
      </c>
      <c r="R1133" s="11" t="str">
        <f>PROPER(Sales_Data[[#This Row],[Sales Manager]])</f>
        <v>James Brown</v>
      </c>
    </row>
    <row r="1134" spans="1:18" x14ac:dyDescent="0.25">
      <c r="A1134">
        <v>11133</v>
      </c>
      <c r="B1134">
        <v>2022</v>
      </c>
      <c r="C1134" t="s">
        <v>67</v>
      </c>
      <c r="D1134" s="8">
        <v>44598</v>
      </c>
      <c r="E1134" t="s">
        <v>22</v>
      </c>
      <c r="F1134" t="s">
        <v>18</v>
      </c>
      <c r="G1134" t="s">
        <v>17</v>
      </c>
      <c r="H1134" s="9">
        <v>6</v>
      </c>
      <c r="I1134" s="9">
        <v>178</v>
      </c>
      <c r="J1134" s="10">
        <v>44500</v>
      </c>
      <c r="K1134" s="10">
        <v>19135</v>
      </c>
      <c r="L1134">
        <v>7</v>
      </c>
      <c r="M1134" s="8">
        <v>44562</v>
      </c>
      <c r="N1134" s="23">
        <v>2.2415781516148099E-4</v>
      </c>
      <c r="O1134" s="10" t="str">
        <f>IF(Sales_Data[[#This Row],[Total Profit]]&gt;0,"Profitable","Loss")</f>
        <v>Profitable</v>
      </c>
      <c r="P1134" s="10" t="str">
        <f>IF(Sales_Data[[#This Row],[Total Profit]]&gt;100000,"High Value",IF(Sales_Data[[#This Row],[Total Profit]]&gt;60000,"Medium","Low"))</f>
        <v>Low</v>
      </c>
      <c r="Q1134" s="11" t="str">
        <f>PROPER(Sales_Data[[#This Row],[Month Name]])</f>
        <v>Fevereiro</v>
      </c>
      <c r="R1134" s="11" t="str">
        <f>PROPER(Sales_Data[[#This Row],[Sales Manager]])</f>
        <v>Jane Doe</v>
      </c>
    </row>
    <row r="1135" spans="1:18" x14ac:dyDescent="0.25">
      <c r="A1135">
        <v>11134</v>
      </c>
      <c r="B1135">
        <v>2022</v>
      </c>
      <c r="C1135" t="s">
        <v>67</v>
      </c>
      <c r="D1135" s="8">
        <v>44599</v>
      </c>
      <c r="E1135" t="s">
        <v>25</v>
      </c>
      <c r="F1135" t="s">
        <v>16</v>
      </c>
      <c r="G1135" t="s">
        <v>15</v>
      </c>
      <c r="H1135" s="9">
        <v>10</v>
      </c>
      <c r="I1135" s="9">
        <v>163</v>
      </c>
      <c r="J1135" s="10">
        <v>81500</v>
      </c>
      <c r="K1135" s="10">
        <v>36675</v>
      </c>
      <c r="L1135">
        <v>7</v>
      </c>
      <c r="M1135" s="8">
        <v>44562</v>
      </c>
      <c r="N1135" s="23">
        <v>4.10536223273273E-4</v>
      </c>
      <c r="O1135" s="10" t="str">
        <f>IF(Sales_Data[[#This Row],[Total Profit]]&gt;0,"Profitable","Loss")</f>
        <v>Profitable</v>
      </c>
      <c r="P1135" s="10" t="str">
        <f>IF(Sales_Data[[#This Row],[Total Profit]]&gt;100000,"High Value",IF(Sales_Data[[#This Row],[Total Profit]]&gt;60000,"Medium","Low"))</f>
        <v>Low</v>
      </c>
      <c r="Q1135" s="11" t="str">
        <f>PROPER(Sales_Data[[#This Row],[Month Name]])</f>
        <v>Fevereiro</v>
      </c>
      <c r="R1135" s="11" t="str">
        <f>PROPER(Sales_Data[[#This Row],[Sales Manager]])</f>
        <v>James Brown</v>
      </c>
    </row>
    <row r="1136" spans="1:18" x14ac:dyDescent="0.25">
      <c r="A1136">
        <v>11135</v>
      </c>
      <c r="B1136">
        <v>2022</v>
      </c>
      <c r="C1136" t="s">
        <v>67</v>
      </c>
      <c r="D1136" s="8">
        <v>44600</v>
      </c>
      <c r="E1136" t="s">
        <v>25</v>
      </c>
      <c r="F1136" t="s">
        <v>24</v>
      </c>
      <c r="G1136" t="s">
        <v>13</v>
      </c>
      <c r="H1136" s="9">
        <v>6</v>
      </c>
      <c r="I1136" s="9">
        <v>86</v>
      </c>
      <c r="J1136" s="10">
        <v>64500</v>
      </c>
      <c r="K1136" s="10">
        <v>25155</v>
      </c>
      <c r="L1136">
        <v>7</v>
      </c>
      <c r="M1136" s="8">
        <v>44562</v>
      </c>
      <c r="N1136" s="23">
        <v>3.2490290062731401E-4</v>
      </c>
      <c r="O1136" s="10" t="str">
        <f>IF(Sales_Data[[#This Row],[Total Profit]]&gt;0,"Profitable","Loss")</f>
        <v>Profitable</v>
      </c>
      <c r="P1136" s="10" t="str">
        <f>IF(Sales_Data[[#This Row],[Total Profit]]&gt;100000,"High Value",IF(Sales_Data[[#This Row],[Total Profit]]&gt;60000,"Medium","Low"))</f>
        <v>Low</v>
      </c>
      <c r="Q1136" s="11" t="str">
        <f>PROPER(Sales_Data[[#This Row],[Month Name]])</f>
        <v>Fevereiro</v>
      </c>
      <c r="R1136" s="11" t="str">
        <f>PROPER(Sales_Data[[#This Row],[Sales Manager]])</f>
        <v>Liam Lee</v>
      </c>
    </row>
    <row r="1137" spans="1:18" x14ac:dyDescent="0.25">
      <c r="A1137">
        <v>11136</v>
      </c>
      <c r="B1137">
        <v>2022</v>
      </c>
      <c r="C1137" t="s">
        <v>67</v>
      </c>
      <c r="D1137" s="8">
        <v>44601</v>
      </c>
      <c r="E1137" t="s">
        <v>19</v>
      </c>
      <c r="F1137" t="s">
        <v>18</v>
      </c>
      <c r="G1137" t="s">
        <v>20</v>
      </c>
      <c r="H1137" s="9">
        <v>18</v>
      </c>
      <c r="I1137" s="9">
        <v>199</v>
      </c>
      <c r="J1137" s="10">
        <v>169150</v>
      </c>
      <c r="K1137" s="10">
        <v>50745</v>
      </c>
      <c r="L1137">
        <v>7</v>
      </c>
      <c r="M1137" s="8">
        <v>44562</v>
      </c>
      <c r="N1137" s="23">
        <v>8.5205156032729101E-4</v>
      </c>
      <c r="O1137" s="10" t="str">
        <f>IF(Sales_Data[[#This Row],[Total Profit]]&gt;0,"Profitable","Loss")</f>
        <v>Profitable</v>
      </c>
      <c r="P1137" s="10" t="str">
        <f>IF(Sales_Data[[#This Row],[Total Profit]]&gt;100000,"High Value",IF(Sales_Data[[#This Row],[Total Profit]]&gt;60000,"Medium","Low"))</f>
        <v>Low</v>
      </c>
      <c r="Q1137" s="11" t="str">
        <f>PROPER(Sales_Data[[#This Row],[Month Name]])</f>
        <v>Fevereiro</v>
      </c>
      <c r="R1137" s="11" t="str">
        <f>PROPER(Sales_Data[[#This Row],[Sales Manager]])</f>
        <v>Jane Doe</v>
      </c>
    </row>
    <row r="1138" spans="1:18" x14ac:dyDescent="0.25">
      <c r="A1138">
        <v>11137</v>
      </c>
      <c r="B1138">
        <v>2022</v>
      </c>
      <c r="C1138" t="s">
        <v>67</v>
      </c>
      <c r="D1138" s="8">
        <v>44602</v>
      </c>
      <c r="E1138" t="s">
        <v>19</v>
      </c>
      <c r="F1138" t="s">
        <v>18</v>
      </c>
      <c r="G1138" t="s">
        <v>15</v>
      </c>
      <c r="H1138" s="9">
        <v>9</v>
      </c>
      <c r="I1138" s="9">
        <v>113</v>
      </c>
      <c r="J1138" s="10">
        <v>56500</v>
      </c>
      <c r="K1138" s="10">
        <v>10170</v>
      </c>
      <c r="L1138">
        <v>7</v>
      </c>
      <c r="M1138" s="8">
        <v>44562</v>
      </c>
      <c r="N1138" s="23">
        <v>2.8460486644098102E-4</v>
      </c>
      <c r="O1138" s="10" t="str">
        <f>IF(Sales_Data[[#This Row],[Total Profit]]&gt;0,"Profitable","Loss")</f>
        <v>Profitable</v>
      </c>
      <c r="P1138" s="10" t="str">
        <f>IF(Sales_Data[[#This Row],[Total Profit]]&gt;100000,"High Value",IF(Sales_Data[[#This Row],[Total Profit]]&gt;60000,"Medium","Low"))</f>
        <v>Low</v>
      </c>
      <c r="Q1138" s="11" t="str">
        <f>PROPER(Sales_Data[[#This Row],[Month Name]])</f>
        <v>Fevereiro</v>
      </c>
      <c r="R1138" s="11" t="str">
        <f>PROPER(Sales_Data[[#This Row],[Sales Manager]])</f>
        <v>Jane Doe</v>
      </c>
    </row>
    <row r="1139" spans="1:18" x14ac:dyDescent="0.25">
      <c r="A1139">
        <v>11138</v>
      </c>
      <c r="B1139">
        <v>2022</v>
      </c>
      <c r="C1139" t="s">
        <v>67</v>
      </c>
      <c r="D1139" s="8">
        <v>44603</v>
      </c>
      <c r="E1139" t="s">
        <v>25</v>
      </c>
      <c r="F1139" t="s">
        <v>18</v>
      </c>
      <c r="G1139" t="s">
        <v>17</v>
      </c>
      <c r="H1139" s="9">
        <v>19</v>
      </c>
      <c r="I1139" s="9">
        <v>213</v>
      </c>
      <c r="J1139" s="10">
        <v>53250</v>
      </c>
      <c r="K1139" s="10">
        <v>21300</v>
      </c>
      <c r="L1139">
        <v>7</v>
      </c>
      <c r="M1139" s="8">
        <v>44562</v>
      </c>
      <c r="N1139" s="23">
        <v>2.6823379005278301E-4</v>
      </c>
      <c r="O1139" s="10" t="str">
        <f>IF(Sales_Data[[#This Row],[Total Profit]]&gt;0,"Profitable","Loss")</f>
        <v>Profitable</v>
      </c>
      <c r="P1139" s="10" t="str">
        <f>IF(Sales_Data[[#This Row],[Total Profit]]&gt;100000,"High Value",IF(Sales_Data[[#This Row],[Total Profit]]&gt;60000,"Medium","Low"))</f>
        <v>Low</v>
      </c>
      <c r="Q1139" s="11" t="str">
        <f>PROPER(Sales_Data[[#This Row],[Month Name]])</f>
        <v>Fevereiro</v>
      </c>
      <c r="R1139" s="11" t="str">
        <f>PROPER(Sales_Data[[#This Row],[Sales Manager]])</f>
        <v>Jane Doe</v>
      </c>
    </row>
    <row r="1140" spans="1:18" x14ac:dyDescent="0.25">
      <c r="A1140">
        <v>11139</v>
      </c>
      <c r="B1140">
        <v>2022</v>
      </c>
      <c r="C1140" t="s">
        <v>67</v>
      </c>
      <c r="D1140" s="8">
        <v>44604</v>
      </c>
      <c r="E1140" t="s">
        <v>22</v>
      </c>
      <c r="F1140" t="s">
        <v>18</v>
      </c>
      <c r="G1140" t="s">
        <v>20</v>
      </c>
      <c r="H1140" s="9">
        <v>10</v>
      </c>
      <c r="I1140" s="9">
        <v>195</v>
      </c>
      <c r="J1140" s="10">
        <v>165750</v>
      </c>
      <c r="K1140" s="10">
        <v>64642.5</v>
      </c>
      <c r="L1140">
        <v>7</v>
      </c>
      <c r="M1140" s="8">
        <v>44562</v>
      </c>
      <c r="N1140" s="23">
        <v>8.3492489579809902E-4</v>
      </c>
      <c r="O1140" s="10" t="str">
        <f>IF(Sales_Data[[#This Row],[Total Profit]]&gt;0,"Profitable","Loss")</f>
        <v>Profitable</v>
      </c>
      <c r="P1140" s="10" t="str">
        <f>IF(Sales_Data[[#This Row],[Total Profit]]&gt;100000,"High Value",IF(Sales_Data[[#This Row],[Total Profit]]&gt;60000,"Medium","Low"))</f>
        <v>Medium</v>
      </c>
      <c r="Q1140" s="11" t="str">
        <f>PROPER(Sales_Data[[#This Row],[Month Name]])</f>
        <v>Fevereiro</v>
      </c>
      <c r="R1140" s="11" t="str">
        <f>PROPER(Sales_Data[[#This Row],[Sales Manager]])</f>
        <v>Jane Doe</v>
      </c>
    </row>
    <row r="1141" spans="1:18" x14ac:dyDescent="0.25">
      <c r="A1141">
        <v>11140</v>
      </c>
      <c r="B1141">
        <v>2022</v>
      </c>
      <c r="C1141" t="s">
        <v>67</v>
      </c>
      <c r="D1141" s="8">
        <v>44605</v>
      </c>
      <c r="E1141" t="s">
        <v>19</v>
      </c>
      <c r="F1141" t="s">
        <v>16</v>
      </c>
      <c r="G1141" t="s">
        <v>15</v>
      </c>
      <c r="H1141" s="9">
        <v>7</v>
      </c>
      <c r="I1141" s="9">
        <v>141</v>
      </c>
      <c r="J1141" s="10">
        <v>70500</v>
      </c>
      <c r="K1141" s="10">
        <v>9870.0000000000018</v>
      </c>
      <c r="L1141">
        <v>8</v>
      </c>
      <c r="M1141" s="8">
        <v>44562</v>
      </c>
      <c r="N1141" s="23">
        <v>3.5512642626706498E-4</v>
      </c>
      <c r="O1141" s="10" t="str">
        <f>IF(Sales_Data[[#This Row],[Total Profit]]&gt;0,"Profitable","Loss")</f>
        <v>Profitable</v>
      </c>
      <c r="P1141" s="10" t="str">
        <f>IF(Sales_Data[[#This Row],[Total Profit]]&gt;100000,"High Value",IF(Sales_Data[[#This Row],[Total Profit]]&gt;60000,"Medium","Low"))</f>
        <v>Low</v>
      </c>
      <c r="Q1141" s="11" t="str">
        <f>PROPER(Sales_Data[[#This Row],[Month Name]])</f>
        <v>Fevereiro</v>
      </c>
      <c r="R1141" s="11" t="str">
        <f>PROPER(Sales_Data[[#This Row],[Sales Manager]])</f>
        <v>James Brown</v>
      </c>
    </row>
    <row r="1142" spans="1:18" x14ac:dyDescent="0.25">
      <c r="A1142">
        <v>11141</v>
      </c>
      <c r="B1142">
        <v>2022</v>
      </c>
      <c r="C1142" t="s">
        <v>67</v>
      </c>
      <c r="D1142" s="8">
        <v>44606</v>
      </c>
      <c r="E1142" t="s">
        <v>11</v>
      </c>
      <c r="F1142" t="s">
        <v>21</v>
      </c>
      <c r="G1142" t="s">
        <v>17</v>
      </c>
      <c r="H1142" s="9">
        <v>49</v>
      </c>
      <c r="I1142" s="9">
        <v>493</v>
      </c>
      <c r="J1142" s="10">
        <v>123250</v>
      </c>
      <c r="K1142" s="10">
        <v>29580</v>
      </c>
      <c r="L1142">
        <v>8</v>
      </c>
      <c r="M1142" s="8">
        <v>44562</v>
      </c>
      <c r="N1142" s="23">
        <v>6.2084158918320202E-4</v>
      </c>
      <c r="O1142" s="10" t="str">
        <f>IF(Sales_Data[[#This Row],[Total Profit]]&gt;0,"Profitable","Loss")</f>
        <v>Profitable</v>
      </c>
      <c r="P1142" s="10" t="str">
        <f>IF(Sales_Data[[#This Row],[Total Profit]]&gt;100000,"High Value",IF(Sales_Data[[#This Row],[Total Profit]]&gt;60000,"Medium","Low"))</f>
        <v>Low</v>
      </c>
      <c r="Q1142" s="11" t="str">
        <f>PROPER(Sales_Data[[#This Row],[Month Name]])</f>
        <v>Fevereiro</v>
      </c>
      <c r="R1142" s="11" t="str">
        <f>PROPER(Sales_Data[[#This Row],[Sales Manager]])</f>
        <v>John Smith</v>
      </c>
    </row>
    <row r="1143" spans="1:18" x14ac:dyDescent="0.25">
      <c r="A1143">
        <v>11142</v>
      </c>
      <c r="B1143">
        <v>2022</v>
      </c>
      <c r="C1143" t="s">
        <v>67</v>
      </c>
      <c r="D1143" s="8">
        <v>44607</v>
      </c>
      <c r="E1143" t="s">
        <v>19</v>
      </c>
      <c r="F1143" t="s">
        <v>16</v>
      </c>
      <c r="G1143" t="s">
        <v>15</v>
      </c>
      <c r="H1143" s="9">
        <v>19</v>
      </c>
      <c r="I1143" s="9">
        <v>194</v>
      </c>
      <c r="J1143" s="10">
        <v>97000</v>
      </c>
      <c r="K1143" s="10">
        <v>17460</v>
      </c>
      <c r="L1143">
        <v>8</v>
      </c>
      <c r="M1143" s="8">
        <v>44562</v>
      </c>
      <c r="N1143" s="23">
        <v>4.8861366450929497E-4</v>
      </c>
      <c r="O1143" s="10" t="str">
        <f>IF(Sales_Data[[#This Row],[Total Profit]]&gt;0,"Profitable","Loss")</f>
        <v>Profitable</v>
      </c>
      <c r="P1143" s="10" t="str">
        <f>IF(Sales_Data[[#This Row],[Total Profit]]&gt;100000,"High Value",IF(Sales_Data[[#This Row],[Total Profit]]&gt;60000,"Medium","Low"))</f>
        <v>Low</v>
      </c>
      <c r="Q1143" s="11" t="str">
        <f>PROPER(Sales_Data[[#This Row],[Month Name]])</f>
        <v>Fevereiro</v>
      </c>
      <c r="R1143" s="11" t="str">
        <f>PROPER(Sales_Data[[#This Row],[Sales Manager]])</f>
        <v>James Brown</v>
      </c>
    </row>
    <row r="1144" spans="1:18" x14ac:dyDescent="0.25">
      <c r="A1144">
        <v>11143</v>
      </c>
      <c r="B1144">
        <v>2022</v>
      </c>
      <c r="C1144" t="s">
        <v>67</v>
      </c>
      <c r="D1144" s="8">
        <v>44608</v>
      </c>
      <c r="E1144" t="s">
        <v>22</v>
      </c>
      <c r="F1144" t="s">
        <v>16</v>
      </c>
      <c r="G1144" t="s">
        <v>15</v>
      </c>
      <c r="H1144" s="9">
        <v>18</v>
      </c>
      <c r="I1144" s="9">
        <v>432</v>
      </c>
      <c r="J1144" s="10">
        <v>216000</v>
      </c>
      <c r="K1144" s="10">
        <v>97200</v>
      </c>
      <c r="L1144">
        <v>8</v>
      </c>
      <c r="M1144" s="8">
        <v>44562</v>
      </c>
      <c r="N1144" s="23">
        <v>1.08804692303101E-3</v>
      </c>
      <c r="O1144" s="10" t="str">
        <f>IF(Sales_Data[[#This Row],[Total Profit]]&gt;0,"Profitable","Loss")</f>
        <v>Profitable</v>
      </c>
      <c r="P1144" s="10" t="str">
        <f>IF(Sales_Data[[#This Row],[Total Profit]]&gt;100000,"High Value",IF(Sales_Data[[#This Row],[Total Profit]]&gt;60000,"Medium","Low"))</f>
        <v>Medium</v>
      </c>
      <c r="Q1144" s="11" t="str">
        <f>PROPER(Sales_Data[[#This Row],[Month Name]])</f>
        <v>Fevereiro</v>
      </c>
      <c r="R1144" s="11" t="str">
        <f>PROPER(Sales_Data[[#This Row],[Sales Manager]])</f>
        <v>James Brown</v>
      </c>
    </row>
    <row r="1145" spans="1:18" x14ac:dyDescent="0.25">
      <c r="A1145">
        <v>11144</v>
      </c>
      <c r="B1145">
        <v>2022</v>
      </c>
      <c r="C1145" t="s">
        <v>67</v>
      </c>
      <c r="D1145" s="8">
        <v>44609</v>
      </c>
      <c r="E1145" t="s">
        <v>25</v>
      </c>
      <c r="F1145" t="s">
        <v>24</v>
      </c>
      <c r="G1145" t="s">
        <v>15</v>
      </c>
      <c r="H1145" s="9">
        <v>16</v>
      </c>
      <c r="I1145" s="9">
        <v>215</v>
      </c>
      <c r="J1145" s="10">
        <v>107500</v>
      </c>
      <c r="K1145" s="10">
        <v>36550</v>
      </c>
      <c r="L1145">
        <v>8</v>
      </c>
      <c r="M1145" s="8">
        <v>44562</v>
      </c>
      <c r="N1145" s="23">
        <v>5.4150483437885697E-4</v>
      </c>
      <c r="O1145" s="10" t="str">
        <f>IF(Sales_Data[[#This Row],[Total Profit]]&gt;0,"Profitable","Loss")</f>
        <v>Profitable</v>
      </c>
      <c r="P1145" s="10" t="str">
        <f>IF(Sales_Data[[#This Row],[Total Profit]]&gt;100000,"High Value",IF(Sales_Data[[#This Row],[Total Profit]]&gt;60000,"Medium","Low"))</f>
        <v>Low</v>
      </c>
      <c r="Q1145" s="11" t="str">
        <f>PROPER(Sales_Data[[#This Row],[Month Name]])</f>
        <v>Fevereiro</v>
      </c>
      <c r="R1145" s="11" t="str">
        <f>PROPER(Sales_Data[[#This Row],[Sales Manager]])</f>
        <v>Liam Lee</v>
      </c>
    </row>
    <row r="1146" spans="1:18" x14ac:dyDescent="0.25">
      <c r="A1146">
        <v>11145</v>
      </c>
      <c r="B1146">
        <v>2022</v>
      </c>
      <c r="C1146" t="s">
        <v>67</v>
      </c>
      <c r="D1146" s="8">
        <v>44610</v>
      </c>
      <c r="E1146" t="s">
        <v>22</v>
      </c>
      <c r="F1146" t="s">
        <v>12</v>
      </c>
      <c r="G1146" t="s">
        <v>17</v>
      </c>
      <c r="H1146" s="9">
        <v>21</v>
      </c>
      <c r="I1146" s="9">
        <v>301</v>
      </c>
      <c r="J1146" s="10">
        <v>75250</v>
      </c>
      <c r="K1146" s="10">
        <v>27842.5</v>
      </c>
      <c r="L1146">
        <v>8</v>
      </c>
      <c r="M1146" s="8">
        <v>44562</v>
      </c>
      <c r="N1146" s="23">
        <v>3.7905338406520002E-4</v>
      </c>
      <c r="O1146" s="10" t="str">
        <f>IF(Sales_Data[[#This Row],[Total Profit]]&gt;0,"Profitable","Loss")</f>
        <v>Profitable</v>
      </c>
      <c r="P1146" s="10" t="str">
        <f>IF(Sales_Data[[#This Row],[Total Profit]]&gt;100000,"High Value",IF(Sales_Data[[#This Row],[Total Profit]]&gt;60000,"Medium","Low"))</f>
        <v>Low</v>
      </c>
      <c r="Q1146" s="11" t="str">
        <f>PROPER(Sales_Data[[#This Row],[Month Name]])</f>
        <v>Fevereiro</v>
      </c>
      <c r="R1146" s="11" t="str">
        <f>PROPER(Sales_Data[[#This Row],[Sales Manager]])</f>
        <v>Emily White</v>
      </c>
    </row>
    <row r="1147" spans="1:18" x14ac:dyDescent="0.25">
      <c r="A1147">
        <v>11146</v>
      </c>
      <c r="B1147">
        <v>2022</v>
      </c>
      <c r="C1147" t="s">
        <v>67</v>
      </c>
      <c r="D1147" s="8">
        <v>44611</v>
      </c>
      <c r="E1147" t="s">
        <v>14</v>
      </c>
      <c r="F1147" t="s">
        <v>21</v>
      </c>
      <c r="G1147" t="s">
        <v>20</v>
      </c>
      <c r="H1147" s="9">
        <v>13</v>
      </c>
      <c r="I1147" s="9">
        <v>132</v>
      </c>
      <c r="J1147" s="10">
        <v>112200</v>
      </c>
      <c r="K1147" s="10">
        <v>19074</v>
      </c>
      <c r="L1147">
        <v>8</v>
      </c>
      <c r="M1147" s="8">
        <v>44562</v>
      </c>
      <c r="N1147" s="23">
        <v>5.6517992946332799E-4</v>
      </c>
      <c r="O1147" s="10" t="str">
        <f>IF(Sales_Data[[#This Row],[Total Profit]]&gt;0,"Profitable","Loss")</f>
        <v>Profitable</v>
      </c>
      <c r="P1147" s="10" t="str">
        <f>IF(Sales_Data[[#This Row],[Total Profit]]&gt;100000,"High Value",IF(Sales_Data[[#This Row],[Total Profit]]&gt;60000,"Medium","Low"))</f>
        <v>Low</v>
      </c>
      <c r="Q1147" s="11" t="str">
        <f>PROPER(Sales_Data[[#This Row],[Month Name]])</f>
        <v>Fevereiro</v>
      </c>
      <c r="R1147" s="11" t="str">
        <f>PROPER(Sales_Data[[#This Row],[Sales Manager]])</f>
        <v>John Smith</v>
      </c>
    </row>
    <row r="1148" spans="1:18" x14ac:dyDescent="0.25">
      <c r="A1148">
        <v>11147</v>
      </c>
      <c r="B1148">
        <v>2022</v>
      </c>
      <c r="C1148" t="s">
        <v>67</v>
      </c>
      <c r="D1148" s="8">
        <v>44612</v>
      </c>
      <c r="E1148" t="s">
        <v>25</v>
      </c>
      <c r="F1148" t="s">
        <v>24</v>
      </c>
      <c r="G1148" t="s">
        <v>15</v>
      </c>
      <c r="H1148" s="9">
        <v>2</v>
      </c>
      <c r="I1148" s="9">
        <v>26</v>
      </c>
      <c r="J1148" s="10">
        <v>13000</v>
      </c>
      <c r="K1148" s="10">
        <v>1430</v>
      </c>
      <c r="L1148">
        <v>9</v>
      </c>
      <c r="M1148" s="8">
        <v>44562</v>
      </c>
      <c r="N1148" s="23">
        <v>6.5484305552792105E-5</v>
      </c>
      <c r="O1148" s="10" t="str">
        <f>IF(Sales_Data[[#This Row],[Total Profit]]&gt;0,"Profitable","Loss")</f>
        <v>Profitable</v>
      </c>
      <c r="P1148" s="10" t="str">
        <f>IF(Sales_Data[[#This Row],[Total Profit]]&gt;100000,"High Value",IF(Sales_Data[[#This Row],[Total Profit]]&gt;60000,"Medium","Low"))</f>
        <v>Low</v>
      </c>
      <c r="Q1148" s="11" t="str">
        <f>PROPER(Sales_Data[[#This Row],[Month Name]])</f>
        <v>Fevereiro</v>
      </c>
      <c r="R1148" s="11" t="str">
        <f>PROPER(Sales_Data[[#This Row],[Sales Manager]])</f>
        <v>Liam Lee</v>
      </c>
    </row>
    <row r="1149" spans="1:18" x14ac:dyDescent="0.25">
      <c r="A1149">
        <v>11148</v>
      </c>
      <c r="B1149">
        <v>2022</v>
      </c>
      <c r="C1149" t="s">
        <v>67</v>
      </c>
      <c r="D1149" s="8">
        <v>44613</v>
      </c>
      <c r="E1149" t="s">
        <v>11</v>
      </c>
      <c r="F1149" t="s">
        <v>18</v>
      </c>
      <c r="G1149" t="s">
        <v>23</v>
      </c>
      <c r="H1149" s="9">
        <v>1</v>
      </c>
      <c r="I1149" s="9">
        <v>89</v>
      </c>
      <c r="J1149" s="10">
        <v>31150</v>
      </c>
      <c r="K1149" s="10">
        <v>11525.5</v>
      </c>
      <c r="L1149">
        <v>9</v>
      </c>
      <c r="M1149" s="8">
        <v>44562</v>
      </c>
      <c r="N1149" s="23">
        <v>1.56910470613036E-4</v>
      </c>
      <c r="O1149" s="10" t="str">
        <f>IF(Sales_Data[[#This Row],[Total Profit]]&gt;0,"Profitable","Loss")</f>
        <v>Profitable</v>
      </c>
      <c r="P1149" s="10" t="str">
        <f>IF(Sales_Data[[#This Row],[Total Profit]]&gt;100000,"High Value",IF(Sales_Data[[#This Row],[Total Profit]]&gt;60000,"Medium","Low"))</f>
        <v>Low</v>
      </c>
      <c r="Q1149" s="11" t="str">
        <f>PROPER(Sales_Data[[#This Row],[Month Name]])</f>
        <v>Fevereiro</v>
      </c>
      <c r="R1149" s="11" t="str">
        <f>PROPER(Sales_Data[[#This Row],[Sales Manager]])</f>
        <v>Jane Doe</v>
      </c>
    </row>
    <row r="1150" spans="1:18" x14ac:dyDescent="0.25">
      <c r="A1150">
        <v>11149</v>
      </c>
      <c r="B1150">
        <v>2022</v>
      </c>
      <c r="C1150" t="s">
        <v>67</v>
      </c>
      <c r="D1150" s="8">
        <v>44614</v>
      </c>
      <c r="E1150" t="s">
        <v>19</v>
      </c>
      <c r="F1150" t="s">
        <v>16</v>
      </c>
      <c r="G1150" t="s">
        <v>23</v>
      </c>
      <c r="H1150" s="9">
        <v>36</v>
      </c>
      <c r="I1150" s="9">
        <v>433</v>
      </c>
      <c r="J1150" s="10">
        <v>151550</v>
      </c>
      <c r="K1150" s="10">
        <v>16670.5</v>
      </c>
      <c r="L1150">
        <v>9</v>
      </c>
      <c r="M1150" s="8">
        <v>44562</v>
      </c>
      <c r="N1150" s="23">
        <v>7.6339588511735695E-4</v>
      </c>
      <c r="O1150" s="10" t="str">
        <f>IF(Sales_Data[[#This Row],[Total Profit]]&gt;0,"Profitable","Loss")</f>
        <v>Profitable</v>
      </c>
      <c r="P1150" s="10" t="str">
        <f>IF(Sales_Data[[#This Row],[Total Profit]]&gt;100000,"High Value",IF(Sales_Data[[#This Row],[Total Profit]]&gt;60000,"Medium","Low"))</f>
        <v>Low</v>
      </c>
      <c r="Q1150" s="11" t="str">
        <f>PROPER(Sales_Data[[#This Row],[Month Name]])</f>
        <v>Fevereiro</v>
      </c>
      <c r="R1150" s="11" t="str">
        <f>PROPER(Sales_Data[[#This Row],[Sales Manager]])</f>
        <v>James Brown</v>
      </c>
    </row>
    <row r="1151" spans="1:18" x14ac:dyDescent="0.25">
      <c r="A1151">
        <v>11150</v>
      </c>
      <c r="B1151">
        <v>2022</v>
      </c>
      <c r="C1151" t="s">
        <v>67</v>
      </c>
      <c r="D1151" s="8">
        <v>44615</v>
      </c>
      <c r="E1151" t="s">
        <v>11</v>
      </c>
      <c r="F1151" t="s">
        <v>16</v>
      </c>
      <c r="G1151" t="s">
        <v>13</v>
      </c>
      <c r="H1151" s="9">
        <v>5</v>
      </c>
      <c r="I1151" s="9">
        <v>85</v>
      </c>
      <c r="J1151" s="10">
        <v>63750</v>
      </c>
      <c r="K1151" s="10">
        <v>7012.5</v>
      </c>
      <c r="L1151">
        <v>9</v>
      </c>
      <c r="M1151" s="8">
        <v>44562</v>
      </c>
      <c r="N1151" s="23">
        <v>3.2112495992234598E-4</v>
      </c>
      <c r="O1151" s="10" t="str">
        <f>IF(Sales_Data[[#This Row],[Total Profit]]&gt;0,"Profitable","Loss")</f>
        <v>Profitable</v>
      </c>
      <c r="P1151" s="10" t="str">
        <f>IF(Sales_Data[[#This Row],[Total Profit]]&gt;100000,"High Value",IF(Sales_Data[[#This Row],[Total Profit]]&gt;60000,"Medium","Low"))</f>
        <v>Low</v>
      </c>
      <c r="Q1151" s="11" t="str">
        <f>PROPER(Sales_Data[[#This Row],[Month Name]])</f>
        <v>Fevereiro</v>
      </c>
      <c r="R1151" s="11" t="str">
        <f>PROPER(Sales_Data[[#This Row],[Sales Manager]])</f>
        <v>James Brown</v>
      </c>
    </row>
    <row r="1152" spans="1:18" x14ac:dyDescent="0.25">
      <c r="A1152">
        <v>11151</v>
      </c>
      <c r="B1152">
        <v>2022</v>
      </c>
      <c r="C1152" t="s">
        <v>67</v>
      </c>
      <c r="D1152" s="8">
        <v>44616</v>
      </c>
      <c r="E1152" t="s">
        <v>19</v>
      </c>
      <c r="F1152" t="s">
        <v>24</v>
      </c>
      <c r="G1152" t="s">
        <v>15</v>
      </c>
      <c r="H1152" s="9">
        <v>11</v>
      </c>
      <c r="I1152" s="9">
        <v>227</v>
      </c>
      <c r="J1152" s="10">
        <v>113500</v>
      </c>
      <c r="K1152" s="10">
        <v>22700</v>
      </c>
      <c r="L1152">
        <v>9</v>
      </c>
      <c r="M1152" s="8">
        <v>44562</v>
      </c>
      <c r="N1152" s="23">
        <v>5.71728360018608E-4</v>
      </c>
      <c r="O1152" s="10" t="str">
        <f>IF(Sales_Data[[#This Row],[Total Profit]]&gt;0,"Profitable","Loss")</f>
        <v>Profitable</v>
      </c>
      <c r="P1152" s="10" t="str">
        <f>IF(Sales_Data[[#This Row],[Total Profit]]&gt;100000,"High Value",IF(Sales_Data[[#This Row],[Total Profit]]&gt;60000,"Medium","Low"))</f>
        <v>Low</v>
      </c>
      <c r="Q1152" s="11" t="str">
        <f>PROPER(Sales_Data[[#This Row],[Month Name]])</f>
        <v>Fevereiro</v>
      </c>
      <c r="R1152" s="11" t="str">
        <f>PROPER(Sales_Data[[#This Row],[Sales Manager]])</f>
        <v>Liam Lee</v>
      </c>
    </row>
    <row r="1153" spans="1:18" x14ac:dyDescent="0.25">
      <c r="A1153">
        <v>11152</v>
      </c>
      <c r="B1153">
        <v>2022</v>
      </c>
      <c r="C1153" t="s">
        <v>67</v>
      </c>
      <c r="D1153" s="8">
        <v>44617</v>
      </c>
      <c r="E1153" t="s">
        <v>19</v>
      </c>
      <c r="F1153" t="s">
        <v>16</v>
      </c>
      <c r="G1153" t="s">
        <v>15</v>
      </c>
      <c r="H1153" s="9">
        <v>16</v>
      </c>
      <c r="I1153" s="9">
        <v>267</v>
      </c>
      <c r="J1153" s="10">
        <v>133500</v>
      </c>
      <c r="K1153" s="10">
        <v>20025</v>
      </c>
      <c r="L1153">
        <v>9</v>
      </c>
      <c r="M1153" s="8">
        <v>44562</v>
      </c>
      <c r="N1153" s="23">
        <v>6.7247344548444202E-4</v>
      </c>
      <c r="O1153" s="10" t="str">
        <f>IF(Sales_Data[[#This Row],[Total Profit]]&gt;0,"Profitable","Loss")</f>
        <v>Profitable</v>
      </c>
      <c r="P1153" s="10" t="str">
        <f>IF(Sales_Data[[#This Row],[Total Profit]]&gt;100000,"High Value",IF(Sales_Data[[#This Row],[Total Profit]]&gt;60000,"Medium","Low"))</f>
        <v>Low</v>
      </c>
      <c r="Q1153" s="11" t="str">
        <f>PROPER(Sales_Data[[#This Row],[Month Name]])</f>
        <v>Fevereiro</v>
      </c>
      <c r="R1153" s="11" t="str">
        <f>PROPER(Sales_Data[[#This Row],[Sales Manager]])</f>
        <v>James Brown</v>
      </c>
    </row>
    <row r="1154" spans="1:18" x14ac:dyDescent="0.25">
      <c r="A1154">
        <v>11153</v>
      </c>
      <c r="B1154">
        <v>2022</v>
      </c>
      <c r="C1154" t="s">
        <v>67</v>
      </c>
      <c r="D1154" s="8">
        <v>44618</v>
      </c>
      <c r="E1154" t="s">
        <v>25</v>
      </c>
      <c r="F1154" t="s">
        <v>24</v>
      </c>
      <c r="G1154" t="s">
        <v>20</v>
      </c>
      <c r="H1154" s="9">
        <v>3</v>
      </c>
      <c r="I1154" s="9">
        <v>30</v>
      </c>
      <c r="J1154" s="10">
        <v>25500</v>
      </c>
      <c r="K1154" s="10">
        <v>3825</v>
      </c>
      <c r="L1154">
        <v>9</v>
      </c>
      <c r="M1154" s="8">
        <v>44562</v>
      </c>
      <c r="N1154" s="23">
        <v>1.28449983968938E-4</v>
      </c>
      <c r="O1154" s="10" t="str">
        <f>IF(Sales_Data[[#This Row],[Total Profit]]&gt;0,"Profitable","Loss")</f>
        <v>Profitable</v>
      </c>
      <c r="P1154" s="10" t="str">
        <f>IF(Sales_Data[[#This Row],[Total Profit]]&gt;100000,"High Value",IF(Sales_Data[[#This Row],[Total Profit]]&gt;60000,"Medium","Low"))</f>
        <v>Low</v>
      </c>
      <c r="Q1154" s="11" t="str">
        <f>PROPER(Sales_Data[[#This Row],[Month Name]])</f>
        <v>Fevereiro</v>
      </c>
      <c r="R1154" s="11" t="str">
        <f>PROPER(Sales_Data[[#This Row],[Sales Manager]])</f>
        <v>Liam Lee</v>
      </c>
    </row>
    <row r="1155" spans="1:18" x14ac:dyDescent="0.25">
      <c r="A1155">
        <v>11154</v>
      </c>
      <c r="B1155">
        <v>2022</v>
      </c>
      <c r="C1155" t="s">
        <v>67</v>
      </c>
      <c r="D1155" s="8">
        <v>44619</v>
      </c>
      <c r="E1155" t="s">
        <v>14</v>
      </c>
      <c r="F1155" t="s">
        <v>21</v>
      </c>
      <c r="G1155" t="s">
        <v>23</v>
      </c>
      <c r="H1155" s="9">
        <v>12</v>
      </c>
      <c r="I1155" s="9">
        <v>334</v>
      </c>
      <c r="J1155" s="10">
        <v>116900</v>
      </c>
      <c r="K1155" s="10">
        <v>24549</v>
      </c>
      <c r="L1155">
        <v>10</v>
      </c>
      <c r="M1155" s="8">
        <v>44562</v>
      </c>
      <c r="N1155" s="23">
        <v>5.8885502454779901E-4</v>
      </c>
      <c r="O1155" s="10" t="str">
        <f>IF(Sales_Data[[#This Row],[Total Profit]]&gt;0,"Profitable","Loss")</f>
        <v>Profitable</v>
      </c>
      <c r="P1155" s="10" t="str">
        <f>IF(Sales_Data[[#This Row],[Total Profit]]&gt;100000,"High Value",IF(Sales_Data[[#This Row],[Total Profit]]&gt;60000,"Medium","Low"))</f>
        <v>Low</v>
      </c>
      <c r="Q1155" s="11" t="str">
        <f>PROPER(Sales_Data[[#This Row],[Month Name]])</f>
        <v>Fevereiro</v>
      </c>
      <c r="R1155" s="11" t="str">
        <f>PROPER(Sales_Data[[#This Row],[Sales Manager]])</f>
        <v>John Smith</v>
      </c>
    </row>
    <row r="1156" spans="1:18" x14ac:dyDescent="0.25">
      <c r="A1156">
        <v>11155</v>
      </c>
      <c r="B1156">
        <v>2022</v>
      </c>
      <c r="C1156" t="s">
        <v>67</v>
      </c>
      <c r="D1156" s="8">
        <v>44620</v>
      </c>
      <c r="E1156" t="s">
        <v>19</v>
      </c>
      <c r="F1156" t="s">
        <v>21</v>
      </c>
      <c r="G1156" t="s">
        <v>15</v>
      </c>
      <c r="H1156" s="9">
        <v>34</v>
      </c>
      <c r="I1156" s="9">
        <v>472</v>
      </c>
      <c r="J1156" s="10">
        <v>236000</v>
      </c>
      <c r="K1156" s="10">
        <v>47200</v>
      </c>
      <c r="L1156">
        <v>10</v>
      </c>
      <c r="M1156" s="8">
        <v>44562</v>
      </c>
      <c r="N1156" s="23">
        <v>1.1887920084968401E-3</v>
      </c>
      <c r="O1156" s="10" t="str">
        <f>IF(Sales_Data[[#This Row],[Total Profit]]&gt;0,"Profitable","Loss")</f>
        <v>Profitable</v>
      </c>
      <c r="P1156" s="10" t="str">
        <f>IF(Sales_Data[[#This Row],[Total Profit]]&gt;100000,"High Value",IF(Sales_Data[[#This Row],[Total Profit]]&gt;60000,"Medium","Low"))</f>
        <v>Low</v>
      </c>
      <c r="Q1156" s="11" t="str">
        <f>PROPER(Sales_Data[[#This Row],[Month Name]])</f>
        <v>Fevereiro</v>
      </c>
      <c r="R1156" s="11" t="str">
        <f>PROPER(Sales_Data[[#This Row],[Sales Manager]])</f>
        <v>John Smith</v>
      </c>
    </row>
    <row r="1157" spans="1:18" x14ac:dyDescent="0.25">
      <c r="A1157">
        <v>11156</v>
      </c>
      <c r="B1157">
        <v>2022</v>
      </c>
      <c r="C1157" t="s">
        <v>68</v>
      </c>
      <c r="D1157" s="8">
        <v>44621</v>
      </c>
      <c r="E1157" t="s">
        <v>19</v>
      </c>
      <c r="F1157" t="s">
        <v>18</v>
      </c>
      <c r="G1157" t="s">
        <v>15</v>
      </c>
      <c r="H1157" s="9">
        <v>28</v>
      </c>
      <c r="I1157" s="9">
        <v>350</v>
      </c>
      <c r="J1157" s="10">
        <v>175000</v>
      </c>
      <c r="K1157" s="10">
        <v>73500</v>
      </c>
      <c r="L1157">
        <v>10</v>
      </c>
      <c r="M1157" s="8">
        <v>44562</v>
      </c>
      <c r="N1157" s="23">
        <v>8.8151949782604697E-4</v>
      </c>
      <c r="O1157" s="10" t="str">
        <f>IF(Sales_Data[[#This Row],[Total Profit]]&gt;0,"Profitable","Loss")</f>
        <v>Profitable</v>
      </c>
      <c r="P1157" s="10" t="str">
        <f>IF(Sales_Data[[#This Row],[Total Profit]]&gt;100000,"High Value",IF(Sales_Data[[#This Row],[Total Profit]]&gt;60000,"Medium","Low"))</f>
        <v>Medium</v>
      </c>
      <c r="Q1157" s="11" t="str">
        <f>PROPER(Sales_Data[[#This Row],[Month Name]])</f>
        <v>Março</v>
      </c>
      <c r="R1157" s="11" t="str">
        <f>PROPER(Sales_Data[[#This Row],[Sales Manager]])</f>
        <v>Jane Doe</v>
      </c>
    </row>
    <row r="1158" spans="1:18" x14ac:dyDescent="0.25">
      <c r="A1158">
        <v>11157</v>
      </c>
      <c r="B1158">
        <v>2022</v>
      </c>
      <c r="C1158" t="s">
        <v>68</v>
      </c>
      <c r="D1158" s="8">
        <v>44622</v>
      </c>
      <c r="E1158" t="s">
        <v>11</v>
      </c>
      <c r="F1158" t="s">
        <v>21</v>
      </c>
      <c r="G1158" t="s">
        <v>13</v>
      </c>
      <c r="H1158" s="9">
        <v>32</v>
      </c>
      <c r="I1158" s="9">
        <v>483</v>
      </c>
      <c r="J1158" s="10">
        <v>362250</v>
      </c>
      <c r="K1158" s="10">
        <v>152145</v>
      </c>
      <c r="L1158">
        <v>10</v>
      </c>
      <c r="M1158" s="8">
        <v>44562</v>
      </c>
      <c r="N1158" s="23">
        <v>1.8247453604999201E-3</v>
      </c>
      <c r="O1158" s="10" t="str">
        <f>IF(Sales_Data[[#This Row],[Total Profit]]&gt;0,"Profitable","Loss")</f>
        <v>Profitable</v>
      </c>
      <c r="P1158" s="10" t="str">
        <f>IF(Sales_Data[[#This Row],[Total Profit]]&gt;100000,"High Value",IF(Sales_Data[[#This Row],[Total Profit]]&gt;60000,"Medium","Low"))</f>
        <v>High Value</v>
      </c>
      <c r="Q1158" s="11" t="str">
        <f>PROPER(Sales_Data[[#This Row],[Month Name]])</f>
        <v>Março</v>
      </c>
      <c r="R1158" s="11" t="str">
        <f>PROPER(Sales_Data[[#This Row],[Sales Manager]])</f>
        <v>John Smith</v>
      </c>
    </row>
    <row r="1159" spans="1:18" x14ac:dyDescent="0.25">
      <c r="A1159">
        <v>11158</v>
      </c>
      <c r="B1159">
        <v>2022</v>
      </c>
      <c r="C1159" t="s">
        <v>68</v>
      </c>
      <c r="D1159" s="8">
        <v>44623</v>
      </c>
      <c r="E1159" t="s">
        <v>19</v>
      </c>
      <c r="F1159" t="s">
        <v>21</v>
      </c>
      <c r="G1159" t="s">
        <v>13</v>
      </c>
      <c r="H1159" s="9">
        <v>23</v>
      </c>
      <c r="I1159" s="9">
        <v>398</v>
      </c>
      <c r="J1159" s="10">
        <v>298500</v>
      </c>
      <c r="K1159" s="10">
        <v>56715</v>
      </c>
      <c r="L1159">
        <v>10</v>
      </c>
      <c r="M1159" s="8">
        <v>44562</v>
      </c>
      <c r="N1159" s="23">
        <v>1.50362040057757E-3</v>
      </c>
      <c r="O1159" s="10" t="str">
        <f>IF(Sales_Data[[#This Row],[Total Profit]]&gt;0,"Profitable","Loss")</f>
        <v>Profitable</v>
      </c>
      <c r="P1159" s="10" t="str">
        <f>IF(Sales_Data[[#This Row],[Total Profit]]&gt;100000,"High Value",IF(Sales_Data[[#This Row],[Total Profit]]&gt;60000,"Medium","Low"))</f>
        <v>Low</v>
      </c>
      <c r="Q1159" s="11" t="str">
        <f>PROPER(Sales_Data[[#This Row],[Month Name]])</f>
        <v>Março</v>
      </c>
      <c r="R1159" s="11" t="str">
        <f>PROPER(Sales_Data[[#This Row],[Sales Manager]])</f>
        <v>John Smith</v>
      </c>
    </row>
    <row r="1160" spans="1:18" x14ac:dyDescent="0.25">
      <c r="A1160">
        <v>11159</v>
      </c>
      <c r="B1160">
        <v>2022</v>
      </c>
      <c r="C1160" t="s">
        <v>68</v>
      </c>
      <c r="D1160" s="8">
        <v>44624</v>
      </c>
      <c r="E1160" t="s">
        <v>11</v>
      </c>
      <c r="F1160" t="s">
        <v>18</v>
      </c>
      <c r="G1160" t="s">
        <v>23</v>
      </c>
      <c r="H1160" s="9">
        <v>28</v>
      </c>
      <c r="I1160" s="9">
        <v>495</v>
      </c>
      <c r="J1160" s="10">
        <v>173250</v>
      </c>
      <c r="K1160" s="10">
        <v>57172.5</v>
      </c>
      <c r="L1160">
        <v>10</v>
      </c>
      <c r="M1160" s="8">
        <v>44562</v>
      </c>
      <c r="N1160" s="23">
        <v>8.7270430284778599E-4</v>
      </c>
      <c r="O1160" s="10" t="str">
        <f>IF(Sales_Data[[#This Row],[Total Profit]]&gt;0,"Profitable","Loss")</f>
        <v>Profitable</v>
      </c>
      <c r="P1160" s="10" t="str">
        <f>IF(Sales_Data[[#This Row],[Total Profit]]&gt;100000,"High Value",IF(Sales_Data[[#This Row],[Total Profit]]&gt;60000,"Medium","Low"))</f>
        <v>Low</v>
      </c>
      <c r="Q1160" s="11" t="str">
        <f>PROPER(Sales_Data[[#This Row],[Month Name]])</f>
        <v>Março</v>
      </c>
      <c r="R1160" s="11" t="str">
        <f>PROPER(Sales_Data[[#This Row],[Sales Manager]])</f>
        <v>Jane Doe</v>
      </c>
    </row>
    <row r="1161" spans="1:18" x14ac:dyDescent="0.25">
      <c r="A1161">
        <v>11160</v>
      </c>
      <c r="B1161">
        <v>2022</v>
      </c>
      <c r="C1161" t="s">
        <v>68</v>
      </c>
      <c r="D1161" s="8">
        <v>44625</v>
      </c>
      <c r="E1161" t="s">
        <v>11</v>
      </c>
      <c r="F1161" t="s">
        <v>18</v>
      </c>
      <c r="G1161" t="s">
        <v>23</v>
      </c>
      <c r="H1161" s="9">
        <v>7</v>
      </c>
      <c r="I1161" s="9">
        <v>100</v>
      </c>
      <c r="J1161" s="10">
        <v>35000</v>
      </c>
      <c r="K1161" s="10">
        <v>4900.0000000000009</v>
      </c>
      <c r="L1161">
        <v>10</v>
      </c>
      <c r="M1161" s="8">
        <v>44562</v>
      </c>
      <c r="N1161" s="23">
        <v>1.7630389956520899E-4</v>
      </c>
      <c r="O1161" s="10" t="str">
        <f>IF(Sales_Data[[#This Row],[Total Profit]]&gt;0,"Profitable","Loss")</f>
        <v>Profitable</v>
      </c>
      <c r="P1161" s="10" t="str">
        <f>IF(Sales_Data[[#This Row],[Total Profit]]&gt;100000,"High Value",IF(Sales_Data[[#This Row],[Total Profit]]&gt;60000,"Medium","Low"))</f>
        <v>Low</v>
      </c>
      <c r="Q1161" s="11" t="str">
        <f>PROPER(Sales_Data[[#This Row],[Month Name]])</f>
        <v>Março</v>
      </c>
      <c r="R1161" s="11" t="str">
        <f>PROPER(Sales_Data[[#This Row],[Sales Manager]])</f>
        <v>Jane Doe</v>
      </c>
    </row>
    <row r="1162" spans="1:18" x14ac:dyDescent="0.25">
      <c r="A1162">
        <v>11161</v>
      </c>
      <c r="B1162">
        <v>2022</v>
      </c>
      <c r="C1162" t="s">
        <v>68</v>
      </c>
      <c r="D1162" s="8">
        <v>44626</v>
      </c>
      <c r="E1162" t="s">
        <v>22</v>
      </c>
      <c r="F1162" t="s">
        <v>18</v>
      </c>
      <c r="G1162" t="s">
        <v>13</v>
      </c>
      <c r="H1162" s="9">
        <v>24</v>
      </c>
      <c r="I1162" s="9">
        <v>404</v>
      </c>
      <c r="J1162" s="10">
        <v>303000</v>
      </c>
      <c r="K1162" s="10">
        <v>39390</v>
      </c>
      <c r="L1162">
        <v>11</v>
      </c>
      <c r="M1162" s="8">
        <v>44562</v>
      </c>
      <c r="N1162" s="23">
        <v>1.52628804480738E-3</v>
      </c>
      <c r="O1162" s="10" t="str">
        <f>IF(Sales_Data[[#This Row],[Total Profit]]&gt;0,"Profitable","Loss")</f>
        <v>Profitable</v>
      </c>
      <c r="P1162" s="10" t="str">
        <f>IF(Sales_Data[[#This Row],[Total Profit]]&gt;100000,"High Value",IF(Sales_Data[[#This Row],[Total Profit]]&gt;60000,"Medium","Low"))</f>
        <v>Low</v>
      </c>
      <c r="Q1162" s="11" t="str">
        <f>PROPER(Sales_Data[[#This Row],[Month Name]])</f>
        <v>Março</v>
      </c>
      <c r="R1162" s="11" t="str">
        <f>PROPER(Sales_Data[[#This Row],[Sales Manager]])</f>
        <v>Jane Doe</v>
      </c>
    </row>
    <row r="1163" spans="1:18" x14ac:dyDescent="0.25">
      <c r="A1163">
        <v>11162</v>
      </c>
      <c r="B1163">
        <v>2022</v>
      </c>
      <c r="C1163" t="s">
        <v>68</v>
      </c>
      <c r="D1163" s="8">
        <v>44627</v>
      </c>
      <c r="E1163" t="s">
        <v>19</v>
      </c>
      <c r="F1163" t="s">
        <v>24</v>
      </c>
      <c r="G1163" t="s">
        <v>15</v>
      </c>
      <c r="H1163" s="9">
        <v>13</v>
      </c>
      <c r="I1163" s="9">
        <v>423</v>
      </c>
      <c r="J1163" s="10">
        <v>211500</v>
      </c>
      <c r="K1163" s="10">
        <v>71910</v>
      </c>
      <c r="L1163">
        <v>11</v>
      </c>
      <c r="M1163" s="8">
        <v>44562</v>
      </c>
      <c r="N1163" s="23">
        <v>1.06537927880119E-3</v>
      </c>
      <c r="O1163" s="10" t="str">
        <f>IF(Sales_Data[[#This Row],[Total Profit]]&gt;0,"Profitable","Loss")</f>
        <v>Profitable</v>
      </c>
      <c r="P1163" s="10" t="str">
        <f>IF(Sales_Data[[#This Row],[Total Profit]]&gt;100000,"High Value",IF(Sales_Data[[#This Row],[Total Profit]]&gt;60000,"Medium","Low"))</f>
        <v>Medium</v>
      </c>
      <c r="Q1163" s="11" t="str">
        <f>PROPER(Sales_Data[[#This Row],[Month Name]])</f>
        <v>Março</v>
      </c>
      <c r="R1163" s="11" t="str">
        <f>PROPER(Sales_Data[[#This Row],[Sales Manager]])</f>
        <v>Liam Lee</v>
      </c>
    </row>
    <row r="1164" spans="1:18" x14ac:dyDescent="0.25">
      <c r="A1164">
        <v>11163</v>
      </c>
      <c r="B1164">
        <v>2022</v>
      </c>
      <c r="C1164" t="s">
        <v>68</v>
      </c>
      <c r="D1164" s="8">
        <v>44628</v>
      </c>
      <c r="E1164" t="s">
        <v>25</v>
      </c>
      <c r="F1164" t="s">
        <v>18</v>
      </c>
      <c r="G1164" t="s">
        <v>15</v>
      </c>
      <c r="H1164" s="9">
        <v>3</v>
      </c>
      <c r="I1164" s="9">
        <v>165</v>
      </c>
      <c r="J1164" s="10">
        <v>82500</v>
      </c>
      <c r="K1164" s="10">
        <v>9900</v>
      </c>
      <c r="L1164">
        <v>11</v>
      </c>
      <c r="M1164" s="8">
        <v>44562</v>
      </c>
      <c r="N1164" s="23">
        <v>4.1557347754656498E-4</v>
      </c>
      <c r="O1164" s="10" t="str">
        <f>IF(Sales_Data[[#This Row],[Total Profit]]&gt;0,"Profitable","Loss")</f>
        <v>Profitable</v>
      </c>
      <c r="P1164" s="10" t="str">
        <f>IF(Sales_Data[[#This Row],[Total Profit]]&gt;100000,"High Value",IF(Sales_Data[[#This Row],[Total Profit]]&gt;60000,"Medium","Low"))</f>
        <v>Low</v>
      </c>
      <c r="Q1164" s="11" t="str">
        <f>PROPER(Sales_Data[[#This Row],[Month Name]])</f>
        <v>Março</v>
      </c>
      <c r="R1164" s="11" t="str">
        <f>PROPER(Sales_Data[[#This Row],[Sales Manager]])</f>
        <v>Jane Doe</v>
      </c>
    </row>
    <row r="1165" spans="1:18" x14ac:dyDescent="0.25">
      <c r="A1165">
        <v>11164</v>
      </c>
      <c r="B1165">
        <v>2022</v>
      </c>
      <c r="C1165" t="s">
        <v>68</v>
      </c>
      <c r="D1165" s="8">
        <v>44629</v>
      </c>
      <c r="E1165" t="s">
        <v>19</v>
      </c>
      <c r="F1165" t="s">
        <v>12</v>
      </c>
      <c r="G1165" t="s">
        <v>17</v>
      </c>
      <c r="H1165" s="9">
        <v>20</v>
      </c>
      <c r="I1165" s="9">
        <v>409</v>
      </c>
      <c r="J1165" s="10">
        <v>102250</v>
      </c>
      <c r="K1165" s="10">
        <v>17382.5</v>
      </c>
      <c r="L1165">
        <v>11</v>
      </c>
      <c r="M1165" s="8">
        <v>44562</v>
      </c>
      <c r="N1165" s="23">
        <v>5.1505924944407597E-4</v>
      </c>
      <c r="O1165" s="10" t="str">
        <f>IF(Sales_Data[[#This Row],[Total Profit]]&gt;0,"Profitable","Loss")</f>
        <v>Profitable</v>
      </c>
      <c r="P1165" s="10" t="str">
        <f>IF(Sales_Data[[#This Row],[Total Profit]]&gt;100000,"High Value",IF(Sales_Data[[#This Row],[Total Profit]]&gt;60000,"Medium","Low"))</f>
        <v>Low</v>
      </c>
      <c r="Q1165" s="11" t="str">
        <f>PROPER(Sales_Data[[#This Row],[Month Name]])</f>
        <v>Março</v>
      </c>
      <c r="R1165" s="11" t="str">
        <f>PROPER(Sales_Data[[#This Row],[Sales Manager]])</f>
        <v>Emily White</v>
      </c>
    </row>
    <row r="1166" spans="1:18" x14ac:dyDescent="0.25">
      <c r="A1166">
        <v>11165</v>
      </c>
      <c r="B1166">
        <v>2022</v>
      </c>
      <c r="C1166" t="s">
        <v>68</v>
      </c>
      <c r="D1166" s="8">
        <v>44630</v>
      </c>
      <c r="E1166" t="s">
        <v>22</v>
      </c>
      <c r="F1166" t="s">
        <v>16</v>
      </c>
      <c r="G1166" t="s">
        <v>23</v>
      </c>
      <c r="H1166" s="9">
        <v>3</v>
      </c>
      <c r="I1166" s="9">
        <v>249</v>
      </c>
      <c r="J1166" s="10">
        <v>87150</v>
      </c>
      <c r="K1166" s="10">
        <v>18301.5</v>
      </c>
      <c r="L1166">
        <v>11</v>
      </c>
      <c r="M1166" s="8">
        <v>44562</v>
      </c>
      <c r="N1166" s="23">
        <v>4.3899670991737102E-4</v>
      </c>
      <c r="O1166" s="10" t="str">
        <f>IF(Sales_Data[[#This Row],[Total Profit]]&gt;0,"Profitable","Loss")</f>
        <v>Profitable</v>
      </c>
      <c r="P1166" s="10" t="str">
        <f>IF(Sales_Data[[#This Row],[Total Profit]]&gt;100000,"High Value",IF(Sales_Data[[#This Row],[Total Profit]]&gt;60000,"Medium","Low"))</f>
        <v>Low</v>
      </c>
      <c r="Q1166" s="11" t="str">
        <f>PROPER(Sales_Data[[#This Row],[Month Name]])</f>
        <v>Março</v>
      </c>
      <c r="R1166" s="11" t="str">
        <f>PROPER(Sales_Data[[#This Row],[Sales Manager]])</f>
        <v>James Brown</v>
      </c>
    </row>
    <row r="1167" spans="1:18" x14ac:dyDescent="0.25">
      <c r="A1167">
        <v>11166</v>
      </c>
      <c r="B1167">
        <v>2022</v>
      </c>
      <c r="C1167" t="s">
        <v>68</v>
      </c>
      <c r="D1167" s="8">
        <v>44631</v>
      </c>
      <c r="E1167" t="s">
        <v>25</v>
      </c>
      <c r="F1167" t="s">
        <v>12</v>
      </c>
      <c r="G1167" t="s">
        <v>13</v>
      </c>
      <c r="H1167" s="9">
        <v>27</v>
      </c>
      <c r="I1167" s="9">
        <v>405</v>
      </c>
      <c r="J1167" s="10">
        <v>303750</v>
      </c>
      <c r="K1167" s="10">
        <v>36450</v>
      </c>
      <c r="L1167">
        <v>11</v>
      </c>
      <c r="M1167" s="8">
        <v>44562</v>
      </c>
      <c r="N1167" s="23">
        <v>1.5300659855123501E-3</v>
      </c>
      <c r="O1167" s="10" t="str">
        <f>IF(Sales_Data[[#This Row],[Total Profit]]&gt;0,"Profitable","Loss")</f>
        <v>Profitable</v>
      </c>
      <c r="P1167" s="10" t="str">
        <f>IF(Sales_Data[[#This Row],[Total Profit]]&gt;100000,"High Value",IF(Sales_Data[[#This Row],[Total Profit]]&gt;60000,"Medium","Low"))</f>
        <v>Low</v>
      </c>
      <c r="Q1167" s="11" t="str">
        <f>PROPER(Sales_Data[[#This Row],[Month Name]])</f>
        <v>Março</v>
      </c>
      <c r="R1167" s="11" t="str">
        <f>PROPER(Sales_Data[[#This Row],[Sales Manager]])</f>
        <v>Emily White</v>
      </c>
    </row>
    <row r="1168" spans="1:18" x14ac:dyDescent="0.25">
      <c r="A1168">
        <v>11167</v>
      </c>
      <c r="B1168">
        <v>2022</v>
      </c>
      <c r="C1168" t="s">
        <v>68</v>
      </c>
      <c r="D1168" s="8">
        <v>44632</v>
      </c>
      <c r="E1168" t="s">
        <v>22</v>
      </c>
      <c r="F1168" t="s">
        <v>16</v>
      </c>
      <c r="G1168" t="s">
        <v>23</v>
      </c>
      <c r="H1168" s="9">
        <v>4</v>
      </c>
      <c r="I1168" s="9">
        <v>231</v>
      </c>
      <c r="J1168" s="10">
        <v>80850</v>
      </c>
      <c r="K1168" s="10">
        <v>13744.500000000002</v>
      </c>
      <c r="L1168">
        <v>11</v>
      </c>
      <c r="M1168" s="8">
        <v>44562</v>
      </c>
      <c r="N1168" s="23">
        <v>4.0726200799563403E-4</v>
      </c>
      <c r="O1168" s="10" t="str">
        <f>IF(Sales_Data[[#This Row],[Total Profit]]&gt;0,"Profitable","Loss")</f>
        <v>Profitable</v>
      </c>
      <c r="P1168" s="10" t="str">
        <f>IF(Sales_Data[[#This Row],[Total Profit]]&gt;100000,"High Value",IF(Sales_Data[[#This Row],[Total Profit]]&gt;60000,"Medium","Low"))</f>
        <v>Low</v>
      </c>
      <c r="Q1168" s="11" t="str">
        <f>PROPER(Sales_Data[[#This Row],[Month Name]])</f>
        <v>Março</v>
      </c>
      <c r="R1168" s="11" t="str">
        <f>PROPER(Sales_Data[[#This Row],[Sales Manager]])</f>
        <v>James Brown</v>
      </c>
    </row>
    <row r="1169" spans="1:18" x14ac:dyDescent="0.25">
      <c r="A1169">
        <v>11168</v>
      </c>
      <c r="B1169">
        <v>2022</v>
      </c>
      <c r="C1169" t="s">
        <v>68</v>
      </c>
      <c r="D1169" s="8">
        <v>44633</v>
      </c>
      <c r="E1169" t="s">
        <v>25</v>
      </c>
      <c r="F1169" t="s">
        <v>21</v>
      </c>
      <c r="G1169" t="s">
        <v>17</v>
      </c>
      <c r="H1169" s="9">
        <v>11</v>
      </c>
      <c r="I1169" s="9">
        <v>156</v>
      </c>
      <c r="J1169" s="10">
        <v>39000</v>
      </c>
      <c r="K1169" s="10">
        <v>15210</v>
      </c>
      <c r="L1169">
        <v>12</v>
      </c>
      <c r="M1169" s="8">
        <v>44562</v>
      </c>
      <c r="N1169" s="23">
        <v>1.96452916658376E-4</v>
      </c>
      <c r="O1169" s="10" t="str">
        <f>IF(Sales_Data[[#This Row],[Total Profit]]&gt;0,"Profitable","Loss")</f>
        <v>Profitable</v>
      </c>
      <c r="P1169" s="10" t="str">
        <f>IF(Sales_Data[[#This Row],[Total Profit]]&gt;100000,"High Value",IF(Sales_Data[[#This Row],[Total Profit]]&gt;60000,"Medium","Low"))</f>
        <v>Low</v>
      </c>
      <c r="Q1169" s="11" t="str">
        <f>PROPER(Sales_Data[[#This Row],[Month Name]])</f>
        <v>Março</v>
      </c>
      <c r="R1169" s="11" t="str">
        <f>PROPER(Sales_Data[[#This Row],[Sales Manager]])</f>
        <v>John Smith</v>
      </c>
    </row>
    <row r="1170" spans="1:18" x14ac:dyDescent="0.25">
      <c r="A1170">
        <v>11169</v>
      </c>
      <c r="B1170">
        <v>2022</v>
      </c>
      <c r="C1170" t="s">
        <v>68</v>
      </c>
      <c r="D1170" s="8">
        <v>44634</v>
      </c>
      <c r="E1170" t="s">
        <v>14</v>
      </c>
      <c r="F1170" t="s">
        <v>18</v>
      </c>
      <c r="G1170" t="s">
        <v>20</v>
      </c>
      <c r="H1170" s="9">
        <v>19</v>
      </c>
      <c r="I1170" s="9">
        <v>207</v>
      </c>
      <c r="J1170" s="10">
        <v>175950</v>
      </c>
      <c r="K1170" s="10">
        <v>66861</v>
      </c>
      <c r="L1170">
        <v>12</v>
      </c>
      <c r="M1170" s="8">
        <v>44562</v>
      </c>
      <c r="N1170" s="23">
        <v>8.8630488938567403E-4</v>
      </c>
      <c r="O1170" s="10" t="str">
        <f>IF(Sales_Data[[#This Row],[Total Profit]]&gt;0,"Profitable","Loss")</f>
        <v>Profitable</v>
      </c>
      <c r="P1170" s="10" t="str">
        <f>IF(Sales_Data[[#This Row],[Total Profit]]&gt;100000,"High Value",IF(Sales_Data[[#This Row],[Total Profit]]&gt;60000,"Medium","Low"))</f>
        <v>Medium</v>
      </c>
      <c r="Q1170" s="11" t="str">
        <f>PROPER(Sales_Data[[#This Row],[Month Name]])</f>
        <v>Março</v>
      </c>
      <c r="R1170" s="11" t="str">
        <f>PROPER(Sales_Data[[#This Row],[Sales Manager]])</f>
        <v>Jane Doe</v>
      </c>
    </row>
    <row r="1171" spans="1:18" x14ac:dyDescent="0.25">
      <c r="A1171">
        <v>11170</v>
      </c>
      <c r="B1171">
        <v>2022</v>
      </c>
      <c r="C1171" t="s">
        <v>68</v>
      </c>
      <c r="D1171" s="8">
        <v>44635</v>
      </c>
      <c r="E1171" t="s">
        <v>19</v>
      </c>
      <c r="F1171" t="s">
        <v>12</v>
      </c>
      <c r="G1171" t="s">
        <v>20</v>
      </c>
      <c r="H1171" s="9">
        <v>20</v>
      </c>
      <c r="I1171" s="9">
        <v>458</v>
      </c>
      <c r="J1171" s="10">
        <v>389300</v>
      </c>
      <c r="K1171" s="10">
        <v>140148</v>
      </c>
      <c r="L1171">
        <v>12</v>
      </c>
      <c r="M1171" s="8">
        <v>44562</v>
      </c>
      <c r="N1171" s="23">
        <v>1.96100308859246E-3</v>
      </c>
      <c r="O1171" s="10" t="str">
        <f>IF(Sales_Data[[#This Row],[Total Profit]]&gt;0,"Profitable","Loss")</f>
        <v>Profitable</v>
      </c>
      <c r="P1171" s="10" t="str">
        <f>IF(Sales_Data[[#This Row],[Total Profit]]&gt;100000,"High Value",IF(Sales_Data[[#This Row],[Total Profit]]&gt;60000,"Medium","Low"))</f>
        <v>High Value</v>
      </c>
      <c r="Q1171" s="11" t="str">
        <f>PROPER(Sales_Data[[#This Row],[Month Name]])</f>
        <v>Março</v>
      </c>
      <c r="R1171" s="11" t="str">
        <f>PROPER(Sales_Data[[#This Row],[Sales Manager]])</f>
        <v>Emily White</v>
      </c>
    </row>
    <row r="1172" spans="1:18" x14ac:dyDescent="0.25">
      <c r="A1172">
        <v>11171</v>
      </c>
      <c r="B1172">
        <v>2022</v>
      </c>
      <c r="C1172" t="s">
        <v>68</v>
      </c>
      <c r="D1172" s="8">
        <v>44636</v>
      </c>
      <c r="E1172" t="s">
        <v>19</v>
      </c>
      <c r="F1172" t="s">
        <v>24</v>
      </c>
      <c r="G1172" t="s">
        <v>13</v>
      </c>
      <c r="H1172" s="9">
        <v>7</v>
      </c>
      <c r="I1172" s="9">
        <v>426</v>
      </c>
      <c r="J1172" s="10">
        <v>319500</v>
      </c>
      <c r="K1172" s="10">
        <v>67095</v>
      </c>
      <c r="L1172">
        <v>12</v>
      </c>
      <c r="M1172" s="8">
        <v>44562</v>
      </c>
      <c r="N1172" s="23">
        <v>1.6094027403167001E-3</v>
      </c>
      <c r="O1172" s="10" t="str">
        <f>IF(Sales_Data[[#This Row],[Total Profit]]&gt;0,"Profitable","Loss")</f>
        <v>Profitable</v>
      </c>
      <c r="P1172" s="10" t="str">
        <f>IF(Sales_Data[[#This Row],[Total Profit]]&gt;100000,"High Value",IF(Sales_Data[[#This Row],[Total Profit]]&gt;60000,"Medium","Low"))</f>
        <v>Medium</v>
      </c>
      <c r="Q1172" s="11" t="str">
        <f>PROPER(Sales_Data[[#This Row],[Month Name]])</f>
        <v>Março</v>
      </c>
      <c r="R1172" s="11" t="str">
        <f>PROPER(Sales_Data[[#This Row],[Sales Manager]])</f>
        <v>Liam Lee</v>
      </c>
    </row>
    <row r="1173" spans="1:18" x14ac:dyDescent="0.25">
      <c r="A1173">
        <v>11172</v>
      </c>
      <c r="B1173">
        <v>2022</v>
      </c>
      <c r="C1173" t="s">
        <v>68</v>
      </c>
      <c r="D1173" s="8">
        <v>44637</v>
      </c>
      <c r="E1173" t="s">
        <v>22</v>
      </c>
      <c r="F1173" t="s">
        <v>18</v>
      </c>
      <c r="G1173" t="s">
        <v>20</v>
      </c>
      <c r="H1173" s="9">
        <v>46</v>
      </c>
      <c r="I1173" s="9">
        <v>472</v>
      </c>
      <c r="J1173" s="10">
        <v>401200</v>
      </c>
      <c r="K1173" s="10">
        <v>152456</v>
      </c>
      <c r="L1173">
        <v>12</v>
      </c>
      <c r="M1173" s="8">
        <v>44562</v>
      </c>
      <c r="N1173" s="23">
        <v>2.0209464144446301E-3</v>
      </c>
      <c r="O1173" s="10" t="str">
        <f>IF(Sales_Data[[#This Row],[Total Profit]]&gt;0,"Profitable","Loss")</f>
        <v>Profitable</v>
      </c>
      <c r="P1173" s="10" t="str">
        <f>IF(Sales_Data[[#This Row],[Total Profit]]&gt;100000,"High Value",IF(Sales_Data[[#This Row],[Total Profit]]&gt;60000,"Medium","Low"))</f>
        <v>High Value</v>
      </c>
      <c r="Q1173" s="11" t="str">
        <f>PROPER(Sales_Data[[#This Row],[Month Name]])</f>
        <v>Março</v>
      </c>
      <c r="R1173" s="11" t="str">
        <f>PROPER(Sales_Data[[#This Row],[Sales Manager]])</f>
        <v>Jane Doe</v>
      </c>
    </row>
    <row r="1174" spans="1:18" x14ac:dyDescent="0.25">
      <c r="A1174">
        <v>11173</v>
      </c>
      <c r="B1174">
        <v>2022</v>
      </c>
      <c r="C1174" t="s">
        <v>68</v>
      </c>
      <c r="D1174" s="8">
        <v>44638</v>
      </c>
      <c r="E1174" t="s">
        <v>11</v>
      </c>
      <c r="F1174" t="s">
        <v>12</v>
      </c>
      <c r="G1174" t="s">
        <v>23</v>
      </c>
      <c r="H1174" s="9">
        <v>1</v>
      </c>
      <c r="I1174" s="9">
        <v>36</v>
      </c>
      <c r="J1174" s="10">
        <v>12600</v>
      </c>
      <c r="K1174" s="10">
        <v>2646</v>
      </c>
      <c r="L1174">
        <v>12</v>
      </c>
      <c r="M1174" s="8">
        <v>44562</v>
      </c>
      <c r="N1174" s="23">
        <v>6.3469403843475396E-5</v>
      </c>
      <c r="O1174" s="10" t="str">
        <f>IF(Sales_Data[[#This Row],[Total Profit]]&gt;0,"Profitable","Loss")</f>
        <v>Profitable</v>
      </c>
      <c r="P1174" s="10" t="str">
        <f>IF(Sales_Data[[#This Row],[Total Profit]]&gt;100000,"High Value",IF(Sales_Data[[#This Row],[Total Profit]]&gt;60000,"Medium","Low"))</f>
        <v>Low</v>
      </c>
      <c r="Q1174" s="11" t="str">
        <f>PROPER(Sales_Data[[#This Row],[Month Name]])</f>
        <v>Março</v>
      </c>
      <c r="R1174" s="11" t="str">
        <f>PROPER(Sales_Data[[#This Row],[Sales Manager]])</f>
        <v>Emily White</v>
      </c>
    </row>
    <row r="1175" spans="1:18" x14ac:dyDescent="0.25">
      <c r="A1175">
        <v>11174</v>
      </c>
      <c r="B1175">
        <v>2022</v>
      </c>
      <c r="C1175" t="s">
        <v>68</v>
      </c>
      <c r="D1175" s="8">
        <v>44639</v>
      </c>
      <c r="E1175" t="s">
        <v>25</v>
      </c>
      <c r="F1175" t="s">
        <v>16</v>
      </c>
      <c r="G1175" t="s">
        <v>13</v>
      </c>
      <c r="H1175" s="9">
        <v>1</v>
      </c>
      <c r="I1175" s="9">
        <v>34</v>
      </c>
      <c r="J1175" s="10">
        <v>25500</v>
      </c>
      <c r="K1175" s="10">
        <v>9945</v>
      </c>
      <c r="L1175">
        <v>12</v>
      </c>
      <c r="M1175" s="8">
        <v>44562</v>
      </c>
      <c r="N1175" s="23">
        <v>1.28449983968938E-4</v>
      </c>
      <c r="O1175" s="10" t="str">
        <f>IF(Sales_Data[[#This Row],[Total Profit]]&gt;0,"Profitable","Loss")</f>
        <v>Profitable</v>
      </c>
      <c r="P1175" s="10" t="str">
        <f>IF(Sales_Data[[#This Row],[Total Profit]]&gt;100000,"High Value",IF(Sales_Data[[#This Row],[Total Profit]]&gt;60000,"Medium","Low"))</f>
        <v>Low</v>
      </c>
      <c r="Q1175" s="11" t="str">
        <f>PROPER(Sales_Data[[#This Row],[Month Name]])</f>
        <v>Março</v>
      </c>
      <c r="R1175" s="11" t="str">
        <f>PROPER(Sales_Data[[#This Row],[Sales Manager]])</f>
        <v>James Brown</v>
      </c>
    </row>
    <row r="1176" spans="1:18" x14ac:dyDescent="0.25">
      <c r="A1176">
        <v>11175</v>
      </c>
      <c r="B1176">
        <v>2022</v>
      </c>
      <c r="C1176" t="s">
        <v>68</v>
      </c>
      <c r="D1176" s="8">
        <v>44640</v>
      </c>
      <c r="E1176" t="s">
        <v>19</v>
      </c>
      <c r="F1176" t="s">
        <v>18</v>
      </c>
      <c r="G1176" t="s">
        <v>23</v>
      </c>
      <c r="H1176" s="9">
        <v>23</v>
      </c>
      <c r="I1176" s="9">
        <v>284</v>
      </c>
      <c r="J1176" s="10">
        <v>99400</v>
      </c>
      <c r="K1176" s="10">
        <v>42742</v>
      </c>
      <c r="L1176">
        <v>13</v>
      </c>
      <c r="M1176" s="8">
        <v>44562</v>
      </c>
      <c r="N1176" s="23">
        <v>5.0070307476519503E-4</v>
      </c>
      <c r="O1176" s="10" t="str">
        <f>IF(Sales_Data[[#This Row],[Total Profit]]&gt;0,"Profitable","Loss")</f>
        <v>Profitable</v>
      </c>
      <c r="P1176" s="10" t="str">
        <f>IF(Sales_Data[[#This Row],[Total Profit]]&gt;100000,"High Value",IF(Sales_Data[[#This Row],[Total Profit]]&gt;60000,"Medium","Low"))</f>
        <v>Low</v>
      </c>
      <c r="Q1176" s="11" t="str">
        <f>PROPER(Sales_Data[[#This Row],[Month Name]])</f>
        <v>Março</v>
      </c>
      <c r="R1176" s="11" t="str">
        <f>PROPER(Sales_Data[[#This Row],[Sales Manager]])</f>
        <v>Jane Doe</v>
      </c>
    </row>
    <row r="1177" spans="1:18" x14ac:dyDescent="0.25">
      <c r="A1177">
        <v>11176</v>
      </c>
      <c r="B1177">
        <v>2022</v>
      </c>
      <c r="C1177" t="s">
        <v>68</v>
      </c>
      <c r="D1177" s="8">
        <v>44641</v>
      </c>
      <c r="E1177" t="s">
        <v>25</v>
      </c>
      <c r="F1177" t="s">
        <v>12</v>
      </c>
      <c r="G1177" t="s">
        <v>23</v>
      </c>
      <c r="H1177" s="9">
        <v>3</v>
      </c>
      <c r="I1177" s="9">
        <v>47</v>
      </c>
      <c r="J1177" s="10">
        <v>16450</v>
      </c>
      <c r="K1177" s="10">
        <v>2961</v>
      </c>
      <c r="L1177">
        <v>13</v>
      </c>
      <c r="M1177" s="8">
        <v>44562</v>
      </c>
      <c r="N1177" s="23">
        <v>8.2862832795648395E-5</v>
      </c>
      <c r="O1177" s="10" t="str">
        <f>IF(Sales_Data[[#This Row],[Total Profit]]&gt;0,"Profitable","Loss")</f>
        <v>Profitable</v>
      </c>
      <c r="P1177" s="10" t="str">
        <f>IF(Sales_Data[[#This Row],[Total Profit]]&gt;100000,"High Value",IF(Sales_Data[[#This Row],[Total Profit]]&gt;60000,"Medium","Low"))</f>
        <v>Low</v>
      </c>
      <c r="Q1177" s="11" t="str">
        <f>PROPER(Sales_Data[[#This Row],[Month Name]])</f>
        <v>Março</v>
      </c>
      <c r="R1177" s="11" t="str">
        <f>PROPER(Sales_Data[[#This Row],[Sales Manager]])</f>
        <v>Emily White</v>
      </c>
    </row>
    <row r="1178" spans="1:18" x14ac:dyDescent="0.25">
      <c r="A1178">
        <v>11177</v>
      </c>
      <c r="B1178">
        <v>2022</v>
      </c>
      <c r="C1178" t="s">
        <v>68</v>
      </c>
      <c r="D1178" s="8">
        <v>44642</v>
      </c>
      <c r="E1178" t="s">
        <v>19</v>
      </c>
      <c r="F1178" t="s">
        <v>12</v>
      </c>
      <c r="G1178" t="s">
        <v>23</v>
      </c>
      <c r="H1178" s="9">
        <v>7</v>
      </c>
      <c r="I1178" s="9">
        <v>341</v>
      </c>
      <c r="J1178" s="10">
        <v>119350</v>
      </c>
      <c r="K1178" s="10">
        <v>17902.5</v>
      </c>
      <c r="L1178">
        <v>13</v>
      </c>
      <c r="M1178" s="8">
        <v>44562</v>
      </c>
      <c r="N1178" s="23">
        <v>6.0119629751736396E-4</v>
      </c>
      <c r="O1178" s="10" t="str">
        <f>IF(Sales_Data[[#This Row],[Total Profit]]&gt;0,"Profitable","Loss")</f>
        <v>Profitable</v>
      </c>
      <c r="P1178" s="10" t="str">
        <f>IF(Sales_Data[[#This Row],[Total Profit]]&gt;100000,"High Value",IF(Sales_Data[[#This Row],[Total Profit]]&gt;60000,"Medium","Low"))</f>
        <v>Low</v>
      </c>
      <c r="Q1178" s="11" t="str">
        <f>PROPER(Sales_Data[[#This Row],[Month Name]])</f>
        <v>Março</v>
      </c>
      <c r="R1178" s="11" t="str">
        <f>PROPER(Sales_Data[[#This Row],[Sales Manager]])</f>
        <v>Emily White</v>
      </c>
    </row>
    <row r="1179" spans="1:18" x14ac:dyDescent="0.25">
      <c r="A1179">
        <v>11178</v>
      </c>
      <c r="B1179">
        <v>2022</v>
      </c>
      <c r="C1179" t="s">
        <v>68</v>
      </c>
      <c r="D1179" s="8">
        <v>44643</v>
      </c>
      <c r="E1179" t="s">
        <v>14</v>
      </c>
      <c r="F1179" t="s">
        <v>24</v>
      </c>
      <c r="G1179" t="s">
        <v>23</v>
      </c>
      <c r="H1179" s="9">
        <v>44</v>
      </c>
      <c r="I1179" s="9">
        <v>457</v>
      </c>
      <c r="J1179" s="10">
        <v>159950</v>
      </c>
      <c r="K1179" s="10">
        <v>19194</v>
      </c>
      <c r="L1179">
        <v>13</v>
      </c>
      <c r="M1179" s="8">
        <v>44562</v>
      </c>
      <c r="N1179" s="23">
        <v>8.0570882101300696E-4</v>
      </c>
      <c r="O1179" s="10" t="str">
        <f>IF(Sales_Data[[#This Row],[Total Profit]]&gt;0,"Profitable","Loss")</f>
        <v>Profitable</v>
      </c>
      <c r="P1179" s="10" t="str">
        <f>IF(Sales_Data[[#This Row],[Total Profit]]&gt;100000,"High Value",IF(Sales_Data[[#This Row],[Total Profit]]&gt;60000,"Medium","Low"))</f>
        <v>Low</v>
      </c>
      <c r="Q1179" s="11" t="str">
        <f>PROPER(Sales_Data[[#This Row],[Month Name]])</f>
        <v>Março</v>
      </c>
      <c r="R1179" s="11" t="str">
        <f>PROPER(Sales_Data[[#This Row],[Sales Manager]])</f>
        <v>Liam Lee</v>
      </c>
    </row>
    <row r="1180" spans="1:18" x14ac:dyDescent="0.25">
      <c r="A1180">
        <v>11179</v>
      </c>
      <c r="B1180">
        <v>2022</v>
      </c>
      <c r="C1180" t="s">
        <v>68</v>
      </c>
      <c r="D1180" s="8">
        <v>44644</v>
      </c>
      <c r="E1180" t="s">
        <v>14</v>
      </c>
      <c r="F1180" t="s">
        <v>18</v>
      </c>
      <c r="G1180" t="s">
        <v>13</v>
      </c>
      <c r="H1180" s="9">
        <v>6</v>
      </c>
      <c r="I1180" s="9">
        <v>80</v>
      </c>
      <c r="J1180" s="10">
        <v>60000</v>
      </c>
      <c r="K1180" s="10">
        <v>26400</v>
      </c>
      <c r="L1180">
        <v>13</v>
      </c>
      <c r="M1180" s="8">
        <v>44562</v>
      </c>
      <c r="N1180" s="23">
        <v>3.0223525639750201E-4</v>
      </c>
      <c r="O1180" s="10" t="str">
        <f>IF(Sales_Data[[#This Row],[Total Profit]]&gt;0,"Profitable","Loss")</f>
        <v>Profitable</v>
      </c>
      <c r="P1180" s="10" t="str">
        <f>IF(Sales_Data[[#This Row],[Total Profit]]&gt;100000,"High Value",IF(Sales_Data[[#This Row],[Total Profit]]&gt;60000,"Medium","Low"))</f>
        <v>Low</v>
      </c>
      <c r="Q1180" s="11" t="str">
        <f>PROPER(Sales_Data[[#This Row],[Month Name]])</f>
        <v>Março</v>
      </c>
      <c r="R1180" s="11" t="str">
        <f>PROPER(Sales_Data[[#This Row],[Sales Manager]])</f>
        <v>Jane Doe</v>
      </c>
    </row>
    <row r="1181" spans="1:18" x14ac:dyDescent="0.25">
      <c r="A1181">
        <v>11180</v>
      </c>
      <c r="B1181">
        <v>2022</v>
      </c>
      <c r="C1181" t="s">
        <v>68</v>
      </c>
      <c r="D1181" s="8">
        <v>44645</v>
      </c>
      <c r="E1181" t="s">
        <v>11</v>
      </c>
      <c r="F1181" t="s">
        <v>16</v>
      </c>
      <c r="G1181" t="s">
        <v>17</v>
      </c>
      <c r="H1181" s="9">
        <v>17</v>
      </c>
      <c r="I1181" s="9">
        <v>329</v>
      </c>
      <c r="J1181" s="10">
        <v>82250</v>
      </c>
      <c r="K1181" s="10">
        <v>30432.5</v>
      </c>
      <c r="L1181">
        <v>13</v>
      </c>
      <c r="M1181" s="8">
        <v>44562</v>
      </c>
      <c r="N1181" s="23">
        <v>4.14314163978242E-4</v>
      </c>
      <c r="O1181" s="10" t="str">
        <f>IF(Sales_Data[[#This Row],[Total Profit]]&gt;0,"Profitable","Loss")</f>
        <v>Profitable</v>
      </c>
      <c r="P1181" s="10" t="str">
        <f>IF(Sales_Data[[#This Row],[Total Profit]]&gt;100000,"High Value",IF(Sales_Data[[#This Row],[Total Profit]]&gt;60000,"Medium","Low"))</f>
        <v>Low</v>
      </c>
      <c r="Q1181" s="11" t="str">
        <f>PROPER(Sales_Data[[#This Row],[Month Name]])</f>
        <v>Março</v>
      </c>
      <c r="R1181" s="11" t="str">
        <f>PROPER(Sales_Data[[#This Row],[Sales Manager]])</f>
        <v>James Brown</v>
      </c>
    </row>
    <row r="1182" spans="1:18" x14ac:dyDescent="0.25">
      <c r="A1182">
        <v>11181</v>
      </c>
      <c r="B1182">
        <v>2022</v>
      </c>
      <c r="C1182" t="s">
        <v>68</v>
      </c>
      <c r="D1182" s="8">
        <v>44646</v>
      </c>
      <c r="E1182" t="s">
        <v>25</v>
      </c>
      <c r="F1182" t="s">
        <v>18</v>
      </c>
      <c r="G1182" t="s">
        <v>23</v>
      </c>
      <c r="H1182" s="9">
        <v>7</v>
      </c>
      <c r="I1182" s="9">
        <v>109</v>
      </c>
      <c r="J1182" s="10">
        <v>38150</v>
      </c>
      <c r="K1182" s="10">
        <v>11063.5</v>
      </c>
      <c r="L1182">
        <v>13</v>
      </c>
      <c r="M1182" s="8">
        <v>44562</v>
      </c>
      <c r="N1182" s="23">
        <v>1.9217125052607801E-4</v>
      </c>
      <c r="O1182" s="10" t="str">
        <f>IF(Sales_Data[[#This Row],[Total Profit]]&gt;0,"Profitable","Loss")</f>
        <v>Profitable</v>
      </c>
      <c r="P1182" s="10" t="str">
        <f>IF(Sales_Data[[#This Row],[Total Profit]]&gt;100000,"High Value",IF(Sales_Data[[#This Row],[Total Profit]]&gt;60000,"Medium","Low"))</f>
        <v>Low</v>
      </c>
      <c r="Q1182" s="11" t="str">
        <f>PROPER(Sales_Data[[#This Row],[Month Name]])</f>
        <v>Março</v>
      </c>
      <c r="R1182" s="11" t="str">
        <f>PROPER(Sales_Data[[#This Row],[Sales Manager]])</f>
        <v>Jane Doe</v>
      </c>
    </row>
    <row r="1183" spans="1:18" x14ac:dyDescent="0.25">
      <c r="A1183">
        <v>11182</v>
      </c>
      <c r="B1183">
        <v>2022</v>
      </c>
      <c r="C1183" t="s">
        <v>68</v>
      </c>
      <c r="D1183" s="8">
        <v>44647</v>
      </c>
      <c r="E1183" t="s">
        <v>19</v>
      </c>
      <c r="F1183" t="s">
        <v>24</v>
      </c>
      <c r="G1183" t="s">
        <v>23</v>
      </c>
      <c r="H1183" s="9">
        <v>15</v>
      </c>
      <c r="I1183" s="9">
        <v>189</v>
      </c>
      <c r="J1183" s="10">
        <v>66150</v>
      </c>
      <c r="K1183" s="10">
        <v>6615</v>
      </c>
      <c r="L1183">
        <v>14</v>
      </c>
      <c r="M1183" s="8">
        <v>44562</v>
      </c>
      <c r="N1183" s="23">
        <v>3.3321437017824599E-4</v>
      </c>
      <c r="O1183" s="10" t="str">
        <f>IF(Sales_Data[[#This Row],[Total Profit]]&gt;0,"Profitable","Loss")</f>
        <v>Profitable</v>
      </c>
      <c r="P1183" s="10" t="str">
        <f>IF(Sales_Data[[#This Row],[Total Profit]]&gt;100000,"High Value",IF(Sales_Data[[#This Row],[Total Profit]]&gt;60000,"Medium","Low"))</f>
        <v>Low</v>
      </c>
      <c r="Q1183" s="11" t="str">
        <f>PROPER(Sales_Data[[#This Row],[Month Name]])</f>
        <v>Março</v>
      </c>
      <c r="R1183" s="11" t="str">
        <f>PROPER(Sales_Data[[#This Row],[Sales Manager]])</f>
        <v>Liam Lee</v>
      </c>
    </row>
    <row r="1184" spans="1:18" x14ac:dyDescent="0.25">
      <c r="A1184">
        <v>11183</v>
      </c>
      <c r="B1184">
        <v>2022</v>
      </c>
      <c r="C1184" t="s">
        <v>68</v>
      </c>
      <c r="D1184" s="8">
        <v>44648</v>
      </c>
      <c r="E1184" t="s">
        <v>14</v>
      </c>
      <c r="F1184" t="s">
        <v>12</v>
      </c>
      <c r="G1184" t="s">
        <v>13</v>
      </c>
      <c r="H1184" s="9">
        <v>1</v>
      </c>
      <c r="I1184" s="9">
        <v>38</v>
      </c>
      <c r="J1184" s="10">
        <v>28500</v>
      </c>
      <c r="K1184" s="10">
        <v>5700</v>
      </c>
      <c r="L1184">
        <v>14</v>
      </c>
      <c r="M1184" s="8">
        <v>44562</v>
      </c>
      <c r="N1184" s="23">
        <v>1.43561746788813E-4</v>
      </c>
      <c r="O1184" s="10" t="str">
        <f>IF(Sales_Data[[#This Row],[Total Profit]]&gt;0,"Profitable","Loss")</f>
        <v>Profitable</v>
      </c>
      <c r="P1184" s="10" t="str">
        <f>IF(Sales_Data[[#This Row],[Total Profit]]&gt;100000,"High Value",IF(Sales_Data[[#This Row],[Total Profit]]&gt;60000,"Medium","Low"))</f>
        <v>Low</v>
      </c>
      <c r="Q1184" s="11" t="str">
        <f>PROPER(Sales_Data[[#This Row],[Month Name]])</f>
        <v>Março</v>
      </c>
      <c r="R1184" s="11" t="str">
        <f>PROPER(Sales_Data[[#This Row],[Sales Manager]])</f>
        <v>Emily White</v>
      </c>
    </row>
    <row r="1185" spans="1:18" x14ac:dyDescent="0.25">
      <c r="A1185">
        <v>11184</v>
      </c>
      <c r="B1185">
        <v>2022</v>
      </c>
      <c r="C1185" t="s">
        <v>68</v>
      </c>
      <c r="D1185" s="8">
        <v>44649</v>
      </c>
      <c r="E1185" t="s">
        <v>19</v>
      </c>
      <c r="F1185" t="s">
        <v>12</v>
      </c>
      <c r="G1185" t="s">
        <v>17</v>
      </c>
      <c r="H1185" s="9">
        <v>4</v>
      </c>
      <c r="I1185" s="9">
        <v>100</v>
      </c>
      <c r="J1185" s="10">
        <v>25000</v>
      </c>
      <c r="K1185" s="10">
        <v>8000</v>
      </c>
      <c r="L1185">
        <v>14</v>
      </c>
      <c r="M1185" s="8">
        <v>44562</v>
      </c>
      <c r="N1185" s="23">
        <v>1.2593135683229201E-4</v>
      </c>
      <c r="O1185" s="10" t="str">
        <f>IF(Sales_Data[[#This Row],[Total Profit]]&gt;0,"Profitable","Loss")</f>
        <v>Profitable</v>
      </c>
      <c r="P1185" s="10" t="str">
        <f>IF(Sales_Data[[#This Row],[Total Profit]]&gt;100000,"High Value",IF(Sales_Data[[#This Row],[Total Profit]]&gt;60000,"Medium","Low"))</f>
        <v>Low</v>
      </c>
      <c r="Q1185" s="11" t="str">
        <f>PROPER(Sales_Data[[#This Row],[Month Name]])</f>
        <v>Março</v>
      </c>
      <c r="R1185" s="11" t="str">
        <f>PROPER(Sales_Data[[#This Row],[Sales Manager]])</f>
        <v>Emily White</v>
      </c>
    </row>
    <row r="1186" spans="1:18" x14ac:dyDescent="0.25">
      <c r="A1186">
        <v>11185</v>
      </c>
      <c r="B1186">
        <v>2022</v>
      </c>
      <c r="C1186" t="s">
        <v>68</v>
      </c>
      <c r="D1186" s="8">
        <v>44650</v>
      </c>
      <c r="E1186" t="s">
        <v>14</v>
      </c>
      <c r="F1186" t="s">
        <v>12</v>
      </c>
      <c r="G1186" t="s">
        <v>23</v>
      </c>
      <c r="H1186" s="9">
        <v>9</v>
      </c>
      <c r="I1186" s="9">
        <v>200</v>
      </c>
      <c r="J1186" s="10">
        <v>70000</v>
      </c>
      <c r="K1186" s="10">
        <v>28000</v>
      </c>
      <c r="L1186">
        <v>14</v>
      </c>
      <c r="M1186" s="8">
        <v>44562</v>
      </c>
      <c r="N1186" s="23">
        <v>3.5260779913041902E-4</v>
      </c>
      <c r="O1186" s="10" t="str">
        <f>IF(Sales_Data[[#This Row],[Total Profit]]&gt;0,"Profitable","Loss")</f>
        <v>Profitable</v>
      </c>
      <c r="P1186" s="10" t="str">
        <f>IF(Sales_Data[[#This Row],[Total Profit]]&gt;100000,"High Value",IF(Sales_Data[[#This Row],[Total Profit]]&gt;60000,"Medium","Low"))</f>
        <v>Low</v>
      </c>
      <c r="Q1186" s="11" t="str">
        <f>PROPER(Sales_Data[[#This Row],[Month Name]])</f>
        <v>Março</v>
      </c>
      <c r="R1186" s="11" t="str">
        <f>PROPER(Sales_Data[[#This Row],[Sales Manager]])</f>
        <v>Emily White</v>
      </c>
    </row>
    <row r="1187" spans="1:18" x14ac:dyDescent="0.25">
      <c r="A1187">
        <v>11186</v>
      </c>
      <c r="B1187">
        <v>2022</v>
      </c>
      <c r="C1187" t="s">
        <v>68</v>
      </c>
      <c r="D1187" s="8">
        <v>44651</v>
      </c>
      <c r="E1187" t="s">
        <v>11</v>
      </c>
      <c r="F1187" t="s">
        <v>24</v>
      </c>
      <c r="G1187" t="s">
        <v>23</v>
      </c>
      <c r="H1187" s="9">
        <v>29</v>
      </c>
      <c r="I1187" s="9">
        <v>499</v>
      </c>
      <c r="J1187" s="10">
        <v>174650</v>
      </c>
      <c r="K1187" s="10">
        <v>69860</v>
      </c>
      <c r="L1187">
        <v>14</v>
      </c>
      <c r="M1187" s="8">
        <v>44562</v>
      </c>
      <c r="N1187" s="23">
        <v>8.7975645883039499E-4</v>
      </c>
      <c r="O1187" s="10" t="str">
        <f>IF(Sales_Data[[#This Row],[Total Profit]]&gt;0,"Profitable","Loss")</f>
        <v>Profitable</v>
      </c>
      <c r="P1187" s="10" t="str">
        <f>IF(Sales_Data[[#This Row],[Total Profit]]&gt;100000,"High Value",IF(Sales_Data[[#This Row],[Total Profit]]&gt;60000,"Medium","Low"))</f>
        <v>Medium</v>
      </c>
      <c r="Q1187" s="11" t="str">
        <f>PROPER(Sales_Data[[#This Row],[Month Name]])</f>
        <v>Março</v>
      </c>
      <c r="R1187" s="11" t="str">
        <f>PROPER(Sales_Data[[#This Row],[Sales Manager]])</f>
        <v>Liam Lee</v>
      </c>
    </row>
    <row r="1188" spans="1:18" x14ac:dyDescent="0.25">
      <c r="A1188">
        <v>11187</v>
      </c>
      <c r="B1188">
        <v>2022</v>
      </c>
      <c r="C1188" t="s">
        <v>69</v>
      </c>
      <c r="D1188" s="8">
        <v>44652</v>
      </c>
      <c r="E1188" t="s">
        <v>22</v>
      </c>
      <c r="F1188" t="s">
        <v>12</v>
      </c>
      <c r="G1188" t="s">
        <v>20</v>
      </c>
      <c r="H1188" s="9">
        <v>2</v>
      </c>
      <c r="I1188" s="9">
        <v>128</v>
      </c>
      <c r="J1188" s="10">
        <v>108800</v>
      </c>
      <c r="K1188" s="10">
        <v>27200</v>
      </c>
      <c r="L1188">
        <v>14</v>
      </c>
      <c r="M1188" s="8">
        <v>44652</v>
      </c>
      <c r="N1188" s="23">
        <v>5.4805326493413697E-4</v>
      </c>
      <c r="O1188" s="10" t="str">
        <f>IF(Sales_Data[[#This Row],[Total Profit]]&gt;0,"Profitable","Loss")</f>
        <v>Profitable</v>
      </c>
      <c r="P1188" s="10" t="str">
        <f>IF(Sales_Data[[#This Row],[Total Profit]]&gt;100000,"High Value",IF(Sales_Data[[#This Row],[Total Profit]]&gt;60000,"Medium","Low"))</f>
        <v>Low</v>
      </c>
      <c r="Q1188" s="11" t="str">
        <f>PROPER(Sales_Data[[#This Row],[Month Name]])</f>
        <v>Abril</v>
      </c>
      <c r="R1188" s="11" t="str">
        <f>PROPER(Sales_Data[[#This Row],[Sales Manager]])</f>
        <v>Emily White</v>
      </c>
    </row>
    <row r="1189" spans="1:18" x14ac:dyDescent="0.25">
      <c r="A1189">
        <v>11188</v>
      </c>
      <c r="B1189">
        <v>2022</v>
      </c>
      <c r="C1189" t="s">
        <v>69</v>
      </c>
      <c r="D1189" s="8">
        <v>44653</v>
      </c>
      <c r="E1189" t="s">
        <v>22</v>
      </c>
      <c r="F1189" t="s">
        <v>16</v>
      </c>
      <c r="G1189" t="s">
        <v>13</v>
      </c>
      <c r="H1189" s="9">
        <v>15</v>
      </c>
      <c r="I1189" s="9">
        <v>216</v>
      </c>
      <c r="J1189" s="10">
        <v>162000</v>
      </c>
      <c r="K1189" s="10">
        <v>24300</v>
      </c>
      <c r="L1189">
        <v>14</v>
      </c>
      <c r="M1189" s="8">
        <v>44652</v>
      </c>
      <c r="N1189" s="23">
        <v>8.1603519227325505E-4</v>
      </c>
      <c r="O1189" s="10" t="str">
        <f>IF(Sales_Data[[#This Row],[Total Profit]]&gt;0,"Profitable","Loss")</f>
        <v>Profitable</v>
      </c>
      <c r="P1189" s="10" t="str">
        <f>IF(Sales_Data[[#This Row],[Total Profit]]&gt;100000,"High Value",IF(Sales_Data[[#This Row],[Total Profit]]&gt;60000,"Medium","Low"))</f>
        <v>Low</v>
      </c>
      <c r="Q1189" s="11" t="str">
        <f>PROPER(Sales_Data[[#This Row],[Month Name]])</f>
        <v>Abril</v>
      </c>
      <c r="R1189" s="11" t="str">
        <f>PROPER(Sales_Data[[#This Row],[Sales Manager]])</f>
        <v>James Brown</v>
      </c>
    </row>
    <row r="1190" spans="1:18" x14ac:dyDescent="0.25">
      <c r="A1190">
        <v>11189</v>
      </c>
      <c r="B1190">
        <v>2022</v>
      </c>
      <c r="C1190" t="s">
        <v>69</v>
      </c>
      <c r="D1190" s="8">
        <v>44654</v>
      </c>
      <c r="E1190" t="s">
        <v>19</v>
      </c>
      <c r="F1190" t="s">
        <v>18</v>
      </c>
      <c r="G1190" t="s">
        <v>23</v>
      </c>
      <c r="H1190" s="9">
        <v>15</v>
      </c>
      <c r="I1190" s="9">
        <v>382</v>
      </c>
      <c r="J1190" s="10">
        <v>133700</v>
      </c>
      <c r="K1190" s="10">
        <v>37436</v>
      </c>
      <c r="L1190">
        <v>15</v>
      </c>
      <c r="M1190" s="8">
        <v>44652</v>
      </c>
      <c r="N1190" s="23">
        <v>6.7348089633910001E-4</v>
      </c>
      <c r="O1190" s="10" t="str">
        <f>IF(Sales_Data[[#This Row],[Total Profit]]&gt;0,"Profitable","Loss")</f>
        <v>Profitable</v>
      </c>
      <c r="P1190" s="10" t="str">
        <f>IF(Sales_Data[[#This Row],[Total Profit]]&gt;100000,"High Value",IF(Sales_Data[[#This Row],[Total Profit]]&gt;60000,"Medium","Low"))</f>
        <v>Low</v>
      </c>
      <c r="Q1190" s="11" t="str">
        <f>PROPER(Sales_Data[[#This Row],[Month Name]])</f>
        <v>Abril</v>
      </c>
      <c r="R1190" s="11" t="str">
        <f>PROPER(Sales_Data[[#This Row],[Sales Manager]])</f>
        <v>Jane Doe</v>
      </c>
    </row>
    <row r="1191" spans="1:18" x14ac:dyDescent="0.25">
      <c r="A1191">
        <v>11190</v>
      </c>
      <c r="B1191">
        <v>2022</v>
      </c>
      <c r="C1191" t="s">
        <v>69</v>
      </c>
      <c r="D1191" s="8">
        <v>44655</v>
      </c>
      <c r="E1191" t="s">
        <v>11</v>
      </c>
      <c r="F1191" t="s">
        <v>16</v>
      </c>
      <c r="G1191" t="s">
        <v>17</v>
      </c>
      <c r="H1191" s="9">
        <v>5</v>
      </c>
      <c r="I1191" s="9">
        <v>95</v>
      </c>
      <c r="J1191" s="10">
        <v>23750</v>
      </c>
      <c r="K1191" s="10">
        <v>7837.5</v>
      </c>
      <c r="L1191">
        <v>15</v>
      </c>
      <c r="M1191" s="8">
        <v>44652</v>
      </c>
      <c r="N1191" s="23">
        <v>1.1963478899067799E-4</v>
      </c>
      <c r="O1191" s="10" t="str">
        <f>IF(Sales_Data[[#This Row],[Total Profit]]&gt;0,"Profitable","Loss")</f>
        <v>Profitable</v>
      </c>
      <c r="P1191" s="10" t="str">
        <f>IF(Sales_Data[[#This Row],[Total Profit]]&gt;100000,"High Value",IF(Sales_Data[[#This Row],[Total Profit]]&gt;60000,"Medium","Low"))</f>
        <v>Low</v>
      </c>
      <c r="Q1191" s="11" t="str">
        <f>PROPER(Sales_Data[[#This Row],[Month Name]])</f>
        <v>Abril</v>
      </c>
      <c r="R1191" s="11" t="str">
        <f>PROPER(Sales_Data[[#This Row],[Sales Manager]])</f>
        <v>James Brown</v>
      </c>
    </row>
    <row r="1192" spans="1:18" x14ac:dyDescent="0.25">
      <c r="A1192">
        <v>11191</v>
      </c>
      <c r="B1192">
        <v>2022</v>
      </c>
      <c r="C1192" t="s">
        <v>69</v>
      </c>
      <c r="D1192" s="8">
        <v>44656</v>
      </c>
      <c r="E1192" t="s">
        <v>25</v>
      </c>
      <c r="F1192" t="s">
        <v>24</v>
      </c>
      <c r="G1192" t="s">
        <v>17</v>
      </c>
      <c r="H1192" s="9">
        <v>3</v>
      </c>
      <c r="I1192" s="9">
        <v>36</v>
      </c>
      <c r="J1192" s="10">
        <v>9000</v>
      </c>
      <c r="K1192" s="10">
        <v>2790</v>
      </c>
      <c r="L1192">
        <v>15</v>
      </c>
      <c r="M1192" s="8">
        <v>44652</v>
      </c>
      <c r="N1192" s="23">
        <v>4.5335288459625298E-5</v>
      </c>
      <c r="O1192" s="10" t="str">
        <f>IF(Sales_Data[[#This Row],[Total Profit]]&gt;0,"Profitable","Loss")</f>
        <v>Profitable</v>
      </c>
      <c r="P1192" s="10" t="str">
        <f>IF(Sales_Data[[#This Row],[Total Profit]]&gt;100000,"High Value",IF(Sales_Data[[#This Row],[Total Profit]]&gt;60000,"Medium","Low"))</f>
        <v>Low</v>
      </c>
      <c r="Q1192" s="11" t="str">
        <f>PROPER(Sales_Data[[#This Row],[Month Name]])</f>
        <v>Abril</v>
      </c>
      <c r="R1192" s="11" t="str">
        <f>PROPER(Sales_Data[[#This Row],[Sales Manager]])</f>
        <v>Liam Lee</v>
      </c>
    </row>
    <row r="1193" spans="1:18" x14ac:dyDescent="0.25">
      <c r="A1193">
        <v>11192</v>
      </c>
      <c r="B1193">
        <v>2022</v>
      </c>
      <c r="C1193" t="s">
        <v>69</v>
      </c>
      <c r="D1193" s="8">
        <v>44657</v>
      </c>
      <c r="E1193" t="s">
        <v>14</v>
      </c>
      <c r="F1193" t="s">
        <v>16</v>
      </c>
      <c r="G1193" t="s">
        <v>17</v>
      </c>
      <c r="H1193" s="9">
        <v>16</v>
      </c>
      <c r="I1193" s="9">
        <v>277</v>
      </c>
      <c r="J1193" s="10">
        <v>69250</v>
      </c>
      <c r="K1193" s="10">
        <v>20082.5</v>
      </c>
      <c r="L1193">
        <v>15</v>
      </c>
      <c r="M1193" s="8">
        <v>44652</v>
      </c>
      <c r="N1193" s="23">
        <v>3.4882985842545002E-4</v>
      </c>
      <c r="O1193" s="10" t="str">
        <f>IF(Sales_Data[[#This Row],[Total Profit]]&gt;0,"Profitable","Loss")</f>
        <v>Profitable</v>
      </c>
      <c r="P1193" s="10" t="str">
        <f>IF(Sales_Data[[#This Row],[Total Profit]]&gt;100000,"High Value",IF(Sales_Data[[#This Row],[Total Profit]]&gt;60000,"Medium","Low"))</f>
        <v>Low</v>
      </c>
      <c r="Q1193" s="11" t="str">
        <f>PROPER(Sales_Data[[#This Row],[Month Name]])</f>
        <v>Abril</v>
      </c>
      <c r="R1193" s="11" t="str">
        <f>PROPER(Sales_Data[[#This Row],[Sales Manager]])</f>
        <v>James Brown</v>
      </c>
    </row>
    <row r="1194" spans="1:18" x14ac:dyDescent="0.25">
      <c r="A1194">
        <v>11193</v>
      </c>
      <c r="B1194">
        <v>2022</v>
      </c>
      <c r="C1194" t="s">
        <v>69</v>
      </c>
      <c r="D1194" s="8">
        <v>44658</v>
      </c>
      <c r="E1194" t="s">
        <v>19</v>
      </c>
      <c r="F1194" t="s">
        <v>12</v>
      </c>
      <c r="G1194" t="s">
        <v>20</v>
      </c>
      <c r="H1194" s="9">
        <v>4</v>
      </c>
      <c r="I1194" s="9">
        <v>207</v>
      </c>
      <c r="J1194" s="10">
        <v>175950</v>
      </c>
      <c r="K1194" s="10">
        <v>38709</v>
      </c>
      <c r="L1194">
        <v>15</v>
      </c>
      <c r="M1194" s="8">
        <v>44652</v>
      </c>
      <c r="N1194" s="23">
        <v>8.8630488938567403E-4</v>
      </c>
      <c r="O1194" s="10" t="str">
        <f>IF(Sales_Data[[#This Row],[Total Profit]]&gt;0,"Profitable","Loss")</f>
        <v>Profitable</v>
      </c>
      <c r="P1194" s="10" t="str">
        <f>IF(Sales_Data[[#This Row],[Total Profit]]&gt;100000,"High Value",IF(Sales_Data[[#This Row],[Total Profit]]&gt;60000,"Medium","Low"))</f>
        <v>Low</v>
      </c>
      <c r="Q1194" s="11" t="str">
        <f>PROPER(Sales_Data[[#This Row],[Month Name]])</f>
        <v>Abril</v>
      </c>
      <c r="R1194" s="11" t="str">
        <f>PROPER(Sales_Data[[#This Row],[Sales Manager]])</f>
        <v>Emily White</v>
      </c>
    </row>
    <row r="1195" spans="1:18" x14ac:dyDescent="0.25">
      <c r="A1195">
        <v>11194</v>
      </c>
      <c r="B1195">
        <v>2022</v>
      </c>
      <c r="C1195" t="s">
        <v>69</v>
      </c>
      <c r="D1195" s="8">
        <v>44659</v>
      </c>
      <c r="E1195" t="s">
        <v>25</v>
      </c>
      <c r="F1195" t="s">
        <v>12</v>
      </c>
      <c r="G1195" t="s">
        <v>20</v>
      </c>
      <c r="H1195" s="9">
        <v>33</v>
      </c>
      <c r="I1195" s="9">
        <v>447</v>
      </c>
      <c r="J1195" s="10">
        <v>379950</v>
      </c>
      <c r="K1195" s="10">
        <v>72190.5</v>
      </c>
      <c r="L1195">
        <v>15</v>
      </c>
      <c r="M1195" s="8">
        <v>44652</v>
      </c>
      <c r="N1195" s="23">
        <v>1.9139047611371801E-3</v>
      </c>
      <c r="O1195" s="10" t="str">
        <f>IF(Sales_Data[[#This Row],[Total Profit]]&gt;0,"Profitable","Loss")</f>
        <v>Profitable</v>
      </c>
      <c r="P1195" s="10" t="str">
        <f>IF(Sales_Data[[#This Row],[Total Profit]]&gt;100000,"High Value",IF(Sales_Data[[#This Row],[Total Profit]]&gt;60000,"Medium","Low"))</f>
        <v>Medium</v>
      </c>
      <c r="Q1195" s="11" t="str">
        <f>PROPER(Sales_Data[[#This Row],[Month Name]])</f>
        <v>Abril</v>
      </c>
      <c r="R1195" s="11" t="str">
        <f>PROPER(Sales_Data[[#This Row],[Sales Manager]])</f>
        <v>Emily White</v>
      </c>
    </row>
    <row r="1196" spans="1:18" x14ac:dyDescent="0.25">
      <c r="A1196">
        <v>11195</v>
      </c>
      <c r="B1196">
        <v>2022</v>
      </c>
      <c r="C1196" t="s">
        <v>69</v>
      </c>
      <c r="D1196" s="8">
        <v>44660</v>
      </c>
      <c r="E1196" t="s">
        <v>25</v>
      </c>
      <c r="F1196" t="s">
        <v>24</v>
      </c>
      <c r="G1196" t="s">
        <v>13</v>
      </c>
      <c r="H1196" s="9">
        <v>30</v>
      </c>
      <c r="I1196" s="9">
        <v>468</v>
      </c>
      <c r="J1196" s="10">
        <v>351000</v>
      </c>
      <c r="K1196" s="10">
        <v>56160</v>
      </c>
      <c r="L1196">
        <v>15</v>
      </c>
      <c r="M1196" s="8">
        <v>44652</v>
      </c>
      <c r="N1196" s="23">
        <v>1.76807624992539E-3</v>
      </c>
      <c r="O1196" s="10" t="str">
        <f>IF(Sales_Data[[#This Row],[Total Profit]]&gt;0,"Profitable","Loss")</f>
        <v>Profitable</v>
      </c>
      <c r="P1196" s="10" t="str">
        <f>IF(Sales_Data[[#This Row],[Total Profit]]&gt;100000,"High Value",IF(Sales_Data[[#This Row],[Total Profit]]&gt;60000,"Medium","Low"))</f>
        <v>Low</v>
      </c>
      <c r="Q1196" s="11" t="str">
        <f>PROPER(Sales_Data[[#This Row],[Month Name]])</f>
        <v>Abril</v>
      </c>
      <c r="R1196" s="11" t="str">
        <f>PROPER(Sales_Data[[#This Row],[Sales Manager]])</f>
        <v>Liam Lee</v>
      </c>
    </row>
    <row r="1197" spans="1:18" x14ac:dyDescent="0.25">
      <c r="A1197">
        <v>11196</v>
      </c>
      <c r="B1197">
        <v>2022</v>
      </c>
      <c r="C1197" t="s">
        <v>69</v>
      </c>
      <c r="D1197" s="8">
        <v>44661</v>
      </c>
      <c r="E1197" t="s">
        <v>11</v>
      </c>
      <c r="F1197" t="s">
        <v>18</v>
      </c>
      <c r="G1197" t="s">
        <v>20</v>
      </c>
      <c r="H1197" s="9">
        <v>11</v>
      </c>
      <c r="I1197" s="9">
        <v>116</v>
      </c>
      <c r="J1197" s="10">
        <v>98600</v>
      </c>
      <c r="K1197" s="10">
        <v>28593.999999999996</v>
      </c>
      <c r="L1197">
        <v>16</v>
      </c>
      <c r="M1197" s="8">
        <v>44652</v>
      </c>
      <c r="N1197" s="23">
        <v>4.9667327134656099E-4</v>
      </c>
      <c r="O1197" s="10" t="str">
        <f>IF(Sales_Data[[#This Row],[Total Profit]]&gt;0,"Profitable","Loss")</f>
        <v>Profitable</v>
      </c>
      <c r="P1197" s="10" t="str">
        <f>IF(Sales_Data[[#This Row],[Total Profit]]&gt;100000,"High Value",IF(Sales_Data[[#This Row],[Total Profit]]&gt;60000,"Medium","Low"))</f>
        <v>Low</v>
      </c>
      <c r="Q1197" s="11" t="str">
        <f>PROPER(Sales_Data[[#This Row],[Month Name]])</f>
        <v>Abril</v>
      </c>
      <c r="R1197" s="11" t="str">
        <f>PROPER(Sales_Data[[#This Row],[Sales Manager]])</f>
        <v>Jane Doe</v>
      </c>
    </row>
    <row r="1198" spans="1:18" x14ac:dyDescent="0.25">
      <c r="A1198">
        <v>11197</v>
      </c>
      <c r="B1198">
        <v>2022</v>
      </c>
      <c r="C1198" t="s">
        <v>69</v>
      </c>
      <c r="D1198" s="8">
        <v>44662</v>
      </c>
      <c r="E1198" t="s">
        <v>11</v>
      </c>
      <c r="F1198" t="s">
        <v>18</v>
      </c>
      <c r="G1198" t="s">
        <v>15</v>
      </c>
      <c r="H1198" s="9">
        <v>17</v>
      </c>
      <c r="I1198" s="9">
        <v>185</v>
      </c>
      <c r="J1198" s="10">
        <v>92500</v>
      </c>
      <c r="K1198" s="10">
        <v>22200</v>
      </c>
      <c r="L1198">
        <v>16</v>
      </c>
      <c r="M1198" s="8">
        <v>44652</v>
      </c>
      <c r="N1198" s="23">
        <v>4.6594602027948199E-4</v>
      </c>
      <c r="O1198" s="10" t="str">
        <f>IF(Sales_Data[[#This Row],[Total Profit]]&gt;0,"Profitable","Loss")</f>
        <v>Profitable</v>
      </c>
      <c r="P1198" s="10" t="str">
        <f>IF(Sales_Data[[#This Row],[Total Profit]]&gt;100000,"High Value",IF(Sales_Data[[#This Row],[Total Profit]]&gt;60000,"Medium","Low"))</f>
        <v>Low</v>
      </c>
      <c r="Q1198" s="11" t="str">
        <f>PROPER(Sales_Data[[#This Row],[Month Name]])</f>
        <v>Abril</v>
      </c>
      <c r="R1198" s="11" t="str">
        <f>PROPER(Sales_Data[[#This Row],[Sales Manager]])</f>
        <v>Jane Doe</v>
      </c>
    </row>
    <row r="1199" spans="1:18" x14ac:dyDescent="0.25">
      <c r="A1199">
        <v>11198</v>
      </c>
      <c r="B1199">
        <v>2022</v>
      </c>
      <c r="C1199" t="s">
        <v>69</v>
      </c>
      <c r="D1199" s="8">
        <v>44663</v>
      </c>
      <c r="E1199" t="s">
        <v>14</v>
      </c>
      <c r="F1199" t="s">
        <v>16</v>
      </c>
      <c r="G1199" t="s">
        <v>20</v>
      </c>
      <c r="H1199" s="9">
        <v>34</v>
      </c>
      <c r="I1199" s="9">
        <v>379</v>
      </c>
      <c r="J1199" s="10">
        <v>322150</v>
      </c>
      <c r="K1199" s="10">
        <v>90202.000000000015</v>
      </c>
      <c r="L1199">
        <v>16</v>
      </c>
      <c r="M1199" s="8">
        <v>44652</v>
      </c>
      <c r="N1199" s="23">
        <v>1.6227514641409199E-3</v>
      </c>
      <c r="O1199" s="10" t="str">
        <f>IF(Sales_Data[[#This Row],[Total Profit]]&gt;0,"Profitable","Loss")</f>
        <v>Profitable</v>
      </c>
      <c r="P1199" s="10" t="str">
        <f>IF(Sales_Data[[#This Row],[Total Profit]]&gt;100000,"High Value",IF(Sales_Data[[#This Row],[Total Profit]]&gt;60000,"Medium","Low"))</f>
        <v>Medium</v>
      </c>
      <c r="Q1199" s="11" t="str">
        <f>PROPER(Sales_Data[[#This Row],[Month Name]])</f>
        <v>Abril</v>
      </c>
      <c r="R1199" s="11" t="str">
        <f>PROPER(Sales_Data[[#This Row],[Sales Manager]])</f>
        <v>James Brown</v>
      </c>
    </row>
    <row r="1200" spans="1:18" x14ac:dyDescent="0.25">
      <c r="A1200">
        <v>11199</v>
      </c>
      <c r="B1200">
        <v>2022</v>
      </c>
      <c r="C1200" t="s">
        <v>69</v>
      </c>
      <c r="D1200" s="8">
        <v>44664</v>
      </c>
      <c r="E1200" t="s">
        <v>25</v>
      </c>
      <c r="F1200" t="s">
        <v>12</v>
      </c>
      <c r="G1200" t="s">
        <v>15</v>
      </c>
      <c r="H1200" s="9">
        <v>43</v>
      </c>
      <c r="I1200" s="9">
        <v>453</v>
      </c>
      <c r="J1200" s="10">
        <v>226500</v>
      </c>
      <c r="K1200" s="10">
        <v>70215</v>
      </c>
      <c r="L1200">
        <v>16</v>
      </c>
      <c r="M1200" s="8">
        <v>44652</v>
      </c>
      <c r="N1200" s="23">
        <v>1.14093809290057E-3</v>
      </c>
      <c r="O1200" s="10" t="str">
        <f>IF(Sales_Data[[#This Row],[Total Profit]]&gt;0,"Profitable","Loss")</f>
        <v>Profitable</v>
      </c>
      <c r="P1200" s="10" t="str">
        <f>IF(Sales_Data[[#This Row],[Total Profit]]&gt;100000,"High Value",IF(Sales_Data[[#This Row],[Total Profit]]&gt;60000,"Medium","Low"))</f>
        <v>Medium</v>
      </c>
      <c r="Q1200" s="11" t="str">
        <f>PROPER(Sales_Data[[#This Row],[Month Name]])</f>
        <v>Abril</v>
      </c>
      <c r="R1200" s="11" t="str">
        <f>PROPER(Sales_Data[[#This Row],[Sales Manager]])</f>
        <v>Emily White</v>
      </c>
    </row>
    <row r="1201" spans="1:18" x14ac:dyDescent="0.25">
      <c r="A1201">
        <v>11200</v>
      </c>
      <c r="B1201">
        <v>2022</v>
      </c>
      <c r="C1201" t="s">
        <v>69</v>
      </c>
      <c r="D1201" s="8">
        <v>44665</v>
      </c>
      <c r="E1201" t="s">
        <v>25</v>
      </c>
      <c r="F1201" t="s">
        <v>21</v>
      </c>
      <c r="G1201" t="s">
        <v>20</v>
      </c>
      <c r="H1201" s="9">
        <v>12</v>
      </c>
      <c r="I1201" s="9">
        <v>286</v>
      </c>
      <c r="J1201" s="10">
        <v>243100</v>
      </c>
      <c r="K1201" s="10">
        <v>63206</v>
      </c>
      <c r="L1201">
        <v>16</v>
      </c>
      <c r="M1201" s="8">
        <v>44652</v>
      </c>
      <c r="N1201" s="23">
        <v>1.2245565138372101E-3</v>
      </c>
      <c r="O1201" s="10" t="str">
        <f>IF(Sales_Data[[#This Row],[Total Profit]]&gt;0,"Profitable","Loss")</f>
        <v>Profitable</v>
      </c>
      <c r="P1201" s="10" t="str">
        <f>IF(Sales_Data[[#This Row],[Total Profit]]&gt;100000,"High Value",IF(Sales_Data[[#This Row],[Total Profit]]&gt;60000,"Medium","Low"))</f>
        <v>Medium</v>
      </c>
      <c r="Q1201" s="11" t="str">
        <f>PROPER(Sales_Data[[#This Row],[Month Name]])</f>
        <v>Abril</v>
      </c>
      <c r="R1201" s="11" t="str">
        <f>PROPER(Sales_Data[[#This Row],[Sales Manager]])</f>
        <v>John Smith</v>
      </c>
    </row>
    <row r="1202" spans="1:18" x14ac:dyDescent="0.25">
      <c r="A1202">
        <v>11201</v>
      </c>
      <c r="B1202">
        <v>2022</v>
      </c>
      <c r="C1202" t="s">
        <v>69</v>
      </c>
      <c r="D1202" s="8">
        <v>44666</v>
      </c>
      <c r="E1202" t="s">
        <v>14</v>
      </c>
      <c r="F1202" t="s">
        <v>12</v>
      </c>
      <c r="G1202" t="s">
        <v>15</v>
      </c>
      <c r="H1202" s="9">
        <v>17</v>
      </c>
      <c r="I1202" s="9">
        <v>198</v>
      </c>
      <c r="J1202" s="10">
        <v>99000</v>
      </c>
      <c r="K1202" s="10">
        <v>31680</v>
      </c>
      <c r="L1202">
        <v>16</v>
      </c>
      <c r="M1202" s="8">
        <v>44652</v>
      </c>
      <c r="N1202" s="23">
        <v>4.9868817305587796E-4</v>
      </c>
      <c r="O1202" s="10" t="str">
        <f>IF(Sales_Data[[#This Row],[Total Profit]]&gt;0,"Profitable","Loss")</f>
        <v>Profitable</v>
      </c>
      <c r="P1202" s="10" t="str">
        <f>IF(Sales_Data[[#This Row],[Total Profit]]&gt;100000,"High Value",IF(Sales_Data[[#This Row],[Total Profit]]&gt;60000,"Medium","Low"))</f>
        <v>Low</v>
      </c>
      <c r="Q1202" s="11" t="str">
        <f>PROPER(Sales_Data[[#This Row],[Month Name]])</f>
        <v>Abril</v>
      </c>
      <c r="R1202" s="11" t="str">
        <f>PROPER(Sales_Data[[#This Row],[Sales Manager]])</f>
        <v>Emily White</v>
      </c>
    </row>
    <row r="1203" spans="1:18" x14ac:dyDescent="0.25">
      <c r="A1203">
        <v>11202</v>
      </c>
      <c r="B1203">
        <v>2022</v>
      </c>
      <c r="C1203" t="s">
        <v>69</v>
      </c>
      <c r="D1203" s="8">
        <v>44667</v>
      </c>
      <c r="E1203" t="s">
        <v>14</v>
      </c>
      <c r="F1203" t="s">
        <v>18</v>
      </c>
      <c r="G1203" t="s">
        <v>15</v>
      </c>
      <c r="H1203" s="9">
        <v>2</v>
      </c>
      <c r="I1203" s="9">
        <v>27</v>
      </c>
      <c r="J1203" s="10">
        <v>13500</v>
      </c>
      <c r="K1203" s="10">
        <v>2160</v>
      </c>
      <c r="L1203">
        <v>16</v>
      </c>
      <c r="M1203" s="8">
        <v>44652</v>
      </c>
      <c r="N1203" s="23">
        <v>6.8002932689437893E-5</v>
      </c>
      <c r="O1203" s="10" t="str">
        <f>IF(Sales_Data[[#This Row],[Total Profit]]&gt;0,"Profitable","Loss")</f>
        <v>Profitable</v>
      </c>
      <c r="P1203" s="10" t="str">
        <f>IF(Sales_Data[[#This Row],[Total Profit]]&gt;100000,"High Value",IF(Sales_Data[[#This Row],[Total Profit]]&gt;60000,"Medium","Low"))</f>
        <v>Low</v>
      </c>
      <c r="Q1203" s="11" t="str">
        <f>PROPER(Sales_Data[[#This Row],[Month Name]])</f>
        <v>Abril</v>
      </c>
      <c r="R1203" s="11" t="str">
        <f>PROPER(Sales_Data[[#This Row],[Sales Manager]])</f>
        <v>Jane Doe</v>
      </c>
    </row>
    <row r="1204" spans="1:18" x14ac:dyDescent="0.25">
      <c r="A1204">
        <v>11203</v>
      </c>
      <c r="B1204">
        <v>2022</v>
      </c>
      <c r="C1204" t="s">
        <v>69</v>
      </c>
      <c r="D1204" s="8">
        <v>44668</v>
      </c>
      <c r="E1204" t="s">
        <v>14</v>
      </c>
      <c r="F1204" t="s">
        <v>21</v>
      </c>
      <c r="G1204" t="s">
        <v>20</v>
      </c>
      <c r="H1204" s="9">
        <v>40</v>
      </c>
      <c r="I1204" s="9">
        <v>464</v>
      </c>
      <c r="J1204" s="10">
        <v>394400</v>
      </c>
      <c r="K1204" s="10">
        <v>63104</v>
      </c>
      <c r="L1204">
        <v>17</v>
      </c>
      <c r="M1204" s="8">
        <v>44652</v>
      </c>
      <c r="N1204" s="23">
        <v>1.98669308538625E-3</v>
      </c>
      <c r="O1204" s="10" t="str">
        <f>IF(Sales_Data[[#This Row],[Total Profit]]&gt;0,"Profitable","Loss")</f>
        <v>Profitable</v>
      </c>
      <c r="P1204" s="10" t="str">
        <f>IF(Sales_Data[[#This Row],[Total Profit]]&gt;100000,"High Value",IF(Sales_Data[[#This Row],[Total Profit]]&gt;60000,"Medium","Low"))</f>
        <v>Medium</v>
      </c>
      <c r="Q1204" s="11" t="str">
        <f>PROPER(Sales_Data[[#This Row],[Month Name]])</f>
        <v>Abril</v>
      </c>
      <c r="R1204" s="11" t="str">
        <f>PROPER(Sales_Data[[#This Row],[Sales Manager]])</f>
        <v>John Smith</v>
      </c>
    </row>
    <row r="1205" spans="1:18" x14ac:dyDescent="0.25">
      <c r="A1205">
        <v>11204</v>
      </c>
      <c r="B1205">
        <v>2022</v>
      </c>
      <c r="C1205" t="s">
        <v>69</v>
      </c>
      <c r="D1205" s="8">
        <v>44669</v>
      </c>
      <c r="E1205" t="s">
        <v>19</v>
      </c>
      <c r="F1205" t="s">
        <v>16</v>
      </c>
      <c r="G1205" t="s">
        <v>23</v>
      </c>
      <c r="H1205" s="9">
        <v>12</v>
      </c>
      <c r="I1205" s="9">
        <v>142</v>
      </c>
      <c r="J1205" s="10">
        <v>49700</v>
      </c>
      <c r="K1205" s="10">
        <v>7455</v>
      </c>
      <c r="L1205">
        <v>17</v>
      </c>
      <c r="M1205" s="8">
        <v>44652</v>
      </c>
      <c r="N1205" s="23">
        <v>2.5035153738259697E-4</v>
      </c>
      <c r="O1205" s="10" t="str">
        <f>IF(Sales_Data[[#This Row],[Total Profit]]&gt;0,"Profitable","Loss")</f>
        <v>Profitable</v>
      </c>
      <c r="P1205" s="10" t="str">
        <f>IF(Sales_Data[[#This Row],[Total Profit]]&gt;100000,"High Value",IF(Sales_Data[[#This Row],[Total Profit]]&gt;60000,"Medium","Low"))</f>
        <v>Low</v>
      </c>
      <c r="Q1205" s="11" t="str">
        <f>PROPER(Sales_Data[[#This Row],[Month Name]])</f>
        <v>Abril</v>
      </c>
      <c r="R1205" s="11" t="str">
        <f>PROPER(Sales_Data[[#This Row],[Sales Manager]])</f>
        <v>James Brown</v>
      </c>
    </row>
    <row r="1206" spans="1:18" x14ac:dyDescent="0.25">
      <c r="A1206">
        <v>11205</v>
      </c>
      <c r="B1206">
        <v>2022</v>
      </c>
      <c r="C1206" t="s">
        <v>69</v>
      </c>
      <c r="D1206" s="8">
        <v>44670</v>
      </c>
      <c r="E1206" t="s">
        <v>25</v>
      </c>
      <c r="F1206" t="s">
        <v>21</v>
      </c>
      <c r="G1206" t="s">
        <v>13</v>
      </c>
      <c r="H1206" s="9">
        <v>2</v>
      </c>
      <c r="I1206" s="9">
        <v>53</v>
      </c>
      <c r="J1206" s="10">
        <v>39750</v>
      </c>
      <c r="K1206" s="10">
        <v>8745</v>
      </c>
      <c r="L1206">
        <v>17</v>
      </c>
      <c r="M1206" s="8">
        <v>44652</v>
      </c>
      <c r="N1206" s="23">
        <v>2.00230857363345E-4</v>
      </c>
      <c r="O1206" s="10" t="str">
        <f>IF(Sales_Data[[#This Row],[Total Profit]]&gt;0,"Profitable","Loss")</f>
        <v>Profitable</v>
      </c>
      <c r="P1206" s="10" t="str">
        <f>IF(Sales_Data[[#This Row],[Total Profit]]&gt;100000,"High Value",IF(Sales_Data[[#This Row],[Total Profit]]&gt;60000,"Medium","Low"))</f>
        <v>Low</v>
      </c>
      <c r="Q1206" s="11" t="str">
        <f>PROPER(Sales_Data[[#This Row],[Month Name]])</f>
        <v>Abril</v>
      </c>
      <c r="R1206" s="11" t="str">
        <f>PROPER(Sales_Data[[#This Row],[Sales Manager]])</f>
        <v>John Smith</v>
      </c>
    </row>
    <row r="1207" spans="1:18" x14ac:dyDescent="0.25">
      <c r="A1207">
        <v>11206</v>
      </c>
      <c r="B1207">
        <v>2022</v>
      </c>
      <c r="C1207" t="s">
        <v>69</v>
      </c>
      <c r="D1207" s="8">
        <v>44671</v>
      </c>
      <c r="E1207" t="s">
        <v>19</v>
      </c>
      <c r="F1207" t="s">
        <v>21</v>
      </c>
      <c r="G1207" t="s">
        <v>17</v>
      </c>
      <c r="H1207" s="9">
        <v>22</v>
      </c>
      <c r="I1207" s="9">
        <v>324</v>
      </c>
      <c r="J1207" s="10">
        <v>81000</v>
      </c>
      <c r="K1207" s="10">
        <v>20250</v>
      </c>
      <c r="L1207">
        <v>17</v>
      </c>
      <c r="M1207" s="8">
        <v>44652</v>
      </c>
      <c r="N1207" s="23">
        <v>4.0801759613662698E-4</v>
      </c>
      <c r="O1207" s="10" t="str">
        <f>IF(Sales_Data[[#This Row],[Total Profit]]&gt;0,"Profitable","Loss")</f>
        <v>Profitable</v>
      </c>
      <c r="P1207" s="10" t="str">
        <f>IF(Sales_Data[[#This Row],[Total Profit]]&gt;100000,"High Value",IF(Sales_Data[[#This Row],[Total Profit]]&gt;60000,"Medium","Low"))</f>
        <v>Low</v>
      </c>
      <c r="Q1207" s="11" t="str">
        <f>PROPER(Sales_Data[[#This Row],[Month Name]])</f>
        <v>Abril</v>
      </c>
      <c r="R1207" s="11" t="str">
        <f>PROPER(Sales_Data[[#This Row],[Sales Manager]])</f>
        <v>John Smith</v>
      </c>
    </row>
    <row r="1208" spans="1:18" x14ac:dyDescent="0.25">
      <c r="A1208">
        <v>11207</v>
      </c>
      <c r="B1208">
        <v>2022</v>
      </c>
      <c r="C1208" t="s">
        <v>69</v>
      </c>
      <c r="D1208" s="8">
        <v>44672</v>
      </c>
      <c r="E1208" t="s">
        <v>25</v>
      </c>
      <c r="F1208" t="s">
        <v>24</v>
      </c>
      <c r="G1208" t="s">
        <v>17</v>
      </c>
      <c r="H1208" s="9">
        <v>25</v>
      </c>
      <c r="I1208" s="9">
        <v>485</v>
      </c>
      <c r="J1208" s="10">
        <v>121250</v>
      </c>
      <c r="K1208" s="10">
        <v>47287.5</v>
      </c>
      <c r="L1208">
        <v>17</v>
      </c>
      <c r="M1208" s="8">
        <v>44652</v>
      </c>
      <c r="N1208" s="23">
        <v>6.1076708063661795E-4</v>
      </c>
      <c r="O1208" s="10" t="str">
        <f>IF(Sales_Data[[#This Row],[Total Profit]]&gt;0,"Profitable","Loss")</f>
        <v>Profitable</v>
      </c>
      <c r="P1208" s="10" t="str">
        <f>IF(Sales_Data[[#This Row],[Total Profit]]&gt;100000,"High Value",IF(Sales_Data[[#This Row],[Total Profit]]&gt;60000,"Medium","Low"))</f>
        <v>Low</v>
      </c>
      <c r="Q1208" s="11" t="str">
        <f>PROPER(Sales_Data[[#This Row],[Month Name]])</f>
        <v>Abril</v>
      </c>
      <c r="R1208" s="11" t="str">
        <f>PROPER(Sales_Data[[#This Row],[Sales Manager]])</f>
        <v>Liam Lee</v>
      </c>
    </row>
    <row r="1209" spans="1:18" x14ac:dyDescent="0.25">
      <c r="A1209">
        <v>11208</v>
      </c>
      <c r="B1209">
        <v>2022</v>
      </c>
      <c r="C1209" t="s">
        <v>69</v>
      </c>
      <c r="D1209" s="8">
        <v>44673</v>
      </c>
      <c r="E1209" t="s">
        <v>25</v>
      </c>
      <c r="F1209" t="s">
        <v>12</v>
      </c>
      <c r="G1209" t="s">
        <v>23</v>
      </c>
      <c r="H1209" s="9">
        <v>5</v>
      </c>
      <c r="I1209" s="9">
        <v>245</v>
      </c>
      <c r="J1209" s="10">
        <v>85750</v>
      </c>
      <c r="K1209" s="10">
        <v>19722.5</v>
      </c>
      <c r="L1209">
        <v>17</v>
      </c>
      <c r="M1209" s="8">
        <v>44652</v>
      </c>
      <c r="N1209" s="23">
        <v>4.3194455393476299E-4</v>
      </c>
      <c r="O1209" s="10" t="str">
        <f>IF(Sales_Data[[#This Row],[Total Profit]]&gt;0,"Profitable","Loss")</f>
        <v>Profitable</v>
      </c>
      <c r="P1209" s="10" t="str">
        <f>IF(Sales_Data[[#This Row],[Total Profit]]&gt;100000,"High Value",IF(Sales_Data[[#This Row],[Total Profit]]&gt;60000,"Medium","Low"))</f>
        <v>Low</v>
      </c>
      <c r="Q1209" s="11" t="str">
        <f>PROPER(Sales_Data[[#This Row],[Month Name]])</f>
        <v>Abril</v>
      </c>
      <c r="R1209" s="11" t="str">
        <f>PROPER(Sales_Data[[#This Row],[Sales Manager]])</f>
        <v>Emily White</v>
      </c>
    </row>
    <row r="1210" spans="1:18" x14ac:dyDescent="0.25">
      <c r="A1210">
        <v>11209</v>
      </c>
      <c r="B1210">
        <v>2022</v>
      </c>
      <c r="C1210" t="s">
        <v>69</v>
      </c>
      <c r="D1210" s="8">
        <v>44674</v>
      </c>
      <c r="E1210" t="s">
        <v>22</v>
      </c>
      <c r="F1210" t="s">
        <v>24</v>
      </c>
      <c r="G1210" t="s">
        <v>17</v>
      </c>
      <c r="H1210" s="9">
        <v>6</v>
      </c>
      <c r="I1210" s="9">
        <v>185</v>
      </c>
      <c r="J1210" s="10">
        <v>46250</v>
      </c>
      <c r="K1210" s="10">
        <v>14800</v>
      </c>
      <c r="L1210">
        <v>17</v>
      </c>
      <c r="M1210" s="8">
        <v>44652</v>
      </c>
      <c r="N1210" s="23">
        <v>2.32973010139741E-4</v>
      </c>
      <c r="O1210" s="10" t="str">
        <f>IF(Sales_Data[[#This Row],[Total Profit]]&gt;0,"Profitable","Loss")</f>
        <v>Profitable</v>
      </c>
      <c r="P1210" s="10" t="str">
        <f>IF(Sales_Data[[#This Row],[Total Profit]]&gt;100000,"High Value",IF(Sales_Data[[#This Row],[Total Profit]]&gt;60000,"Medium","Low"))</f>
        <v>Low</v>
      </c>
      <c r="Q1210" s="11" t="str">
        <f>PROPER(Sales_Data[[#This Row],[Month Name]])</f>
        <v>Abril</v>
      </c>
      <c r="R1210" s="11" t="str">
        <f>PROPER(Sales_Data[[#This Row],[Sales Manager]])</f>
        <v>Liam Lee</v>
      </c>
    </row>
    <row r="1211" spans="1:18" x14ac:dyDescent="0.25">
      <c r="A1211">
        <v>11210</v>
      </c>
      <c r="B1211">
        <v>2022</v>
      </c>
      <c r="C1211" t="s">
        <v>69</v>
      </c>
      <c r="D1211" s="8">
        <v>44675</v>
      </c>
      <c r="E1211" t="s">
        <v>25</v>
      </c>
      <c r="F1211" t="s">
        <v>16</v>
      </c>
      <c r="G1211" t="s">
        <v>17</v>
      </c>
      <c r="H1211" s="9">
        <v>21</v>
      </c>
      <c r="I1211" s="9">
        <v>399</v>
      </c>
      <c r="J1211" s="10">
        <v>99750</v>
      </c>
      <c r="K1211" s="10">
        <v>18952.5</v>
      </c>
      <c r="L1211">
        <v>18</v>
      </c>
      <c r="M1211" s="8">
        <v>44652</v>
      </c>
      <c r="N1211" s="23">
        <v>5.0246611376084701E-4</v>
      </c>
      <c r="O1211" s="10" t="str">
        <f>IF(Sales_Data[[#This Row],[Total Profit]]&gt;0,"Profitable","Loss")</f>
        <v>Profitable</v>
      </c>
      <c r="P1211" s="10" t="str">
        <f>IF(Sales_Data[[#This Row],[Total Profit]]&gt;100000,"High Value",IF(Sales_Data[[#This Row],[Total Profit]]&gt;60000,"Medium","Low"))</f>
        <v>Low</v>
      </c>
      <c r="Q1211" s="11" t="str">
        <f>PROPER(Sales_Data[[#This Row],[Month Name]])</f>
        <v>Abril</v>
      </c>
      <c r="R1211" s="11" t="str">
        <f>PROPER(Sales_Data[[#This Row],[Sales Manager]])</f>
        <v>James Brown</v>
      </c>
    </row>
    <row r="1212" spans="1:18" x14ac:dyDescent="0.25">
      <c r="A1212">
        <v>11211</v>
      </c>
      <c r="B1212">
        <v>2022</v>
      </c>
      <c r="C1212" t="s">
        <v>69</v>
      </c>
      <c r="D1212" s="8">
        <v>44676</v>
      </c>
      <c r="E1212" t="s">
        <v>19</v>
      </c>
      <c r="F1212" t="s">
        <v>12</v>
      </c>
      <c r="G1212" t="s">
        <v>20</v>
      </c>
      <c r="H1212" s="9">
        <v>25</v>
      </c>
      <c r="I1212" s="9">
        <v>335</v>
      </c>
      <c r="J1212" s="10">
        <v>284750</v>
      </c>
      <c r="K1212" s="10">
        <v>96815</v>
      </c>
      <c r="L1212">
        <v>18</v>
      </c>
      <c r="M1212" s="8">
        <v>44652</v>
      </c>
      <c r="N1212" s="23">
        <v>1.4343581543198099E-3</v>
      </c>
      <c r="O1212" s="10" t="str">
        <f>IF(Sales_Data[[#This Row],[Total Profit]]&gt;0,"Profitable","Loss")</f>
        <v>Profitable</v>
      </c>
      <c r="P1212" s="10" t="str">
        <f>IF(Sales_Data[[#This Row],[Total Profit]]&gt;100000,"High Value",IF(Sales_Data[[#This Row],[Total Profit]]&gt;60000,"Medium","Low"))</f>
        <v>Medium</v>
      </c>
      <c r="Q1212" s="11" t="str">
        <f>PROPER(Sales_Data[[#This Row],[Month Name]])</f>
        <v>Abril</v>
      </c>
      <c r="R1212" s="11" t="str">
        <f>PROPER(Sales_Data[[#This Row],[Sales Manager]])</f>
        <v>Emily White</v>
      </c>
    </row>
    <row r="1213" spans="1:18" x14ac:dyDescent="0.25">
      <c r="A1213">
        <v>11212</v>
      </c>
      <c r="B1213">
        <v>2022</v>
      </c>
      <c r="C1213" t="s">
        <v>69</v>
      </c>
      <c r="D1213" s="8">
        <v>44677</v>
      </c>
      <c r="E1213" t="s">
        <v>22</v>
      </c>
      <c r="F1213" t="s">
        <v>24</v>
      </c>
      <c r="G1213" t="s">
        <v>17</v>
      </c>
      <c r="H1213" s="9">
        <v>4</v>
      </c>
      <c r="I1213" s="9">
        <v>71</v>
      </c>
      <c r="J1213" s="10">
        <v>17750</v>
      </c>
      <c r="K1213" s="10">
        <v>4615</v>
      </c>
      <c r="L1213">
        <v>18</v>
      </c>
      <c r="M1213" s="8">
        <v>44652</v>
      </c>
      <c r="N1213" s="23">
        <v>8.9411263350927601E-5</v>
      </c>
      <c r="O1213" s="10" t="str">
        <f>IF(Sales_Data[[#This Row],[Total Profit]]&gt;0,"Profitable","Loss")</f>
        <v>Profitable</v>
      </c>
      <c r="P1213" s="10" t="str">
        <f>IF(Sales_Data[[#This Row],[Total Profit]]&gt;100000,"High Value",IF(Sales_Data[[#This Row],[Total Profit]]&gt;60000,"Medium","Low"))</f>
        <v>Low</v>
      </c>
      <c r="Q1213" s="11" t="str">
        <f>PROPER(Sales_Data[[#This Row],[Month Name]])</f>
        <v>Abril</v>
      </c>
      <c r="R1213" s="11" t="str">
        <f>PROPER(Sales_Data[[#This Row],[Sales Manager]])</f>
        <v>Liam Lee</v>
      </c>
    </row>
    <row r="1214" spans="1:18" x14ac:dyDescent="0.25">
      <c r="A1214">
        <v>11213</v>
      </c>
      <c r="B1214">
        <v>2022</v>
      </c>
      <c r="C1214" t="s">
        <v>69</v>
      </c>
      <c r="D1214" s="8">
        <v>44678</v>
      </c>
      <c r="E1214" t="s">
        <v>25</v>
      </c>
      <c r="F1214" t="s">
        <v>18</v>
      </c>
      <c r="G1214" t="s">
        <v>17</v>
      </c>
      <c r="H1214" s="9">
        <v>16</v>
      </c>
      <c r="I1214" s="9">
        <v>405</v>
      </c>
      <c r="J1214" s="10">
        <v>101250</v>
      </c>
      <c r="K1214" s="10">
        <v>16200</v>
      </c>
      <c r="L1214">
        <v>18</v>
      </c>
      <c r="M1214" s="8">
        <v>44652</v>
      </c>
      <c r="N1214" s="23">
        <v>5.1002199517078404E-4</v>
      </c>
      <c r="O1214" s="10" t="str">
        <f>IF(Sales_Data[[#This Row],[Total Profit]]&gt;0,"Profitable","Loss")</f>
        <v>Profitable</v>
      </c>
      <c r="P1214" s="10" t="str">
        <f>IF(Sales_Data[[#This Row],[Total Profit]]&gt;100000,"High Value",IF(Sales_Data[[#This Row],[Total Profit]]&gt;60000,"Medium","Low"))</f>
        <v>Low</v>
      </c>
      <c r="Q1214" s="11" t="str">
        <f>PROPER(Sales_Data[[#This Row],[Month Name]])</f>
        <v>Abril</v>
      </c>
      <c r="R1214" s="11" t="str">
        <f>PROPER(Sales_Data[[#This Row],[Sales Manager]])</f>
        <v>Jane Doe</v>
      </c>
    </row>
    <row r="1215" spans="1:18" x14ac:dyDescent="0.25">
      <c r="A1215">
        <v>11214</v>
      </c>
      <c r="B1215">
        <v>2022</v>
      </c>
      <c r="C1215" t="s">
        <v>69</v>
      </c>
      <c r="D1215" s="8">
        <v>44679</v>
      </c>
      <c r="E1215" t="s">
        <v>11</v>
      </c>
      <c r="F1215" t="s">
        <v>16</v>
      </c>
      <c r="G1215" t="s">
        <v>23</v>
      </c>
      <c r="H1215" s="9">
        <v>39</v>
      </c>
      <c r="I1215" s="9">
        <v>391</v>
      </c>
      <c r="J1215" s="10">
        <v>136850</v>
      </c>
      <c r="K1215" s="10">
        <v>31475.5</v>
      </c>
      <c r="L1215">
        <v>18</v>
      </c>
      <c r="M1215" s="8">
        <v>44652</v>
      </c>
      <c r="N1215" s="23">
        <v>6.8934824729996902E-4</v>
      </c>
      <c r="O1215" s="10" t="str">
        <f>IF(Sales_Data[[#This Row],[Total Profit]]&gt;0,"Profitable","Loss")</f>
        <v>Profitable</v>
      </c>
      <c r="P1215" s="10" t="str">
        <f>IF(Sales_Data[[#This Row],[Total Profit]]&gt;100000,"High Value",IF(Sales_Data[[#This Row],[Total Profit]]&gt;60000,"Medium","Low"))</f>
        <v>Low</v>
      </c>
      <c r="Q1215" s="11" t="str">
        <f>PROPER(Sales_Data[[#This Row],[Month Name]])</f>
        <v>Abril</v>
      </c>
      <c r="R1215" s="11" t="str">
        <f>PROPER(Sales_Data[[#This Row],[Sales Manager]])</f>
        <v>James Brown</v>
      </c>
    </row>
    <row r="1216" spans="1:18" x14ac:dyDescent="0.25">
      <c r="A1216">
        <v>11215</v>
      </c>
      <c r="B1216">
        <v>2022</v>
      </c>
      <c r="C1216" t="s">
        <v>69</v>
      </c>
      <c r="D1216" s="8">
        <v>44680</v>
      </c>
      <c r="E1216" t="s">
        <v>19</v>
      </c>
      <c r="F1216" t="s">
        <v>18</v>
      </c>
      <c r="G1216" t="s">
        <v>15</v>
      </c>
      <c r="H1216" s="9">
        <v>9</v>
      </c>
      <c r="I1216" s="9">
        <v>90</v>
      </c>
      <c r="J1216" s="10">
        <v>45000</v>
      </c>
      <c r="K1216" s="10">
        <v>6300.0000000000009</v>
      </c>
      <c r="L1216">
        <v>18</v>
      </c>
      <c r="M1216" s="8">
        <v>44652</v>
      </c>
      <c r="N1216" s="23">
        <v>2.26676442298126E-4</v>
      </c>
      <c r="O1216" s="10" t="str">
        <f>IF(Sales_Data[[#This Row],[Total Profit]]&gt;0,"Profitable","Loss")</f>
        <v>Profitable</v>
      </c>
      <c r="P1216" s="10" t="str">
        <f>IF(Sales_Data[[#This Row],[Total Profit]]&gt;100000,"High Value",IF(Sales_Data[[#This Row],[Total Profit]]&gt;60000,"Medium","Low"))</f>
        <v>Low</v>
      </c>
      <c r="Q1216" s="11" t="str">
        <f>PROPER(Sales_Data[[#This Row],[Month Name]])</f>
        <v>Abril</v>
      </c>
      <c r="R1216" s="11" t="str">
        <f>PROPER(Sales_Data[[#This Row],[Sales Manager]])</f>
        <v>Jane Doe</v>
      </c>
    </row>
    <row r="1217" spans="1:18" x14ac:dyDescent="0.25">
      <c r="A1217">
        <v>11216</v>
      </c>
      <c r="B1217">
        <v>2022</v>
      </c>
      <c r="C1217" t="s">
        <v>69</v>
      </c>
      <c r="D1217" s="8">
        <v>44681</v>
      </c>
      <c r="E1217" t="s">
        <v>19</v>
      </c>
      <c r="F1217" t="s">
        <v>12</v>
      </c>
      <c r="G1217" t="s">
        <v>23</v>
      </c>
      <c r="H1217" s="9">
        <v>4</v>
      </c>
      <c r="I1217" s="9">
        <v>58</v>
      </c>
      <c r="J1217" s="10">
        <v>20300</v>
      </c>
      <c r="K1217" s="10">
        <v>2030</v>
      </c>
      <c r="L1217">
        <v>18</v>
      </c>
      <c r="M1217" s="8">
        <v>44652</v>
      </c>
      <c r="N1217" s="23">
        <v>1.02256261747821E-4</v>
      </c>
      <c r="O1217" s="10" t="str">
        <f>IF(Sales_Data[[#This Row],[Total Profit]]&gt;0,"Profitable","Loss")</f>
        <v>Profitable</v>
      </c>
      <c r="P1217" s="10" t="str">
        <f>IF(Sales_Data[[#This Row],[Total Profit]]&gt;100000,"High Value",IF(Sales_Data[[#This Row],[Total Profit]]&gt;60000,"Medium","Low"))</f>
        <v>Low</v>
      </c>
      <c r="Q1217" s="11" t="str">
        <f>PROPER(Sales_Data[[#This Row],[Month Name]])</f>
        <v>Abril</v>
      </c>
      <c r="R1217" s="11" t="str">
        <f>PROPER(Sales_Data[[#This Row],[Sales Manager]])</f>
        <v>Emily White</v>
      </c>
    </row>
    <row r="1218" spans="1:18" x14ac:dyDescent="0.25">
      <c r="A1218">
        <v>11217</v>
      </c>
      <c r="B1218">
        <v>2022</v>
      </c>
      <c r="C1218" t="s">
        <v>70</v>
      </c>
      <c r="D1218" s="8">
        <v>44682</v>
      </c>
      <c r="E1218" t="s">
        <v>25</v>
      </c>
      <c r="F1218" t="s">
        <v>16</v>
      </c>
      <c r="G1218" t="s">
        <v>20</v>
      </c>
      <c r="H1218" s="9">
        <v>37</v>
      </c>
      <c r="I1218" s="9">
        <v>490</v>
      </c>
      <c r="J1218" s="10">
        <v>416500</v>
      </c>
      <c r="K1218" s="10">
        <v>45815</v>
      </c>
      <c r="L1218">
        <v>19</v>
      </c>
      <c r="M1218" s="8">
        <v>44652</v>
      </c>
      <c r="N1218" s="23">
        <v>2.0980164048259899E-3</v>
      </c>
      <c r="O1218" s="10" t="str">
        <f>IF(Sales_Data[[#This Row],[Total Profit]]&gt;0,"Profitable","Loss")</f>
        <v>Profitable</v>
      </c>
      <c r="P1218" s="10" t="str">
        <f>IF(Sales_Data[[#This Row],[Total Profit]]&gt;100000,"High Value",IF(Sales_Data[[#This Row],[Total Profit]]&gt;60000,"Medium","Low"))</f>
        <v>Low</v>
      </c>
      <c r="Q1218" s="11" t="str">
        <f>PROPER(Sales_Data[[#This Row],[Month Name]])</f>
        <v>Maio</v>
      </c>
      <c r="R1218" s="11" t="str">
        <f>PROPER(Sales_Data[[#This Row],[Sales Manager]])</f>
        <v>James Brown</v>
      </c>
    </row>
    <row r="1219" spans="1:18" x14ac:dyDescent="0.25">
      <c r="A1219">
        <v>11218</v>
      </c>
      <c r="B1219">
        <v>2022</v>
      </c>
      <c r="C1219" t="s">
        <v>70</v>
      </c>
      <c r="D1219" s="8">
        <v>44683</v>
      </c>
      <c r="E1219" t="s">
        <v>14</v>
      </c>
      <c r="F1219" t="s">
        <v>21</v>
      </c>
      <c r="G1219" t="s">
        <v>20</v>
      </c>
      <c r="H1219" s="9">
        <v>21</v>
      </c>
      <c r="I1219" s="9">
        <v>445</v>
      </c>
      <c r="J1219" s="10">
        <v>378250</v>
      </c>
      <c r="K1219" s="10">
        <v>60520</v>
      </c>
      <c r="L1219">
        <v>19</v>
      </c>
      <c r="M1219" s="8">
        <v>44652</v>
      </c>
      <c r="N1219" s="23">
        <v>1.9053414288725801E-3</v>
      </c>
      <c r="O1219" s="10" t="str">
        <f>IF(Sales_Data[[#This Row],[Total Profit]]&gt;0,"Profitable","Loss")</f>
        <v>Profitable</v>
      </c>
      <c r="P1219" s="10" t="str">
        <f>IF(Sales_Data[[#This Row],[Total Profit]]&gt;100000,"High Value",IF(Sales_Data[[#This Row],[Total Profit]]&gt;60000,"Medium","Low"))</f>
        <v>Medium</v>
      </c>
      <c r="Q1219" s="11" t="str">
        <f>PROPER(Sales_Data[[#This Row],[Month Name]])</f>
        <v>Maio</v>
      </c>
      <c r="R1219" s="11" t="str">
        <f>PROPER(Sales_Data[[#This Row],[Sales Manager]])</f>
        <v>John Smith</v>
      </c>
    </row>
    <row r="1220" spans="1:18" x14ac:dyDescent="0.25">
      <c r="A1220">
        <v>11219</v>
      </c>
      <c r="B1220">
        <v>2022</v>
      </c>
      <c r="C1220" t="s">
        <v>70</v>
      </c>
      <c r="D1220" s="8">
        <v>44684</v>
      </c>
      <c r="E1220" t="s">
        <v>19</v>
      </c>
      <c r="F1220" t="s">
        <v>24</v>
      </c>
      <c r="G1220" t="s">
        <v>20</v>
      </c>
      <c r="H1220" s="9">
        <v>8</v>
      </c>
      <c r="I1220" s="9">
        <v>281</v>
      </c>
      <c r="J1220" s="10">
        <v>238850</v>
      </c>
      <c r="K1220" s="10">
        <v>105094</v>
      </c>
      <c r="L1220">
        <v>19</v>
      </c>
      <c r="M1220" s="8">
        <v>44652</v>
      </c>
      <c r="N1220" s="23">
        <v>1.2031481831757201E-3</v>
      </c>
      <c r="O1220" s="10" t="str">
        <f>IF(Sales_Data[[#This Row],[Total Profit]]&gt;0,"Profitable","Loss")</f>
        <v>Profitable</v>
      </c>
      <c r="P1220" s="10" t="str">
        <f>IF(Sales_Data[[#This Row],[Total Profit]]&gt;100000,"High Value",IF(Sales_Data[[#This Row],[Total Profit]]&gt;60000,"Medium","Low"))</f>
        <v>High Value</v>
      </c>
      <c r="Q1220" s="11" t="str">
        <f>PROPER(Sales_Data[[#This Row],[Month Name]])</f>
        <v>Maio</v>
      </c>
      <c r="R1220" s="11" t="str">
        <f>PROPER(Sales_Data[[#This Row],[Sales Manager]])</f>
        <v>Liam Lee</v>
      </c>
    </row>
    <row r="1221" spans="1:18" x14ac:dyDescent="0.25">
      <c r="A1221">
        <v>11220</v>
      </c>
      <c r="B1221">
        <v>2022</v>
      </c>
      <c r="C1221" t="s">
        <v>70</v>
      </c>
      <c r="D1221" s="8">
        <v>44685</v>
      </c>
      <c r="E1221" t="s">
        <v>19</v>
      </c>
      <c r="F1221" t="s">
        <v>21</v>
      </c>
      <c r="G1221" t="s">
        <v>17</v>
      </c>
      <c r="H1221" s="9">
        <v>32</v>
      </c>
      <c r="I1221" s="9">
        <v>321</v>
      </c>
      <c r="J1221" s="10">
        <v>80250</v>
      </c>
      <c r="K1221" s="10">
        <v>14445</v>
      </c>
      <c r="L1221">
        <v>19</v>
      </c>
      <c r="M1221" s="8">
        <v>44652</v>
      </c>
      <c r="N1221" s="23">
        <v>4.0423965543165901E-4</v>
      </c>
      <c r="O1221" s="10" t="str">
        <f>IF(Sales_Data[[#This Row],[Total Profit]]&gt;0,"Profitable","Loss")</f>
        <v>Profitable</v>
      </c>
      <c r="P1221" s="10" t="str">
        <f>IF(Sales_Data[[#This Row],[Total Profit]]&gt;100000,"High Value",IF(Sales_Data[[#This Row],[Total Profit]]&gt;60000,"Medium","Low"))</f>
        <v>Low</v>
      </c>
      <c r="Q1221" s="11" t="str">
        <f>PROPER(Sales_Data[[#This Row],[Month Name]])</f>
        <v>Maio</v>
      </c>
      <c r="R1221" s="11" t="str">
        <f>PROPER(Sales_Data[[#This Row],[Sales Manager]])</f>
        <v>John Smith</v>
      </c>
    </row>
    <row r="1222" spans="1:18" x14ac:dyDescent="0.25">
      <c r="A1222">
        <v>11221</v>
      </c>
      <c r="B1222">
        <v>2022</v>
      </c>
      <c r="C1222" t="s">
        <v>70</v>
      </c>
      <c r="D1222" s="8">
        <v>44686</v>
      </c>
      <c r="E1222" t="s">
        <v>14</v>
      </c>
      <c r="F1222" t="s">
        <v>16</v>
      </c>
      <c r="G1222" t="s">
        <v>23</v>
      </c>
      <c r="H1222" s="9">
        <v>15</v>
      </c>
      <c r="I1222" s="9">
        <v>280</v>
      </c>
      <c r="J1222" s="10">
        <v>98000</v>
      </c>
      <c r="K1222" s="10">
        <v>18620</v>
      </c>
      <c r="L1222">
        <v>19</v>
      </c>
      <c r="M1222" s="8">
        <v>44652</v>
      </c>
      <c r="N1222" s="23">
        <v>4.9365091878258603E-4</v>
      </c>
      <c r="O1222" s="10" t="str">
        <f>IF(Sales_Data[[#This Row],[Total Profit]]&gt;0,"Profitable","Loss")</f>
        <v>Profitable</v>
      </c>
      <c r="P1222" s="10" t="str">
        <f>IF(Sales_Data[[#This Row],[Total Profit]]&gt;100000,"High Value",IF(Sales_Data[[#This Row],[Total Profit]]&gt;60000,"Medium","Low"))</f>
        <v>Low</v>
      </c>
      <c r="Q1222" s="11" t="str">
        <f>PROPER(Sales_Data[[#This Row],[Month Name]])</f>
        <v>Maio</v>
      </c>
      <c r="R1222" s="11" t="str">
        <f>PROPER(Sales_Data[[#This Row],[Sales Manager]])</f>
        <v>James Brown</v>
      </c>
    </row>
    <row r="1223" spans="1:18" x14ac:dyDescent="0.25">
      <c r="A1223">
        <v>11222</v>
      </c>
      <c r="B1223">
        <v>2022</v>
      </c>
      <c r="C1223" t="s">
        <v>70</v>
      </c>
      <c r="D1223" s="8">
        <v>44687</v>
      </c>
      <c r="E1223" t="s">
        <v>19</v>
      </c>
      <c r="F1223" t="s">
        <v>12</v>
      </c>
      <c r="G1223" t="s">
        <v>13</v>
      </c>
      <c r="H1223" s="9">
        <v>17</v>
      </c>
      <c r="I1223" s="9">
        <v>217</v>
      </c>
      <c r="J1223" s="10">
        <v>162750</v>
      </c>
      <c r="K1223" s="10">
        <v>55335.000000000007</v>
      </c>
      <c r="L1223">
        <v>19</v>
      </c>
      <c r="M1223" s="8">
        <v>44652</v>
      </c>
      <c r="N1223" s="23">
        <v>8.1981313297822399E-4</v>
      </c>
      <c r="O1223" s="10" t="str">
        <f>IF(Sales_Data[[#This Row],[Total Profit]]&gt;0,"Profitable","Loss")</f>
        <v>Profitable</v>
      </c>
      <c r="P1223" s="10" t="str">
        <f>IF(Sales_Data[[#This Row],[Total Profit]]&gt;100000,"High Value",IF(Sales_Data[[#This Row],[Total Profit]]&gt;60000,"Medium","Low"))</f>
        <v>Low</v>
      </c>
      <c r="Q1223" s="11" t="str">
        <f>PROPER(Sales_Data[[#This Row],[Month Name]])</f>
        <v>Maio</v>
      </c>
      <c r="R1223" s="11" t="str">
        <f>PROPER(Sales_Data[[#This Row],[Sales Manager]])</f>
        <v>Emily White</v>
      </c>
    </row>
    <row r="1224" spans="1:18" x14ac:dyDescent="0.25">
      <c r="A1224">
        <v>11223</v>
      </c>
      <c r="B1224">
        <v>2022</v>
      </c>
      <c r="C1224" t="s">
        <v>70</v>
      </c>
      <c r="D1224" s="8">
        <v>44688</v>
      </c>
      <c r="E1224" t="s">
        <v>19</v>
      </c>
      <c r="F1224" t="s">
        <v>18</v>
      </c>
      <c r="G1224" t="s">
        <v>13</v>
      </c>
      <c r="H1224" s="9">
        <v>3</v>
      </c>
      <c r="I1224" s="9">
        <v>152</v>
      </c>
      <c r="J1224" s="10">
        <v>114000</v>
      </c>
      <c r="K1224" s="10">
        <v>33060</v>
      </c>
      <c r="L1224">
        <v>19</v>
      </c>
      <c r="M1224" s="8">
        <v>44652</v>
      </c>
      <c r="N1224" s="23">
        <v>5.7424698715525298E-4</v>
      </c>
      <c r="O1224" s="10" t="str">
        <f>IF(Sales_Data[[#This Row],[Total Profit]]&gt;0,"Profitable","Loss")</f>
        <v>Profitable</v>
      </c>
      <c r="P1224" s="10" t="str">
        <f>IF(Sales_Data[[#This Row],[Total Profit]]&gt;100000,"High Value",IF(Sales_Data[[#This Row],[Total Profit]]&gt;60000,"Medium","Low"))</f>
        <v>Low</v>
      </c>
      <c r="Q1224" s="11" t="str">
        <f>PROPER(Sales_Data[[#This Row],[Month Name]])</f>
        <v>Maio</v>
      </c>
      <c r="R1224" s="11" t="str">
        <f>PROPER(Sales_Data[[#This Row],[Sales Manager]])</f>
        <v>Jane Doe</v>
      </c>
    </row>
    <row r="1225" spans="1:18" x14ac:dyDescent="0.25">
      <c r="A1225">
        <v>11224</v>
      </c>
      <c r="B1225">
        <v>2022</v>
      </c>
      <c r="C1225" t="s">
        <v>70</v>
      </c>
      <c r="D1225" s="8">
        <v>44689</v>
      </c>
      <c r="E1225" t="s">
        <v>11</v>
      </c>
      <c r="F1225" t="s">
        <v>24</v>
      </c>
      <c r="G1225" t="s">
        <v>17</v>
      </c>
      <c r="H1225" s="9">
        <v>4</v>
      </c>
      <c r="I1225" s="9">
        <v>64</v>
      </c>
      <c r="J1225" s="10">
        <v>16000</v>
      </c>
      <c r="K1225" s="10">
        <v>2080</v>
      </c>
      <c r="L1225">
        <v>20</v>
      </c>
      <c r="M1225" s="8">
        <v>44652</v>
      </c>
      <c r="N1225" s="23">
        <v>8.05960683726672E-5</v>
      </c>
      <c r="O1225" s="10" t="str">
        <f>IF(Sales_Data[[#This Row],[Total Profit]]&gt;0,"Profitable","Loss")</f>
        <v>Profitable</v>
      </c>
      <c r="P1225" s="10" t="str">
        <f>IF(Sales_Data[[#This Row],[Total Profit]]&gt;100000,"High Value",IF(Sales_Data[[#This Row],[Total Profit]]&gt;60000,"Medium","Low"))</f>
        <v>Low</v>
      </c>
      <c r="Q1225" s="11" t="str">
        <f>PROPER(Sales_Data[[#This Row],[Month Name]])</f>
        <v>Maio</v>
      </c>
      <c r="R1225" s="11" t="str">
        <f>PROPER(Sales_Data[[#This Row],[Sales Manager]])</f>
        <v>Liam Lee</v>
      </c>
    </row>
    <row r="1226" spans="1:18" x14ac:dyDescent="0.25">
      <c r="A1226">
        <v>11225</v>
      </c>
      <c r="B1226">
        <v>2022</v>
      </c>
      <c r="C1226" t="s">
        <v>70</v>
      </c>
      <c r="D1226" s="8">
        <v>44690</v>
      </c>
      <c r="E1226" t="s">
        <v>14</v>
      </c>
      <c r="F1226" t="s">
        <v>24</v>
      </c>
      <c r="G1226" t="s">
        <v>17</v>
      </c>
      <c r="H1226" s="9">
        <v>7</v>
      </c>
      <c r="I1226" s="9">
        <v>308</v>
      </c>
      <c r="J1226" s="10">
        <v>77000</v>
      </c>
      <c r="K1226" s="10">
        <v>30800</v>
      </c>
      <c r="L1226">
        <v>20</v>
      </c>
      <c r="M1226" s="8">
        <v>44652</v>
      </c>
      <c r="N1226" s="23">
        <v>3.87868579043461E-4</v>
      </c>
      <c r="O1226" s="10" t="str">
        <f>IF(Sales_Data[[#This Row],[Total Profit]]&gt;0,"Profitable","Loss")</f>
        <v>Profitable</v>
      </c>
      <c r="P1226" s="10" t="str">
        <f>IF(Sales_Data[[#This Row],[Total Profit]]&gt;100000,"High Value",IF(Sales_Data[[#This Row],[Total Profit]]&gt;60000,"Medium","Low"))</f>
        <v>Low</v>
      </c>
      <c r="Q1226" s="11" t="str">
        <f>PROPER(Sales_Data[[#This Row],[Month Name]])</f>
        <v>Maio</v>
      </c>
      <c r="R1226" s="11" t="str">
        <f>PROPER(Sales_Data[[#This Row],[Sales Manager]])</f>
        <v>Liam Lee</v>
      </c>
    </row>
    <row r="1227" spans="1:18" x14ac:dyDescent="0.25">
      <c r="A1227">
        <v>11226</v>
      </c>
      <c r="B1227">
        <v>2022</v>
      </c>
      <c r="C1227" t="s">
        <v>70</v>
      </c>
      <c r="D1227" s="8">
        <v>44691</v>
      </c>
      <c r="E1227" t="s">
        <v>25</v>
      </c>
      <c r="F1227" t="s">
        <v>24</v>
      </c>
      <c r="G1227" t="s">
        <v>23</v>
      </c>
      <c r="H1227" s="9">
        <v>21</v>
      </c>
      <c r="I1227" s="9">
        <v>324</v>
      </c>
      <c r="J1227" s="10">
        <v>113400</v>
      </c>
      <c r="K1227" s="10">
        <v>31752.000000000004</v>
      </c>
      <c r="L1227">
        <v>20</v>
      </c>
      <c r="M1227" s="8">
        <v>44652</v>
      </c>
      <c r="N1227" s="23">
        <v>5.7122463459127802E-4</v>
      </c>
      <c r="O1227" s="10" t="str">
        <f>IF(Sales_Data[[#This Row],[Total Profit]]&gt;0,"Profitable","Loss")</f>
        <v>Profitable</v>
      </c>
      <c r="P1227" s="10" t="str">
        <f>IF(Sales_Data[[#This Row],[Total Profit]]&gt;100000,"High Value",IF(Sales_Data[[#This Row],[Total Profit]]&gt;60000,"Medium","Low"))</f>
        <v>Low</v>
      </c>
      <c r="Q1227" s="11" t="str">
        <f>PROPER(Sales_Data[[#This Row],[Month Name]])</f>
        <v>Maio</v>
      </c>
      <c r="R1227" s="11" t="str">
        <f>PROPER(Sales_Data[[#This Row],[Sales Manager]])</f>
        <v>Liam Lee</v>
      </c>
    </row>
    <row r="1228" spans="1:18" x14ac:dyDescent="0.25">
      <c r="A1228">
        <v>11227</v>
      </c>
      <c r="B1228">
        <v>2022</v>
      </c>
      <c r="C1228" t="s">
        <v>70</v>
      </c>
      <c r="D1228" s="8">
        <v>44692</v>
      </c>
      <c r="E1228" t="s">
        <v>22</v>
      </c>
      <c r="F1228" t="s">
        <v>16</v>
      </c>
      <c r="G1228" t="s">
        <v>13</v>
      </c>
      <c r="H1228" s="9">
        <v>20</v>
      </c>
      <c r="I1228" s="9">
        <v>268</v>
      </c>
      <c r="J1228" s="10">
        <v>201000</v>
      </c>
      <c r="K1228" s="10">
        <v>44220</v>
      </c>
      <c r="L1228">
        <v>20</v>
      </c>
      <c r="M1228" s="8">
        <v>44652</v>
      </c>
      <c r="N1228" s="23">
        <v>1.01248810893163E-3</v>
      </c>
      <c r="O1228" s="10" t="str">
        <f>IF(Sales_Data[[#This Row],[Total Profit]]&gt;0,"Profitable","Loss")</f>
        <v>Profitable</v>
      </c>
      <c r="P1228" s="10" t="str">
        <f>IF(Sales_Data[[#This Row],[Total Profit]]&gt;100000,"High Value",IF(Sales_Data[[#This Row],[Total Profit]]&gt;60000,"Medium","Low"))</f>
        <v>Low</v>
      </c>
      <c r="Q1228" s="11" t="str">
        <f>PROPER(Sales_Data[[#This Row],[Month Name]])</f>
        <v>Maio</v>
      </c>
      <c r="R1228" s="11" t="str">
        <f>PROPER(Sales_Data[[#This Row],[Sales Manager]])</f>
        <v>James Brown</v>
      </c>
    </row>
    <row r="1229" spans="1:18" x14ac:dyDescent="0.25">
      <c r="A1229">
        <v>11228</v>
      </c>
      <c r="B1229">
        <v>2022</v>
      </c>
      <c r="C1229" t="s">
        <v>70</v>
      </c>
      <c r="D1229" s="8">
        <v>44693</v>
      </c>
      <c r="E1229" t="s">
        <v>19</v>
      </c>
      <c r="F1229" t="s">
        <v>12</v>
      </c>
      <c r="G1229" t="s">
        <v>13</v>
      </c>
      <c r="H1229" s="9">
        <v>2</v>
      </c>
      <c r="I1229" s="9">
        <v>34</v>
      </c>
      <c r="J1229" s="10">
        <v>25500</v>
      </c>
      <c r="K1229" s="10">
        <v>9945</v>
      </c>
      <c r="L1229">
        <v>20</v>
      </c>
      <c r="M1229" s="8">
        <v>44652</v>
      </c>
      <c r="N1229" s="23">
        <v>1.28449983968938E-4</v>
      </c>
      <c r="O1229" s="10" t="str">
        <f>IF(Sales_Data[[#This Row],[Total Profit]]&gt;0,"Profitable","Loss")</f>
        <v>Profitable</v>
      </c>
      <c r="P1229" s="10" t="str">
        <f>IF(Sales_Data[[#This Row],[Total Profit]]&gt;100000,"High Value",IF(Sales_Data[[#This Row],[Total Profit]]&gt;60000,"Medium","Low"))</f>
        <v>Low</v>
      </c>
      <c r="Q1229" s="11" t="str">
        <f>PROPER(Sales_Data[[#This Row],[Month Name]])</f>
        <v>Maio</v>
      </c>
      <c r="R1229" s="11" t="str">
        <f>PROPER(Sales_Data[[#This Row],[Sales Manager]])</f>
        <v>Emily White</v>
      </c>
    </row>
    <row r="1230" spans="1:18" x14ac:dyDescent="0.25">
      <c r="A1230">
        <v>11229</v>
      </c>
      <c r="B1230">
        <v>2022</v>
      </c>
      <c r="C1230" t="s">
        <v>70</v>
      </c>
      <c r="D1230" s="8">
        <v>44694</v>
      </c>
      <c r="E1230" t="s">
        <v>25</v>
      </c>
      <c r="F1230" t="s">
        <v>18</v>
      </c>
      <c r="G1230" t="s">
        <v>15</v>
      </c>
      <c r="H1230" s="9">
        <v>13</v>
      </c>
      <c r="I1230" s="9">
        <v>181</v>
      </c>
      <c r="J1230" s="10">
        <v>90500</v>
      </c>
      <c r="K1230" s="10">
        <v>33485</v>
      </c>
      <c r="L1230">
        <v>20</v>
      </c>
      <c r="M1230" s="8">
        <v>44652</v>
      </c>
      <c r="N1230" s="23">
        <v>4.55871511732899E-4</v>
      </c>
      <c r="O1230" s="10" t="str">
        <f>IF(Sales_Data[[#This Row],[Total Profit]]&gt;0,"Profitable","Loss")</f>
        <v>Profitable</v>
      </c>
      <c r="P1230" s="10" t="str">
        <f>IF(Sales_Data[[#This Row],[Total Profit]]&gt;100000,"High Value",IF(Sales_Data[[#This Row],[Total Profit]]&gt;60000,"Medium","Low"))</f>
        <v>Low</v>
      </c>
      <c r="Q1230" s="11" t="str">
        <f>PROPER(Sales_Data[[#This Row],[Month Name]])</f>
        <v>Maio</v>
      </c>
      <c r="R1230" s="11" t="str">
        <f>PROPER(Sales_Data[[#This Row],[Sales Manager]])</f>
        <v>Jane Doe</v>
      </c>
    </row>
    <row r="1231" spans="1:18" x14ac:dyDescent="0.25">
      <c r="A1231">
        <v>11230</v>
      </c>
      <c r="B1231">
        <v>2022</v>
      </c>
      <c r="C1231" t="s">
        <v>70</v>
      </c>
      <c r="D1231" s="8">
        <v>44695</v>
      </c>
      <c r="E1231" t="s">
        <v>19</v>
      </c>
      <c r="F1231" t="s">
        <v>16</v>
      </c>
      <c r="G1231" t="s">
        <v>17</v>
      </c>
      <c r="H1231" s="9">
        <v>4</v>
      </c>
      <c r="I1231" s="9">
        <v>135</v>
      </c>
      <c r="J1231" s="10">
        <v>33750</v>
      </c>
      <c r="K1231" s="10">
        <v>13162.5</v>
      </c>
      <c r="L1231">
        <v>20</v>
      </c>
      <c r="M1231" s="8">
        <v>44652</v>
      </c>
      <c r="N1231" s="23">
        <v>1.70007331723595E-4</v>
      </c>
      <c r="O1231" s="10" t="str">
        <f>IF(Sales_Data[[#This Row],[Total Profit]]&gt;0,"Profitable","Loss")</f>
        <v>Profitable</v>
      </c>
      <c r="P1231" s="10" t="str">
        <f>IF(Sales_Data[[#This Row],[Total Profit]]&gt;100000,"High Value",IF(Sales_Data[[#This Row],[Total Profit]]&gt;60000,"Medium","Low"))</f>
        <v>Low</v>
      </c>
      <c r="Q1231" s="11" t="str">
        <f>PROPER(Sales_Data[[#This Row],[Month Name]])</f>
        <v>Maio</v>
      </c>
      <c r="R1231" s="11" t="str">
        <f>PROPER(Sales_Data[[#This Row],[Sales Manager]])</f>
        <v>James Brown</v>
      </c>
    </row>
    <row r="1232" spans="1:18" x14ac:dyDescent="0.25">
      <c r="A1232">
        <v>11231</v>
      </c>
      <c r="B1232">
        <v>2022</v>
      </c>
      <c r="C1232" t="s">
        <v>70</v>
      </c>
      <c r="D1232" s="8">
        <v>44696</v>
      </c>
      <c r="E1232" t="s">
        <v>11</v>
      </c>
      <c r="F1232" t="s">
        <v>21</v>
      </c>
      <c r="G1232" t="s">
        <v>23</v>
      </c>
      <c r="H1232" s="9">
        <v>30</v>
      </c>
      <c r="I1232" s="9">
        <v>404</v>
      </c>
      <c r="J1232" s="10">
        <v>141400</v>
      </c>
      <c r="K1232" s="10">
        <v>15554</v>
      </c>
      <c r="L1232">
        <v>21</v>
      </c>
      <c r="M1232" s="8">
        <v>44652</v>
      </c>
      <c r="N1232" s="23">
        <v>7.1226775424344595E-4</v>
      </c>
      <c r="O1232" s="10" t="str">
        <f>IF(Sales_Data[[#This Row],[Total Profit]]&gt;0,"Profitable","Loss")</f>
        <v>Profitable</v>
      </c>
      <c r="P1232" s="10" t="str">
        <f>IF(Sales_Data[[#This Row],[Total Profit]]&gt;100000,"High Value",IF(Sales_Data[[#This Row],[Total Profit]]&gt;60000,"Medium","Low"))</f>
        <v>Low</v>
      </c>
      <c r="Q1232" s="11" t="str">
        <f>PROPER(Sales_Data[[#This Row],[Month Name]])</f>
        <v>Maio</v>
      </c>
      <c r="R1232" s="11" t="str">
        <f>PROPER(Sales_Data[[#This Row],[Sales Manager]])</f>
        <v>John Smith</v>
      </c>
    </row>
    <row r="1233" spans="1:18" x14ac:dyDescent="0.25">
      <c r="A1233">
        <v>11232</v>
      </c>
      <c r="B1233">
        <v>2022</v>
      </c>
      <c r="C1233" t="s">
        <v>70</v>
      </c>
      <c r="D1233" s="8">
        <v>44697</v>
      </c>
      <c r="E1233" t="s">
        <v>25</v>
      </c>
      <c r="F1233" t="s">
        <v>24</v>
      </c>
      <c r="G1233" t="s">
        <v>17</v>
      </c>
      <c r="H1233" s="9">
        <v>16</v>
      </c>
      <c r="I1233" s="9">
        <v>267</v>
      </c>
      <c r="J1233" s="10">
        <v>66750</v>
      </c>
      <c r="K1233" s="10">
        <v>18022.5</v>
      </c>
      <c r="L1233">
        <v>21</v>
      </c>
      <c r="M1233" s="8">
        <v>44652</v>
      </c>
      <c r="N1233" s="23">
        <v>3.3623672274222101E-4</v>
      </c>
      <c r="O1233" s="10" t="str">
        <f>IF(Sales_Data[[#This Row],[Total Profit]]&gt;0,"Profitable","Loss")</f>
        <v>Profitable</v>
      </c>
      <c r="P1233" s="10" t="str">
        <f>IF(Sales_Data[[#This Row],[Total Profit]]&gt;100000,"High Value",IF(Sales_Data[[#This Row],[Total Profit]]&gt;60000,"Medium","Low"))</f>
        <v>Low</v>
      </c>
      <c r="Q1233" s="11" t="str">
        <f>PROPER(Sales_Data[[#This Row],[Month Name]])</f>
        <v>Maio</v>
      </c>
      <c r="R1233" s="11" t="str">
        <f>PROPER(Sales_Data[[#This Row],[Sales Manager]])</f>
        <v>Liam Lee</v>
      </c>
    </row>
    <row r="1234" spans="1:18" x14ac:dyDescent="0.25">
      <c r="A1234">
        <v>11233</v>
      </c>
      <c r="B1234">
        <v>2022</v>
      </c>
      <c r="C1234" t="s">
        <v>70</v>
      </c>
      <c r="D1234" s="8">
        <v>44698</v>
      </c>
      <c r="E1234" t="s">
        <v>25</v>
      </c>
      <c r="F1234" t="s">
        <v>12</v>
      </c>
      <c r="G1234" t="s">
        <v>17</v>
      </c>
      <c r="H1234" s="9">
        <v>5</v>
      </c>
      <c r="I1234" s="9">
        <v>241</v>
      </c>
      <c r="J1234" s="10">
        <v>60250</v>
      </c>
      <c r="K1234" s="10">
        <v>17472.5</v>
      </c>
      <c r="L1234">
        <v>21</v>
      </c>
      <c r="M1234" s="8">
        <v>44652</v>
      </c>
      <c r="N1234" s="23">
        <v>3.0349456996582499E-4</v>
      </c>
      <c r="O1234" s="10" t="str">
        <f>IF(Sales_Data[[#This Row],[Total Profit]]&gt;0,"Profitable","Loss")</f>
        <v>Profitable</v>
      </c>
      <c r="P1234" s="10" t="str">
        <f>IF(Sales_Data[[#This Row],[Total Profit]]&gt;100000,"High Value",IF(Sales_Data[[#This Row],[Total Profit]]&gt;60000,"Medium","Low"))</f>
        <v>Low</v>
      </c>
      <c r="Q1234" s="11" t="str">
        <f>PROPER(Sales_Data[[#This Row],[Month Name]])</f>
        <v>Maio</v>
      </c>
      <c r="R1234" s="11" t="str">
        <f>PROPER(Sales_Data[[#This Row],[Sales Manager]])</f>
        <v>Emily White</v>
      </c>
    </row>
    <row r="1235" spans="1:18" x14ac:dyDescent="0.25">
      <c r="A1235">
        <v>11234</v>
      </c>
      <c r="B1235">
        <v>2022</v>
      </c>
      <c r="C1235" t="s">
        <v>70</v>
      </c>
      <c r="D1235" s="8">
        <v>44699</v>
      </c>
      <c r="E1235" t="s">
        <v>14</v>
      </c>
      <c r="F1235" t="s">
        <v>12</v>
      </c>
      <c r="G1235" t="s">
        <v>13</v>
      </c>
      <c r="H1235" s="9">
        <v>27</v>
      </c>
      <c r="I1235" s="9">
        <v>402</v>
      </c>
      <c r="J1235" s="10">
        <v>301500</v>
      </c>
      <c r="K1235" s="10">
        <v>132660</v>
      </c>
      <c r="L1235">
        <v>21</v>
      </c>
      <c r="M1235" s="8">
        <v>44652</v>
      </c>
      <c r="N1235" s="23">
        <v>1.5187321633974499E-3</v>
      </c>
      <c r="O1235" s="10" t="str">
        <f>IF(Sales_Data[[#This Row],[Total Profit]]&gt;0,"Profitable","Loss")</f>
        <v>Profitable</v>
      </c>
      <c r="P1235" s="10" t="str">
        <f>IF(Sales_Data[[#This Row],[Total Profit]]&gt;100000,"High Value",IF(Sales_Data[[#This Row],[Total Profit]]&gt;60000,"Medium","Low"))</f>
        <v>High Value</v>
      </c>
      <c r="Q1235" s="11" t="str">
        <f>PROPER(Sales_Data[[#This Row],[Month Name]])</f>
        <v>Maio</v>
      </c>
      <c r="R1235" s="11" t="str">
        <f>PROPER(Sales_Data[[#This Row],[Sales Manager]])</f>
        <v>Emily White</v>
      </c>
    </row>
    <row r="1236" spans="1:18" x14ac:dyDescent="0.25">
      <c r="A1236">
        <v>11235</v>
      </c>
      <c r="B1236">
        <v>2022</v>
      </c>
      <c r="C1236" t="s">
        <v>70</v>
      </c>
      <c r="D1236" s="8">
        <v>44700</v>
      </c>
      <c r="E1236" t="s">
        <v>25</v>
      </c>
      <c r="F1236" t="s">
        <v>18</v>
      </c>
      <c r="G1236" t="s">
        <v>20</v>
      </c>
      <c r="H1236" s="9">
        <v>32</v>
      </c>
      <c r="I1236" s="9">
        <v>396</v>
      </c>
      <c r="J1236" s="10">
        <v>336600</v>
      </c>
      <c r="K1236" s="10">
        <v>144738</v>
      </c>
      <c r="L1236">
        <v>21</v>
      </c>
      <c r="M1236" s="8">
        <v>44652</v>
      </c>
      <c r="N1236" s="23">
        <v>1.69553978838999E-3</v>
      </c>
      <c r="O1236" s="10" t="str">
        <f>IF(Sales_Data[[#This Row],[Total Profit]]&gt;0,"Profitable","Loss")</f>
        <v>Profitable</v>
      </c>
      <c r="P1236" s="10" t="str">
        <f>IF(Sales_Data[[#This Row],[Total Profit]]&gt;100000,"High Value",IF(Sales_Data[[#This Row],[Total Profit]]&gt;60000,"Medium","Low"))</f>
        <v>High Value</v>
      </c>
      <c r="Q1236" s="11" t="str">
        <f>PROPER(Sales_Data[[#This Row],[Month Name]])</f>
        <v>Maio</v>
      </c>
      <c r="R1236" s="11" t="str">
        <f>PROPER(Sales_Data[[#This Row],[Sales Manager]])</f>
        <v>Jane Doe</v>
      </c>
    </row>
    <row r="1237" spans="1:18" x14ac:dyDescent="0.25">
      <c r="A1237">
        <v>11236</v>
      </c>
      <c r="B1237">
        <v>2022</v>
      </c>
      <c r="C1237" t="s">
        <v>70</v>
      </c>
      <c r="D1237" s="8">
        <v>44701</v>
      </c>
      <c r="E1237" t="s">
        <v>19</v>
      </c>
      <c r="F1237" t="s">
        <v>12</v>
      </c>
      <c r="G1237" t="s">
        <v>23</v>
      </c>
      <c r="H1237" s="9">
        <v>18</v>
      </c>
      <c r="I1237" s="9">
        <v>409</v>
      </c>
      <c r="J1237" s="10">
        <v>143150</v>
      </c>
      <c r="K1237" s="10">
        <v>47239.5</v>
      </c>
      <c r="L1237">
        <v>21</v>
      </c>
      <c r="M1237" s="8">
        <v>44652</v>
      </c>
      <c r="N1237" s="23">
        <v>7.2108294922170596E-4</v>
      </c>
      <c r="O1237" s="10" t="str">
        <f>IF(Sales_Data[[#This Row],[Total Profit]]&gt;0,"Profitable","Loss")</f>
        <v>Profitable</v>
      </c>
      <c r="P1237" s="10" t="str">
        <f>IF(Sales_Data[[#This Row],[Total Profit]]&gt;100000,"High Value",IF(Sales_Data[[#This Row],[Total Profit]]&gt;60000,"Medium","Low"))</f>
        <v>Low</v>
      </c>
      <c r="Q1237" s="11" t="str">
        <f>PROPER(Sales_Data[[#This Row],[Month Name]])</f>
        <v>Maio</v>
      </c>
      <c r="R1237" s="11" t="str">
        <f>PROPER(Sales_Data[[#This Row],[Sales Manager]])</f>
        <v>Emily White</v>
      </c>
    </row>
    <row r="1238" spans="1:18" x14ac:dyDescent="0.25">
      <c r="A1238">
        <v>11237</v>
      </c>
      <c r="B1238">
        <v>2022</v>
      </c>
      <c r="C1238" t="s">
        <v>70</v>
      </c>
      <c r="D1238" s="8">
        <v>44702</v>
      </c>
      <c r="E1238" t="s">
        <v>11</v>
      </c>
      <c r="F1238" t="s">
        <v>12</v>
      </c>
      <c r="G1238" t="s">
        <v>20</v>
      </c>
      <c r="H1238" s="9">
        <v>2</v>
      </c>
      <c r="I1238" s="9">
        <v>44</v>
      </c>
      <c r="J1238" s="10">
        <v>37400</v>
      </c>
      <c r="K1238" s="10">
        <v>12716.000000000002</v>
      </c>
      <c r="L1238">
        <v>21</v>
      </c>
      <c r="M1238" s="8">
        <v>44652</v>
      </c>
      <c r="N1238" s="23">
        <v>1.88393309821109E-4</v>
      </c>
      <c r="O1238" s="10" t="str">
        <f>IF(Sales_Data[[#This Row],[Total Profit]]&gt;0,"Profitable","Loss")</f>
        <v>Profitable</v>
      </c>
      <c r="P1238" s="10" t="str">
        <f>IF(Sales_Data[[#This Row],[Total Profit]]&gt;100000,"High Value",IF(Sales_Data[[#This Row],[Total Profit]]&gt;60000,"Medium","Low"))</f>
        <v>Low</v>
      </c>
      <c r="Q1238" s="11" t="str">
        <f>PROPER(Sales_Data[[#This Row],[Month Name]])</f>
        <v>Maio</v>
      </c>
      <c r="R1238" s="11" t="str">
        <f>PROPER(Sales_Data[[#This Row],[Sales Manager]])</f>
        <v>Emily White</v>
      </c>
    </row>
    <row r="1239" spans="1:18" x14ac:dyDescent="0.25">
      <c r="A1239">
        <v>11238</v>
      </c>
      <c r="B1239">
        <v>2022</v>
      </c>
      <c r="C1239" t="s">
        <v>70</v>
      </c>
      <c r="D1239" s="8">
        <v>44703</v>
      </c>
      <c r="E1239" t="s">
        <v>11</v>
      </c>
      <c r="F1239" t="s">
        <v>24</v>
      </c>
      <c r="G1239" t="s">
        <v>15</v>
      </c>
      <c r="H1239" s="9">
        <v>31</v>
      </c>
      <c r="I1239" s="9">
        <v>467</v>
      </c>
      <c r="J1239" s="10">
        <v>233500</v>
      </c>
      <c r="K1239" s="10">
        <v>86395</v>
      </c>
      <c r="L1239">
        <v>22</v>
      </c>
      <c r="M1239" s="8">
        <v>44652</v>
      </c>
      <c r="N1239" s="23">
        <v>1.1761988728136101E-3</v>
      </c>
      <c r="O1239" s="10" t="str">
        <f>IF(Sales_Data[[#This Row],[Total Profit]]&gt;0,"Profitable","Loss")</f>
        <v>Profitable</v>
      </c>
      <c r="P1239" s="10" t="str">
        <f>IF(Sales_Data[[#This Row],[Total Profit]]&gt;100000,"High Value",IF(Sales_Data[[#This Row],[Total Profit]]&gt;60000,"Medium","Low"))</f>
        <v>Medium</v>
      </c>
      <c r="Q1239" s="11" t="str">
        <f>PROPER(Sales_Data[[#This Row],[Month Name]])</f>
        <v>Maio</v>
      </c>
      <c r="R1239" s="11" t="str">
        <f>PROPER(Sales_Data[[#This Row],[Sales Manager]])</f>
        <v>Liam Lee</v>
      </c>
    </row>
    <row r="1240" spans="1:18" x14ac:dyDescent="0.25">
      <c r="A1240">
        <v>11239</v>
      </c>
      <c r="B1240">
        <v>2022</v>
      </c>
      <c r="C1240" t="s">
        <v>70</v>
      </c>
      <c r="D1240" s="8">
        <v>44704</v>
      </c>
      <c r="E1240" t="s">
        <v>14</v>
      </c>
      <c r="F1240" t="s">
        <v>16</v>
      </c>
      <c r="G1240" t="s">
        <v>17</v>
      </c>
      <c r="H1240" s="9">
        <v>11</v>
      </c>
      <c r="I1240" s="9">
        <v>321</v>
      </c>
      <c r="J1240" s="10">
        <v>80250</v>
      </c>
      <c r="K1240" s="10">
        <v>9630</v>
      </c>
      <c r="L1240">
        <v>22</v>
      </c>
      <c r="M1240" s="8">
        <v>44652</v>
      </c>
      <c r="N1240" s="23">
        <v>4.0423965543165901E-4</v>
      </c>
      <c r="O1240" s="10" t="str">
        <f>IF(Sales_Data[[#This Row],[Total Profit]]&gt;0,"Profitable","Loss")</f>
        <v>Profitable</v>
      </c>
      <c r="P1240" s="10" t="str">
        <f>IF(Sales_Data[[#This Row],[Total Profit]]&gt;100000,"High Value",IF(Sales_Data[[#This Row],[Total Profit]]&gt;60000,"Medium","Low"))</f>
        <v>Low</v>
      </c>
      <c r="Q1240" s="11" t="str">
        <f>PROPER(Sales_Data[[#This Row],[Month Name]])</f>
        <v>Maio</v>
      </c>
      <c r="R1240" s="11" t="str">
        <f>PROPER(Sales_Data[[#This Row],[Sales Manager]])</f>
        <v>James Brown</v>
      </c>
    </row>
    <row r="1241" spans="1:18" x14ac:dyDescent="0.25">
      <c r="A1241">
        <v>11240</v>
      </c>
      <c r="B1241">
        <v>2022</v>
      </c>
      <c r="C1241" t="s">
        <v>70</v>
      </c>
      <c r="D1241" s="8">
        <v>44705</v>
      </c>
      <c r="E1241" t="s">
        <v>22</v>
      </c>
      <c r="F1241" t="s">
        <v>12</v>
      </c>
      <c r="G1241" t="s">
        <v>23</v>
      </c>
      <c r="H1241" s="9">
        <v>22</v>
      </c>
      <c r="I1241" s="9">
        <v>247</v>
      </c>
      <c r="J1241" s="10">
        <v>86450</v>
      </c>
      <c r="K1241" s="10">
        <v>26799.5</v>
      </c>
      <c r="L1241">
        <v>22</v>
      </c>
      <c r="M1241" s="8">
        <v>44652</v>
      </c>
      <c r="N1241" s="23">
        <v>4.3547063192606701E-4</v>
      </c>
      <c r="O1241" s="10" t="str">
        <f>IF(Sales_Data[[#This Row],[Total Profit]]&gt;0,"Profitable","Loss")</f>
        <v>Profitable</v>
      </c>
      <c r="P1241" s="10" t="str">
        <f>IF(Sales_Data[[#This Row],[Total Profit]]&gt;100000,"High Value",IF(Sales_Data[[#This Row],[Total Profit]]&gt;60000,"Medium","Low"))</f>
        <v>Low</v>
      </c>
      <c r="Q1241" s="11" t="str">
        <f>PROPER(Sales_Data[[#This Row],[Month Name]])</f>
        <v>Maio</v>
      </c>
      <c r="R1241" s="11" t="str">
        <f>PROPER(Sales_Data[[#This Row],[Sales Manager]])</f>
        <v>Emily White</v>
      </c>
    </row>
    <row r="1242" spans="1:18" x14ac:dyDescent="0.25">
      <c r="A1242">
        <v>11241</v>
      </c>
      <c r="B1242">
        <v>2022</v>
      </c>
      <c r="C1242" t="s">
        <v>70</v>
      </c>
      <c r="D1242" s="8">
        <v>44706</v>
      </c>
      <c r="E1242" t="s">
        <v>25</v>
      </c>
      <c r="F1242" t="s">
        <v>21</v>
      </c>
      <c r="G1242" t="s">
        <v>23</v>
      </c>
      <c r="H1242" s="9">
        <v>27</v>
      </c>
      <c r="I1242" s="9">
        <v>489</v>
      </c>
      <c r="J1242" s="10">
        <v>171150</v>
      </c>
      <c r="K1242" s="10">
        <v>18826.5</v>
      </c>
      <c r="L1242">
        <v>22</v>
      </c>
      <c r="M1242" s="8">
        <v>44652</v>
      </c>
      <c r="N1242" s="23">
        <v>8.62126068873874E-4</v>
      </c>
      <c r="O1242" s="10" t="str">
        <f>IF(Sales_Data[[#This Row],[Total Profit]]&gt;0,"Profitable","Loss")</f>
        <v>Profitable</v>
      </c>
      <c r="P1242" s="10" t="str">
        <f>IF(Sales_Data[[#This Row],[Total Profit]]&gt;100000,"High Value",IF(Sales_Data[[#This Row],[Total Profit]]&gt;60000,"Medium","Low"))</f>
        <v>Low</v>
      </c>
      <c r="Q1242" s="11" t="str">
        <f>PROPER(Sales_Data[[#This Row],[Month Name]])</f>
        <v>Maio</v>
      </c>
      <c r="R1242" s="11" t="str">
        <f>PROPER(Sales_Data[[#This Row],[Sales Manager]])</f>
        <v>John Smith</v>
      </c>
    </row>
    <row r="1243" spans="1:18" x14ac:dyDescent="0.25">
      <c r="A1243">
        <v>11242</v>
      </c>
      <c r="B1243">
        <v>2022</v>
      </c>
      <c r="C1243" t="s">
        <v>70</v>
      </c>
      <c r="D1243" s="8">
        <v>44707</v>
      </c>
      <c r="E1243" t="s">
        <v>25</v>
      </c>
      <c r="F1243" t="s">
        <v>21</v>
      </c>
      <c r="G1243" t="s">
        <v>17</v>
      </c>
      <c r="H1243" s="9">
        <v>12</v>
      </c>
      <c r="I1243" s="9">
        <v>214</v>
      </c>
      <c r="J1243" s="10">
        <v>53500</v>
      </c>
      <c r="K1243" s="10">
        <v>7490.0000000000009</v>
      </c>
      <c r="L1243">
        <v>22</v>
      </c>
      <c r="M1243" s="8">
        <v>44652</v>
      </c>
      <c r="N1243" s="23">
        <v>2.6949310362110599E-4</v>
      </c>
      <c r="O1243" s="10" t="str">
        <f>IF(Sales_Data[[#This Row],[Total Profit]]&gt;0,"Profitable","Loss")</f>
        <v>Profitable</v>
      </c>
      <c r="P1243" s="10" t="str">
        <f>IF(Sales_Data[[#This Row],[Total Profit]]&gt;100000,"High Value",IF(Sales_Data[[#This Row],[Total Profit]]&gt;60000,"Medium","Low"))</f>
        <v>Low</v>
      </c>
      <c r="Q1243" s="11" t="str">
        <f>PROPER(Sales_Data[[#This Row],[Month Name]])</f>
        <v>Maio</v>
      </c>
      <c r="R1243" s="11" t="str">
        <f>PROPER(Sales_Data[[#This Row],[Sales Manager]])</f>
        <v>John Smith</v>
      </c>
    </row>
    <row r="1244" spans="1:18" x14ac:dyDescent="0.25">
      <c r="A1244">
        <v>11243</v>
      </c>
      <c r="B1244">
        <v>2022</v>
      </c>
      <c r="C1244" t="s">
        <v>70</v>
      </c>
      <c r="D1244" s="8">
        <v>44708</v>
      </c>
      <c r="E1244" t="s">
        <v>11</v>
      </c>
      <c r="F1244" t="s">
        <v>21</v>
      </c>
      <c r="G1244" t="s">
        <v>17</v>
      </c>
      <c r="H1244" s="9">
        <v>5</v>
      </c>
      <c r="I1244" s="9">
        <v>269</v>
      </c>
      <c r="J1244" s="10">
        <v>67250</v>
      </c>
      <c r="K1244" s="10">
        <v>8742.5</v>
      </c>
      <c r="L1244">
        <v>22</v>
      </c>
      <c r="M1244" s="8">
        <v>44652</v>
      </c>
      <c r="N1244" s="23">
        <v>3.3875534987886703E-4</v>
      </c>
      <c r="O1244" s="10" t="str">
        <f>IF(Sales_Data[[#This Row],[Total Profit]]&gt;0,"Profitable","Loss")</f>
        <v>Profitable</v>
      </c>
      <c r="P1244" s="10" t="str">
        <f>IF(Sales_Data[[#This Row],[Total Profit]]&gt;100000,"High Value",IF(Sales_Data[[#This Row],[Total Profit]]&gt;60000,"Medium","Low"))</f>
        <v>Low</v>
      </c>
      <c r="Q1244" s="11" t="str">
        <f>PROPER(Sales_Data[[#This Row],[Month Name]])</f>
        <v>Maio</v>
      </c>
      <c r="R1244" s="11" t="str">
        <f>PROPER(Sales_Data[[#This Row],[Sales Manager]])</f>
        <v>John Smith</v>
      </c>
    </row>
    <row r="1245" spans="1:18" x14ac:dyDescent="0.25">
      <c r="A1245">
        <v>11244</v>
      </c>
      <c r="B1245">
        <v>2022</v>
      </c>
      <c r="C1245" t="s">
        <v>70</v>
      </c>
      <c r="D1245" s="8">
        <v>44709</v>
      </c>
      <c r="E1245" t="s">
        <v>14</v>
      </c>
      <c r="F1245" t="s">
        <v>16</v>
      </c>
      <c r="G1245" t="s">
        <v>17</v>
      </c>
      <c r="H1245" s="9">
        <v>30</v>
      </c>
      <c r="I1245" s="9">
        <v>491</v>
      </c>
      <c r="J1245" s="10">
        <v>122750</v>
      </c>
      <c r="K1245" s="10">
        <v>33142.5</v>
      </c>
      <c r="L1245">
        <v>22</v>
      </c>
      <c r="M1245" s="8">
        <v>44652</v>
      </c>
      <c r="N1245" s="23">
        <v>6.1832296204655595E-4</v>
      </c>
      <c r="O1245" s="10" t="str">
        <f>IF(Sales_Data[[#This Row],[Total Profit]]&gt;0,"Profitable","Loss")</f>
        <v>Profitable</v>
      </c>
      <c r="P1245" s="10" t="str">
        <f>IF(Sales_Data[[#This Row],[Total Profit]]&gt;100000,"High Value",IF(Sales_Data[[#This Row],[Total Profit]]&gt;60000,"Medium","Low"))</f>
        <v>Low</v>
      </c>
      <c r="Q1245" s="11" t="str">
        <f>PROPER(Sales_Data[[#This Row],[Month Name]])</f>
        <v>Maio</v>
      </c>
      <c r="R1245" s="11" t="str">
        <f>PROPER(Sales_Data[[#This Row],[Sales Manager]])</f>
        <v>James Brown</v>
      </c>
    </row>
    <row r="1246" spans="1:18" x14ac:dyDescent="0.25">
      <c r="A1246">
        <v>11245</v>
      </c>
      <c r="B1246">
        <v>2022</v>
      </c>
      <c r="C1246" t="s">
        <v>70</v>
      </c>
      <c r="D1246" s="8">
        <v>44710</v>
      </c>
      <c r="E1246" t="s">
        <v>19</v>
      </c>
      <c r="F1246" t="s">
        <v>16</v>
      </c>
      <c r="G1246" t="s">
        <v>23</v>
      </c>
      <c r="H1246" s="9">
        <v>13</v>
      </c>
      <c r="I1246" s="9">
        <v>289</v>
      </c>
      <c r="J1246" s="10">
        <v>101150</v>
      </c>
      <c r="K1246" s="10">
        <v>15172.5</v>
      </c>
      <c r="L1246">
        <v>23</v>
      </c>
      <c r="M1246" s="8">
        <v>44652</v>
      </c>
      <c r="N1246" s="23">
        <v>5.0951826974345504E-4</v>
      </c>
      <c r="O1246" s="10" t="str">
        <f>IF(Sales_Data[[#This Row],[Total Profit]]&gt;0,"Profitable","Loss")</f>
        <v>Profitable</v>
      </c>
      <c r="P1246" s="10" t="str">
        <f>IF(Sales_Data[[#This Row],[Total Profit]]&gt;100000,"High Value",IF(Sales_Data[[#This Row],[Total Profit]]&gt;60000,"Medium","Low"))</f>
        <v>Low</v>
      </c>
      <c r="Q1246" s="11" t="str">
        <f>PROPER(Sales_Data[[#This Row],[Month Name]])</f>
        <v>Maio</v>
      </c>
      <c r="R1246" s="11" t="str">
        <f>PROPER(Sales_Data[[#This Row],[Sales Manager]])</f>
        <v>James Brown</v>
      </c>
    </row>
    <row r="1247" spans="1:18" x14ac:dyDescent="0.25">
      <c r="A1247">
        <v>11246</v>
      </c>
      <c r="B1247">
        <v>2022</v>
      </c>
      <c r="C1247" t="s">
        <v>70</v>
      </c>
      <c r="D1247" s="8">
        <v>44711</v>
      </c>
      <c r="E1247" t="s">
        <v>22</v>
      </c>
      <c r="F1247" t="s">
        <v>16</v>
      </c>
      <c r="G1247" t="s">
        <v>23</v>
      </c>
      <c r="H1247" s="9">
        <v>2</v>
      </c>
      <c r="I1247" s="9">
        <v>58</v>
      </c>
      <c r="J1247" s="10">
        <v>20300</v>
      </c>
      <c r="K1247" s="10">
        <v>5887</v>
      </c>
      <c r="L1247">
        <v>23</v>
      </c>
      <c r="M1247" s="8">
        <v>44652</v>
      </c>
      <c r="N1247" s="23">
        <v>1.02256261747821E-4</v>
      </c>
      <c r="O1247" s="10" t="str">
        <f>IF(Sales_Data[[#This Row],[Total Profit]]&gt;0,"Profitable","Loss")</f>
        <v>Profitable</v>
      </c>
      <c r="P1247" s="10" t="str">
        <f>IF(Sales_Data[[#This Row],[Total Profit]]&gt;100000,"High Value",IF(Sales_Data[[#This Row],[Total Profit]]&gt;60000,"Medium","Low"))</f>
        <v>Low</v>
      </c>
      <c r="Q1247" s="11" t="str">
        <f>PROPER(Sales_Data[[#This Row],[Month Name]])</f>
        <v>Maio</v>
      </c>
      <c r="R1247" s="11" t="str">
        <f>PROPER(Sales_Data[[#This Row],[Sales Manager]])</f>
        <v>James Brown</v>
      </c>
    </row>
    <row r="1248" spans="1:18" x14ac:dyDescent="0.25">
      <c r="A1248">
        <v>11247</v>
      </c>
      <c r="B1248">
        <v>2022</v>
      </c>
      <c r="C1248" t="s">
        <v>70</v>
      </c>
      <c r="D1248" s="8">
        <v>44712</v>
      </c>
      <c r="E1248" t="s">
        <v>19</v>
      </c>
      <c r="F1248" t="s">
        <v>18</v>
      </c>
      <c r="G1248" t="s">
        <v>15</v>
      </c>
      <c r="H1248" s="9">
        <v>10</v>
      </c>
      <c r="I1248" s="9">
        <v>321</v>
      </c>
      <c r="J1248" s="10">
        <v>160500</v>
      </c>
      <c r="K1248" s="10">
        <v>20865</v>
      </c>
      <c r="L1248">
        <v>23</v>
      </c>
      <c r="M1248" s="8">
        <v>44652</v>
      </c>
      <c r="N1248" s="23">
        <v>8.0847931086331704E-4</v>
      </c>
      <c r="O1248" s="10" t="str">
        <f>IF(Sales_Data[[#This Row],[Total Profit]]&gt;0,"Profitable","Loss")</f>
        <v>Profitable</v>
      </c>
      <c r="P1248" s="10" t="str">
        <f>IF(Sales_Data[[#This Row],[Total Profit]]&gt;100000,"High Value",IF(Sales_Data[[#This Row],[Total Profit]]&gt;60000,"Medium","Low"))</f>
        <v>Low</v>
      </c>
      <c r="Q1248" s="11" t="str">
        <f>PROPER(Sales_Data[[#This Row],[Month Name]])</f>
        <v>Maio</v>
      </c>
      <c r="R1248" s="11" t="str">
        <f>PROPER(Sales_Data[[#This Row],[Sales Manager]])</f>
        <v>Jane Doe</v>
      </c>
    </row>
    <row r="1249" spans="1:18" x14ac:dyDescent="0.25">
      <c r="A1249">
        <v>11248</v>
      </c>
      <c r="B1249">
        <v>2022</v>
      </c>
      <c r="C1249" t="s">
        <v>71</v>
      </c>
      <c r="D1249" s="8">
        <v>44713</v>
      </c>
      <c r="E1249" t="s">
        <v>11</v>
      </c>
      <c r="F1249" t="s">
        <v>12</v>
      </c>
      <c r="G1249" t="s">
        <v>15</v>
      </c>
      <c r="H1249" s="9">
        <v>26</v>
      </c>
      <c r="I1249" s="9">
        <v>407</v>
      </c>
      <c r="J1249" s="10">
        <v>203500</v>
      </c>
      <c r="K1249" s="10">
        <v>36630</v>
      </c>
      <c r="L1249">
        <v>23</v>
      </c>
      <c r="M1249" s="8">
        <v>44652</v>
      </c>
      <c r="N1249" s="23">
        <v>1.02508124461486E-3</v>
      </c>
      <c r="O1249" s="10" t="str">
        <f>IF(Sales_Data[[#This Row],[Total Profit]]&gt;0,"Profitable","Loss")</f>
        <v>Profitable</v>
      </c>
      <c r="P1249" s="10" t="str">
        <f>IF(Sales_Data[[#This Row],[Total Profit]]&gt;100000,"High Value",IF(Sales_Data[[#This Row],[Total Profit]]&gt;60000,"Medium","Low"))</f>
        <v>Low</v>
      </c>
      <c r="Q1249" s="11" t="str">
        <f>PROPER(Sales_Data[[#This Row],[Month Name]])</f>
        <v>Junho</v>
      </c>
      <c r="R1249" s="11" t="str">
        <f>PROPER(Sales_Data[[#This Row],[Sales Manager]])</f>
        <v>Emily White</v>
      </c>
    </row>
    <row r="1250" spans="1:18" x14ac:dyDescent="0.25">
      <c r="A1250">
        <v>11249</v>
      </c>
      <c r="B1250">
        <v>2022</v>
      </c>
      <c r="C1250" t="s">
        <v>71</v>
      </c>
      <c r="D1250" s="8">
        <v>44714</v>
      </c>
      <c r="E1250" t="s">
        <v>11</v>
      </c>
      <c r="F1250" t="s">
        <v>16</v>
      </c>
      <c r="G1250" t="s">
        <v>13</v>
      </c>
      <c r="H1250" s="9">
        <v>16</v>
      </c>
      <c r="I1250" s="9">
        <v>477</v>
      </c>
      <c r="J1250" s="10">
        <v>357750</v>
      </c>
      <c r="K1250" s="10">
        <v>114480</v>
      </c>
      <c r="L1250">
        <v>23</v>
      </c>
      <c r="M1250" s="8">
        <v>44652</v>
      </c>
      <c r="N1250" s="23">
        <v>1.8020777162700999E-3</v>
      </c>
      <c r="O1250" s="10" t="str">
        <f>IF(Sales_Data[[#This Row],[Total Profit]]&gt;0,"Profitable","Loss")</f>
        <v>Profitable</v>
      </c>
      <c r="P1250" s="10" t="str">
        <f>IF(Sales_Data[[#This Row],[Total Profit]]&gt;100000,"High Value",IF(Sales_Data[[#This Row],[Total Profit]]&gt;60000,"Medium","Low"))</f>
        <v>High Value</v>
      </c>
      <c r="Q1250" s="11" t="str">
        <f>PROPER(Sales_Data[[#This Row],[Month Name]])</f>
        <v>Junho</v>
      </c>
      <c r="R1250" s="11" t="str">
        <f>PROPER(Sales_Data[[#This Row],[Sales Manager]])</f>
        <v>James Brown</v>
      </c>
    </row>
    <row r="1251" spans="1:18" x14ac:dyDescent="0.25">
      <c r="A1251">
        <v>11250</v>
      </c>
      <c r="B1251">
        <v>2022</v>
      </c>
      <c r="C1251" t="s">
        <v>71</v>
      </c>
      <c r="D1251" s="8">
        <v>44715</v>
      </c>
      <c r="E1251" t="s">
        <v>11</v>
      </c>
      <c r="F1251" t="s">
        <v>18</v>
      </c>
      <c r="G1251" t="s">
        <v>23</v>
      </c>
      <c r="H1251" s="9">
        <v>5</v>
      </c>
      <c r="I1251" s="9">
        <v>252</v>
      </c>
      <c r="J1251" s="10">
        <v>88200</v>
      </c>
      <c r="K1251" s="10">
        <v>22932</v>
      </c>
      <c r="L1251">
        <v>23</v>
      </c>
      <c r="M1251" s="8">
        <v>44652</v>
      </c>
      <c r="N1251" s="23">
        <v>4.4428582690432799E-4</v>
      </c>
      <c r="O1251" s="10" t="str">
        <f>IF(Sales_Data[[#This Row],[Total Profit]]&gt;0,"Profitable","Loss")</f>
        <v>Profitable</v>
      </c>
      <c r="P1251" s="10" t="str">
        <f>IF(Sales_Data[[#This Row],[Total Profit]]&gt;100000,"High Value",IF(Sales_Data[[#This Row],[Total Profit]]&gt;60000,"Medium","Low"))</f>
        <v>Low</v>
      </c>
      <c r="Q1251" s="11" t="str">
        <f>PROPER(Sales_Data[[#This Row],[Month Name]])</f>
        <v>Junho</v>
      </c>
      <c r="R1251" s="11" t="str">
        <f>PROPER(Sales_Data[[#This Row],[Sales Manager]])</f>
        <v>Jane Doe</v>
      </c>
    </row>
    <row r="1252" spans="1:18" x14ac:dyDescent="0.25">
      <c r="A1252">
        <v>11251</v>
      </c>
      <c r="B1252">
        <v>2022</v>
      </c>
      <c r="C1252" t="s">
        <v>71</v>
      </c>
      <c r="D1252" s="8">
        <v>44716</v>
      </c>
      <c r="E1252" t="s">
        <v>14</v>
      </c>
      <c r="F1252" t="s">
        <v>18</v>
      </c>
      <c r="G1252" t="s">
        <v>17</v>
      </c>
      <c r="H1252" s="9">
        <v>8</v>
      </c>
      <c r="I1252" s="9">
        <v>118</v>
      </c>
      <c r="J1252" s="10">
        <v>29500</v>
      </c>
      <c r="K1252" s="10">
        <v>10915</v>
      </c>
      <c r="L1252">
        <v>23</v>
      </c>
      <c r="M1252" s="8">
        <v>44652</v>
      </c>
      <c r="N1252" s="23">
        <v>1.4859900106210501E-4</v>
      </c>
      <c r="O1252" s="10" t="str">
        <f>IF(Sales_Data[[#This Row],[Total Profit]]&gt;0,"Profitable","Loss")</f>
        <v>Profitable</v>
      </c>
      <c r="P1252" s="10" t="str">
        <f>IF(Sales_Data[[#This Row],[Total Profit]]&gt;100000,"High Value",IF(Sales_Data[[#This Row],[Total Profit]]&gt;60000,"Medium","Low"))</f>
        <v>Low</v>
      </c>
      <c r="Q1252" s="11" t="str">
        <f>PROPER(Sales_Data[[#This Row],[Month Name]])</f>
        <v>Junho</v>
      </c>
      <c r="R1252" s="11" t="str">
        <f>PROPER(Sales_Data[[#This Row],[Sales Manager]])</f>
        <v>Jane Doe</v>
      </c>
    </row>
    <row r="1253" spans="1:18" x14ac:dyDescent="0.25">
      <c r="A1253">
        <v>11252</v>
      </c>
      <c r="B1253">
        <v>2022</v>
      </c>
      <c r="C1253" t="s">
        <v>71</v>
      </c>
      <c r="D1253" s="8">
        <v>44717</v>
      </c>
      <c r="E1253" t="s">
        <v>22</v>
      </c>
      <c r="F1253" t="s">
        <v>16</v>
      </c>
      <c r="G1253" t="s">
        <v>20</v>
      </c>
      <c r="H1253" s="9">
        <v>13</v>
      </c>
      <c r="I1253" s="9">
        <v>159</v>
      </c>
      <c r="J1253" s="10">
        <v>135150</v>
      </c>
      <c r="K1253" s="10">
        <v>39193.5</v>
      </c>
      <c r="L1253">
        <v>24</v>
      </c>
      <c r="M1253" s="8">
        <v>44652</v>
      </c>
      <c r="N1253" s="23">
        <v>6.8078491503537303E-4</v>
      </c>
      <c r="O1253" s="10" t="str">
        <f>IF(Sales_Data[[#This Row],[Total Profit]]&gt;0,"Profitable","Loss")</f>
        <v>Profitable</v>
      </c>
      <c r="P1253" s="10" t="str">
        <f>IF(Sales_Data[[#This Row],[Total Profit]]&gt;100000,"High Value",IF(Sales_Data[[#This Row],[Total Profit]]&gt;60000,"Medium","Low"))</f>
        <v>Low</v>
      </c>
      <c r="Q1253" s="11" t="str">
        <f>PROPER(Sales_Data[[#This Row],[Month Name]])</f>
        <v>Junho</v>
      </c>
      <c r="R1253" s="11" t="str">
        <f>PROPER(Sales_Data[[#This Row],[Sales Manager]])</f>
        <v>James Brown</v>
      </c>
    </row>
    <row r="1254" spans="1:18" x14ac:dyDescent="0.25">
      <c r="A1254">
        <v>11253</v>
      </c>
      <c r="B1254">
        <v>2022</v>
      </c>
      <c r="C1254" t="s">
        <v>71</v>
      </c>
      <c r="D1254" s="8">
        <v>44718</v>
      </c>
      <c r="E1254" t="s">
        <v>11</v>
      </c>
      <c r="F1254" t="s">
        <v>21</v>
      </c>
      <c r="G1254" t="s">
        <v>23</v>
      </c>
      <c r="H1254" s="9">
        <v>7</v>
      </c>
      <c r="I1254" s="9">
        <v>241</v>
      </c>
      <c r="J1254" s="10">
        <v>84350</v>
      </c>
      <c r="K1254" s="10">
        <v>21931</v>
      </c>
      <c r="L1254">
        <v>24</v>
      </c>
      <c r="M1254" s="8">
        <v>44652</v>
      </c>
      <c r="N1254" s="23">
        <v>4.2489239795215502E-4</v>
      </c>
      <c r="O1254" s="10" t="str">
        <f>IF(Sales_Data[[#This Row],[Total Profit]]&gt;0,"Profitable","Loss")</f>
        <v>Profitable</v>
      </c>
      <c r="P1254" s="10" t="str">
        <f>IF(Sales_Data[[#This Row],[Total Profit]]&gt;100000,"High Value",IF(Sales_Data[[#This Row],[Total Profit]]&gt;60000,"Medium","Low"))</f>
        <v>Low</v>
      </c>
      <c r="Q1254" s="11" t="str">
        <f>PROPER(Sales_Data[[#This Row],[Month Name]])</f>
        <v>Junho</v>
      </c>
      <c r="R1254" s="11" t="str">
        <f>PROPER(Sales_Data[[#This Row],[Sales Manager]])</f>
        <v>John Smith</v>
      </c>
    </row>
    <row r="1255" spans="1:18" x14ac:dyDescent="0.25">
      <c r="A1255">
        <v>11254</v>
      </c>
      <c r="B1255">
        <v>2022</v>
      </c>
      <c r="C1255" t="s">
        <v>71</v>
      </c>
      <c r="D1255" s="8">
        <v>44719</v>
      </c>
      <c r="E1255" t="s">
        <v>11</v>
      </c>
      <c r="F1255" t="s">
        <v>21</v>
      </c>
      <c r="G1255" t="s">
        <v>20</v>
      </c>
      <c r="H1255" s="9">
        <v>34</v>
      </c>
      <c r="I1255" s="9">
        <v>445</v>
      </c>
      <c r="J1255" s="10">
        <v>378250</v>
      </c>
      <c r="K1255" s="10">
        <v>79432.5</v>
      </c>
      <c r="L1255">
        <v>24</v>
      </c>
      <c r="M1255" s="8">
        <v>44652</v>
      </c>
      <c r="N1255" s="23">
        <v>1.9053414288725801E-3</v>
      </c>
      <c r="O1255" s="10" t="str">
        <f>IF(Sales_Data[[#This Row],[Total Profit]]&gt;0,"Profitable","Loss")</f>
        <v>Profitable</v>
      </c>
      <c r="P1255" s="10" t="str">
        <f>IF(Sales_Data[[#This Row],[Total Profit]]&gt;100000,"High Value",IF(Sales_Data[[#This Row],[Total Profit]]&gt;60000,"Medium","Low"))</f>
        <v>Medium</v>
      </c>
      <c r="Q1255" s="11" t="str">
        <f>PROPER(Sales_Data[[#This Row],[Month Name]])</f>
        <v>Junho</v>
      </c>
      <c r="R1255" s="11" t="str">
        <f>PROPER(Sales_Data[[#This Row],[Sales Manager]])</f>
        <v>John Smith</v>
      </c>
    </row>
    <row r="1256" spans="1:18" x14ac:dyDescent="0.25">
      <c r="A1256">
        <v>11255</v>
      </c>
      <c r="B1256">
        <v>2022</v>
      </c>
      <c r="C1256" t="s">
        <v>71</v>
      </c>
      <c r="D1256" s="8">
        <v>44720</v>
      </c>
      <c r="E1256" t="s">
        <v>19</v>
      </c>
      <c r="F1256" t="s">
        <v>18</v>
      </c>
      <c r="G1256" t="s">
        <v>15</v>
      </c>
      <c r="H1256" s="9">
        <v>21</v>
      </c>
      <c r="I1256" s="9">
        <v>250</v>
      </c>
      <c r="J1256" s="10">
        <v>125000</v>
      </c>
      <c r="K1256" s="10">
        <v>27500</v>
      </c>
      <c r="L1256">
        <v>24</v>
      </c>
      <c r="M1256" s="8">
        <v>44652</v>
      </c>
      <c r="N1256" s="23">
        <v>6.2965678416146203E-4</v>
      </c>
      <c r="O1256" s="10" t="str">
        <f>IF(Sales_Data[[#This Row],[Total Profit]]&gt;0,"Profitable","Loss")</f>
        <v>Profitable</v>
      </c>
      <c r="P1256" s="10" t="str">
        <f>IF(Sales_Data[[#This Row],[Total Profit]]&gt;100000,"High Value",IF(Sales_Data[[#This Row],[Total Profit]]&gt;60000,"Medium","Low"))</f>
        <v>Low</v>
      </c>
      <c r="Q1256" s="11" t="str">
        <f>PROPER(Sales_Data[[#This Row],[Month Name]])</f>
        <v>Junho</v>
      </c>
      <c r="R1256" s="11" t="str">
        <f>PROPER(Sales_Data[[#This Row],[Sales Manager]])</f>
        <v>Jane Doe</v>
      </c>
    </row>
    <row r="1257" spans="1:18" x14ac:dyDescent="0.25">
      <c r="A1257">
        <v>11256</v>
      </c>
      <c r="B1257">
        <v>2022</v>
      </c>
      <c r="C1257" t="s">
        <v>71</v>
      </c>
      <c r="D1257" s="8">
        <v>44721</v>
      </c>
      <c r="E1257" t="s">
        <v>19</v>
      </c>
      <c r="F1257" t="s">
        <v>12</v>
      </c>
      <c r="G1257" t="s">
        <v>13</v>
      </c>
      <c r="H1257" s="9">
        <v>14</v>
      </c>
      <c r="I1257" s="9">
        <v>350</v>
      </c>
      <c r="J1257" s="10">
        <v>262500</v>
      </c>
      <c r="K1257" s="10">
        <v>55125</v>
      </c>
      <c r="L1257">
        <v>24</v>
      </c>
      <c r="M1257" s="8">
        <v>44652</v>
      </c>
      <c r="N1257" s="23">
        <v>1.3222792467390699E-3</v>
      </c>
      <c r="O1257" s="10" t="str">
        <f>IF(Sales_Data[[#This Row],[Total Profit]]&gt;0,"Profitable","Loss")</f>
        <v>Profitable</v>
      </c>
      <c r="P1257" s="10" t="str">
        <f>IF(Sales_Data[[#This Row],[Total Profit]]&gt;100000,"High Value",IF(Sales_Data[[#This Row],[Total Profit]]&gt;60000,"Medium","Low"))</f>
        <v>Low</v>
      </c>
      <c r="Q1257" s="11" t="str">
        <f>PROPER(Sales_Data[[#This Row],[Month Name]])</f>
        <v>Junho</v>
      </c>
      <c r="R1257" s="11" t="str">
        <f>PROPER(Sales_Data[[#This Row],[Sales Manager]])</f>
        <v>Emily White</v>
      </c>
    </row>
    <row r="1258" spans="1:18" x14ac:dyDescent="0.25">
      <c r="A1258">
        <v>11257</v>
      </c>
      <c r="B1258">
        <v>2022</v>
      </c>
      <c r="C1258" t="s">
        <v>71</v>
      </c>
      <c r="D1258" s="8">
        <v>44722</v>
      </c>
      <c r="E1258" t="s">
        <v>25</v>
      </c>
      <c r="F1258" t="s">
        <v>12</v>
      </c>
      <c r="G1258" t="s">
        <v>20</v>
      </c>
      <c r="H1258" s="9">
        <v>8</v>
      </c>
      <c r="I1258" s="9">
        <v>80</v>
      </c>
      <c r="J1258" s="10">
        <v>68000</v>
      </c>
      <c r="K1258" s="10">
        <v>27200</v>
      </c>
      <c r="L1258">
        <v>24</v>
      </c>
      <c r="M1258" s="8">
        <v>44652</v>
      </c>
      <c r="N1258" s="23">
        <v>3.42533290583835E-4</v>
      </c>
      <c r="O1258" s="10" t="str">
        <f>IF(Sales_Data[[#This Row],[Total Profit]]&gt;0,"Profitable","Loss")</f>
        <v>Profitable</v>
      </c>
      <c r="P1258" s="10" t="str">
        <f>IF(Sales_Data[[#This Row],[Total Profit]]&gt;100000,"High Value",IF(Sales_Data[[#This Row],[Total Profit]]&gt;60000,"Medium","Low"))</f>
        <v>Low</v>
      </c>
      <c r="Q1258" s="11" t="str">
        <f>PROPER(Sales_Data[[#This Row],[Month Name]])</f>
        <v>Junho</v>
      </c>
      <c r="R1258" s="11" t="str">
        <f>PROPER(Sales_Data[[#This Row],[Sales Manager]])</f>
        <v>Emily White</v>
      </c>
    </row>
    <row r="1259" spans="1:18" x14ac:dyDescent="0.25">
      <c r="A1259">
        <v>11258</v>
      </c>
      <c r="B1259">
        <v>2022</v>
      </c>
      <c r="C1259" t="s">
        <v>71</v>
      </c>
      <c r="D1259" s="8">
        <v>44723</v>
      </c>
      <c r="E1259" t="s">
        <v>22</v>
      </c>
      <c r="F1259" t="s">
        <v>16</v>
      </c>
      <c r="G1259" t="s">
        <v>15</v>
      </c>
      <c r="H1259" s="9">
        <v>21</v>
      </c>
      <c r="I1259" s="9">
        <v>242</v>
      </c>
      <c r="J1259" s="10">
        <v>121000</v>
      </c>
      <c r="K1259" s="10">
        <v>24200</v>
      </c>
      <c r="L1259">
        <v>24</v>
      </c>
      <c r="M1259" s="8">
        <v>44652</v>
      </c>
      <c r="N1259" s="23">
        <v>6.0950776706829497E-4</v>
      </c>
      <c r="O1259" s="10" t="str">
        <f>IF(Sales_Data[[#This Row],[Total Profit]]&gt;0,"Profitable","Loss")</f>
        <v>Profitable</v>
      </c>
      <c r="P1259" s="10" t="str">
        <f>IF(Sales_Data[[#This Row],[Total Profit]]&gt;100000,"High Value",IF(Sales_Data[[#This Row],[Total Profit]]&gt;60000,"Medium","Low"))</f>
        <v>Low</v>
      </c>
      <c r="Q1259" s="11" t="str">
        <f>PROPER(Sales_Data[[#This Row],[Month Name]])</f>
        <v>Junho</v>
      </c>
      <c r="R1259" s="11" t="str">
        <f>PROPER(Sales_Data[[#This Row],[Sales Manager]])</f>
        <v>James Brown</v>
      </c>
    </row>
    <row r="1260" spans="1:18" x14ac:dyDescent="0.25">
      <c r="A1260">
        <v>11259</v>
      </c>
      <c r="B1260">
        <v>2022</v>
      </c>
      <c r="C1260" t="s">
        <v>71</v>
      </c>
      <c r="D1260" s="8">
        <v>44724</v>
      </c>
      <c r="E1260" t="s">
        <v>14</v>
      </c>
      <c r="F1260" t="s">
        <v>18</v>
      </c>
      <c r="G1260" t="s">
        <v>13</v>
      </c>
      <c r="H1260" s="9">
        <v>4</v>
      </c>
      <c r="I1260" s="9">
        <v>48</v>
      </c>
      <c r="J1260" s="10">
        <v>36000</v>
      </c>
      <c r="K1260" s="10">
        <v>13680</v>
      </c>
      <c r="L1260">
        <v>25</v>
      </c>
      <c r="M1260" s="8">
        <v>44652</v>
      </c>
      <c r="N1260" s="23">
        <v>1.81341153838501E-4</v>
      </c>
      <c r="O1260" s="10" t="str">
        <f>IF(Sales_Data[[#This Row],[Total Profit]]&gt;0,"Profitable","Loss")</f>
        <v>Profitable</v>
      </c>
      <c r="P1260" s="10" t="str">
        <f>IF(Sales_Data[[#This Row],[Total Profit]]&gt;100000,"High Value",IF(Sales_Data[[#This Row],[Total Profit]]&gt;60000,"Medium","Low"))</f>
        <v>Low</v>
      </c>
      <c r="Q1260" s="11" t="str">
        <f>PROPER(Sales_Data[[#This Row],[Month Name]])</f>
        <v>Junho</v>
      </c>
      <c r="R1260" s="11" t="str">
        <f>PROPER(Sales_Data[[#This Row],[Sales Manager]])</f>
        <v>Jane Doe</v>
      </c>
    </row>
    <row r="1261" spans="1:18" x14ac:dyDescent="0.25">
      <c r="A1261">
        <v>11260</v>
      </c>
      <c r="B1261">
        <v>2022</v>
      </c>
      <c r="C1261" t="s">
        <v>71</v>
      </c>
      <c r="D1261" s="8">
        <v>44725</v>
      </c>
      <c r="E1261" t="s">
        <v>19</v>
      </c>
      <c r="F1261" t="s">
        <v>18</v>
      </c>
      <c r="G1261" t="s">
        <v>23</v>
      </c>
      <c r="H1261" s="9">
        <v>29</v>
      </c>
      <c r="I1261" s="9">
        <v>309</v>
      </c>
      <c r="J1261" s="10">
        <v>108150</v>
      </c>
      <c r="K1261" s="10">
        <v>31363.499999999996</v>
      </c>
      <c r="L1261">
        <v>25</v>
      </c>
      <c r="M1261" s="8">
        <v>44652</v>
      </c>
      <c r="N1261" s="23">
        <v>5.4477904965649702E-4</v>
      </c>
      <c r="O1261" s="10" t="str">
        <f>IF(Sales_Data[[#This Row],[Total Profit]]&gt;0,"Profitable","Loss")</f>
        <v>Profitable</v>
      </c>
      <c r="P1261" s="10" t="str">
        <f>IF(Sales_Data[[#This Row],[Total Profit]]&gt;100000,"High Value",IF(Sales_Data[[#This Row],[Total Profit]]&gt;60000,"Medium","Low"))</f>
        <v>Low</v>
      </c>
      <c r="Q1261" s="11" t="str">
        <f>PROPER(Sales_Data[[#This Row],[Month Name]])</f>
        <v>Junho</v>
      </c>
      <c r="R1261" s="11" t="str">
        <f>PROPER(Sales_Data[[#This Row],[Sales Manager]])</f>
        <v>Jane Doe</v>
      </c>
    </row>
    <row r="1262" spans="1:18" x14ac:dyDescent="0.25">
      <c r="A1262">
        <v>11261</v>
      </c>
      <c r="B1262">
        <v>2022</v>
      </c>
      <c r="C1262" t="s">
        <v>71</v>
      </c>
      <c r="D1262" s="8">
        <v>44726</v>
      </c>
      <c r="E1262" t="s">
        <v>22</v>
      </c>
      <c r="F1262" t="s">
        <v>21</v>
      </c>
      <c r="G1262" t="s">
        <v>17</v>
      </c>
      <c r="H1262" s="9">
        <v>10</v>
      </c>
      <c r="I1262" s="9">
        <v>109</v>
      </c>
      <c r="J1262" s="10">
        <v>27250</v>
      </c>
      <c r="K1262" s="10">
        <v>7357.5000000000009</v>
      </c>
      <c r="L1262">
        <v>25</v>
      </c>
      <c r="M1262" s="8">
        <v>44652</v>
      </c>
      <c r="N1262" s="23">
        <v>1.3726517894719901E-4</v>
      </c>
      <c r="O1262" s="10" t="str">
        <f>IF(Sales_Data[[#This Row],[Total Profit]]&gt;0,"Profitable","Loss")</f>
        <v>Profitable</v>
      </c>
      <c r="P1262" s="10" t="str">
        <f>IF(Sales_Data[[#This Row],[Total Profit]]&gt;100000,"High Value",IF(Sales_Data[[#This Row],[Total Profit]]&gt;60000,"Medium","Low"))</f>
        <v>Low</v>
      </c>
      <c r="Q1262" s="11" t="str">
        <f>PROPER(Sales_Data[[#This Row],[Month Name]])</f>
        <v>Junho</v>
      </c>
      <c r="R1262" s="11" t="str">
        <f>PROPER(Sales_Data[[#This Row],[Sales Manager]])</f>
        <v>John Smith</v>
      </c>
    </row>
    <row r="1263" spans="1:18" x14ac:dyDescent="0.25">
      <c r="A1263">
        <v>11262</v>
      </c>
      <c r="B1263">
        <v>2022</v>
      </c>
      <c r="C1263" t="s">
        <v>71</v>
      </c>
      <c r="D1263" s="8">
        <v>44727</v>
      </c>
      <c r="E1263" t="s">
        <v>14</v>
      </c>
      <c r="F1263" t="s">
        <v>18</v>
      </c>
      <c r="G1263" t="s">
        <v>17</v>
      </c>
      <c r="H1263" s="9">
        <v>6</v>
      </c>
      <c r="I1263" s="9">
        <v>99</v>
      </c>
      <c r="J1263" s="10">
        <v>24750</v>
      </c>
      <c r="K1263" s="10">
        <v>3960</v>
      </c>
      <c r="L1263">
        <v>25</v>
      </c>
      <c r="M1263" s="8">
        <v>44652</v>
      </c>
      <c r="N1263" s="23">
        <v>1.24672043263969E-4</v>
      </c>
      <c r="O1263" s="10" t="str">
        <f>IF(Sales_Data[[#This Row],[Total Profit]]&gt;0,"Profitable","Loss")</f>
        <v>Profitable</v>
      </c>
      <c r="P1263" s="10" t="str">
        <f>IF(Sales_Data[[#This Row],[Total Profit]]&gt;100000,"High Value",IF(Sales_Data[[#This Row],[Total Profit]]&gt;60000,"Medium","Low"))</f>
        <v>Low</v>
      </c>
      <c r="Q1263" s="11" t="str">
        <f>PROPER(Sales_Data[[#This Row],[Month Name]])</f>
        <v>Junho</v>
      </c>
      <c r="R1263" s="11" t="str">
        <f>PROPER(Sales_Data[[#This Row],[Sales Manager]])</f>
        <v>Jane Doe</v>
      </c>
    </row>
    <row r="1264" spans="1:18" x14ac:dyDescent="0.25">
      <c r="A1264">
        <v>11263</v>
      </c>
      <c r="B1264">
        <v>2022</v>
      </c>
      <c r="C1264" t="s">
        <v>71</v>
      </c>
      <c r="D1264" s="8">
        <v>44728</v>
      </c>
      <c r="E1264" t="s">
        <v>19</v>
      </c>
      <c r="F1264" t="s">
        <v>16</v>
      </c>
      <c r="G1264" t="s">
        <v>23</v>
      </c>
      <c r="H1264" s="9">
        <v>17</v>
      </c>
      <c r="I1264" s="9">
        <v>389</v>
      </c>
      <c r="J1264" s="10">
        <v>136150</v>
      </c>
      <c r="K1264" s="10">
        <v>40845</v>
      </c>
      <c r="L1264">
        <v>25</v>
      </c>
      <c r="M1264" s="8">
        <v>44652</v>
      </c>
      <c r="N1264" s="23">
        <v>6.8582216930866398E-4</v>
      </c>
      <c r="O1264" s="10" t="str">
        <f>IF(Sales_Data[[#This Row],[Total Profit]]&gt;0,"Profitable","Loss")</f>
        <v>Profitable</v>
      </c>
      <c r="P1264" s="10" t="str">
        <f>IF(Sales_Data[[#This Row],[Total Profit]]&gt;100000,"High Value",IF(Sales_Data[[#This Row],[Total Profit]]&gt;60000,"Medium","Low"))</f>
        <v>Low</v>
      </c>
      <c r="Q1264" s="11" t="str">
        <f>PROPER(Sales_Data[[#This Row],[Month Name]])</f>
        <v>Junho</v>
      </c>
      <c r="R1264" s="11" t="str">
        <f>PROPER(Sales_Data[[#This Row],[Sales Manager]])</f>
        <v>James Brown</v>
      </c>
    </row>
    <row r="1265" spans="1:18" x14ac:dyDescent="0.25">
      <c r="A1265">
        <v>11264</v>
      </c>
      <c r="B1265">
        <v>2022</v>
      </c>
      <c r="C1265" t="s">
        <v>71</v>
      </c>
      <c r="D1265" s="8">
        <v>44729</v>
      </c>
      <c r="E1265" t="s">
        <v>22</v>
      </c>
      <c r="F1265" t="s">
        <v>24</v>
      </c>
      <c r="G1265" t="s">
        <v>17</v>
      </c>
      <c r="H1265" s="9">
        <v>37</v>
      </c>
      <c r="I1265" s="9">
        <v>385</v>
      </c>
      <c r="J1265" s="10">
        <v>96250</v>
      </c>
      <c r="K1265" s="10">
        <v>27912.499999999996</v>
      </c>
      <c r="L1265">
        <v>25</v>
      </c>
      <c r="M1265" s="8">
        <v>44652</v>
      </c>
      <c r="N1265" s="23">
        <v>4.8483572380432602E-4</v>
      </c>
      <c r="O1265" s="10" t="str">
        <f>IF(Sales_Data[[#This Row],[Total Profit]]&gt;0,"Profitable","Loss")</f>
        <v>Profitable</v>
      </c>
      <c r="P1265" s="10" t="str">
        <f>IF(Sales_Data[[#This Row],[Total Profit]]&gt;100000,"High Value",IF(Sales_Data[[#This Row],[Total Profit]]&gt;60000,"Medium","Low"))</f>
        <v>Low</v>
      </c>
      <c r="Q1265" s="11" t="str">
        <f>PROPER(Sales_Data[[#This Row],[Month Name]])</f>
        <v>Junho</v>
      </c>
      <c r="R1265" s="11" t="str">
        <f>PROPER(Sales_Data[[#This Row],[Sales Manager]])</f>
        <v>Liam Lee</v>
      </c>
    </row>
    <row r="1266" spans="1:18" x14ac:dyDescent="0.25">
      <c r="A1266">
        <v>11265</v>
      </c>
      <c r="B1266">
        <v>2022</v>
      </c>
      <c r="C1266" t="s">
        <v>71</v>
      </c>
      <c r="D1266" s="8">
        <v>44730</v>
      </c>
      <c r="E1266" t="s">
        <v>22</v>
      </c>
      <c r="F1266" t="s">
        <v>12</v>
      </c>
      <c r="G1266" t="s">
        <v>23</v>
      </c>
      <c r="H1266" s="9">
        <v>10</v>
      </c>
      <c r="I1266" s="9">
        <v>227</v>
      </c>
      <c r="J1266" s="10">
        <v>79450</v>
      </c>
      <c r="K1266" s="10">
        <v>23835</v>
      </c>
      <c r="L1266">
        <v>25</v>
      </c>
      <c r="M1266" s="8">
        <v>44652</v>
      </c>
      <c r="N1266" s="23">
        <v>4.0020985201302502E-4</v>
      </c>
      <c r="O1266" s="10" t="str">
        <f>IF(Sales_Data[[#This Row],[Total Profit]]&gt;0,"Profitable","Loss")</f>
        <v>Profitable</v>
      </c>
      <c r="P1266" s="10" t="str">
        <f>IF(Sales_Data[[#This Row],[Total Profit]]&gt;100000,"High Value",IF(Sales_Data[[#This Row],[Total Profit]]&gt;60000,"Medium","Low"))</f>
        <v>Low</v>
      </c>
      <c r="Q1266" s="11" t="str">
        <f>PROPER(Sales_Data[[#This Row],[Month Name]])</f>
        <v>Junho</v>
      </c>
      <c r="R1266" s="11" t="str">
        <f>PROPER(Sales_Data[[#This Row],[Sales Manager]])</f>
        <v>Emily White</v>
      </c>
    </row>
    <row r="1267" spans="1:18" x14ac:dyDescent="0.25">
      <c r="A1267">
        <v>11266</v>
      </c>
      <c r="B1267">
        <v>2022</v>
      </c>
      <c r="C1267" t="s">
        <v>71</v>
      </c>
      <c r="D1267" s="8">
        <v>44731</v>
      </c>
      <c r="E1267" t="s">
        <v>14</v>
      </c>
      <c r="F1267" t="s">
        <v>18</v>
      </c>
      <c r="G1267" t="s">
        <v>23</v>
      </c>
      <c r="H1267" s="9">
        <v>19</v>
      </c>
      <c r="I1267" s="9">
        <v>391</v>
      </c>
      <c r="J1267" s="10">
        <v>136850</v>
      </c>
      <c r="K1267" s="10">
        <v>53371.5</v>
      </c>
      <c r="L1267">
        <v>26</v>
      </c>
      <c r="M1267" s="8">
        <v>44652</v>
      </c>
      <c r="N1267" s="23">
        <v>6.8934824729996902E-4</v>
      </c>
      <c r="O1267" s="10" t="str">
        <f>IF(Sales_Data[[#This Row],[Total Profit]]&gt;0,"Profitable","Loss")</f>
        <v>Profitable</v>
      </c>
      <c r="P1267" s="10" t="str">
        <f>IF(Sales_Data[[#This Row],[Total Profit]]&gt;100000,"High Value",IF(Sales_Data[[#This Row],[Total Profit]]&gt;60000,"Medium","Low"))</f>
        <v>Low</v>
      </c>
      <c r="Q1267" s="11" t="str">
        <f>PROPER(Sales_Data[[#This Row],[Month Name]])</f>
        <v>Junho</v>
      </c>
      <c r="R1267" s="11" t="str">
        <f>PROPER(Sales_Data[[#This Row],[Sales Manager]])</f>
        <v>Jane Doe</v>
      </c>
    </row>
    <row r="1268" spans="1:18" x14ac:dyDescent="0.25">
      <c r="A1268">
        <v>11267</v>
      </c>
      <c r="B1268">
        <v>2022</v>
      </c>
      <c r="C1268" t="s">
        <v>71</v>
      </c>
      <c r="D1268" s="8">
        <v>44732</v>
      </c>
      <c r="E1268" t="s">
        <v>11</v>
      </c>
      <c r="F1268" t="s">
        <v>21</v>
      </c>
      <c r="G1268" t="s">
        <v>15</v>
      </c>
      <c r="H1268" s="9">
        <v>6</v>
      </c>
      <c r="I1268" s="9">
        <v>157</v>
      </c>
      <c r="J1268" s="10">
        <v>78500</v>
      </c>
      <c r="K1268" s="10">
        <v>7850</v>
      </c>
      <c r="L1268">
        <v>26</v>
      </c>
      <c r="M1268" s="8">
        <v>44652</v>
      </c>
      <c r="N1268" s="23">
        <v>3.9542446045339803E-4</v>
      </c>
      <c r="O1268" s="10" t="str">
        <f>IF(Sales_Data[[#This Row],[Total Profit]]&gt;0,"Profitable","Loss")</f>
        <v>Profitable</v>
      </c>
      <c r="P1268" s="10" t="str">
        <f>IF(Sales_Data[[#This Row],[Total Profit]]&gt;100000,"High Value",IF(Sales_Data[[#This Row],[Total Profit]]&gt;60000,"Medium","Low"))</f>
        <v>Low</v>
      </c>
      <c r="Q1268" s="11" t="str">
        <f>PROPER(Sales_Data[[#This Row],[Month Name]])</f>
        <v>Junho</v>
      </c>
      <c r="R1268" s="11" t="str">
        <f>PROPER(Sales_Data[[#This Row],[Sales Manager]])</f>
        <v>John Smith</v>
      </c>
    </row>
    <row r="1269" spans="1:18" x14ac:dyDescent="0.25">
      <c r="A1269">
        <v>11268</v>
      </c>
      <c r="B1269">
        <v>2022</v>
      </c>
      <c r="C1269" t="s">
        <v>71</v>
      </c>
      <c r="D1269" s="8">
        <v>44733</v>
      </c>
      <c r="E1269" t="s">
        <v>14</v>
      </c>
      <c r="F1269" t="s">
        <v>24</v>
      </c>
      <c r="G1269" t="s">
        <v>23</v>
      </c>
      <c r="H1269" s="9">
        <v>44</v>
      </c>
      <c r="I1269" s="9">
        <v>452</v>
      </c>
      <c r="J1269" s="10">
        <v>158200</v>
      </c>
      <c r="K1269" s="10">
        <v>15820</v>
      </c>
      <c r="L1269">
        <v>26</v>
      </c>
      <c r="M1269" s="8">
        <v>44652</v>
      </c>
      <c r="N1269" s="23">
        <v>7.9689362603474598E-4</v>
      </c>
      <c r="O1269" s="10" t="str">
        <f>IF(Sales_Data[[#This Row],[Total Profit]]&gt;0,"Profitable","Loss")</f>
        <v>Profitable</v>
      </c>
      <c r="P1269" s="10" t="str">
        <f>IF(Sales_Data[[#This Row],[Total Profit]]&gt;100000,"High Value",IF(Sales_Data[[#This Row],[Total Profit]]&gt;60000,"Medium","Low"))</f>
        <v>Low</v>
      </c>
      <c r="Q1269" s="11" t="str">
        <f>PROPER(Sales_Data[[#This Row],[Month Name]])</f>
        <v>Junho</v>
      </c>
      <c r="R1269" s="11" t="str">
        <f>PROPER(Sales_Data[[#This Row],[Sales Manager]])</f>
        <v>Liam Lee</v>
      </c>
    </row>
    <row r="1270" spans="1:18" x14ac:dyDescent="0.25">
      <c r="A1270">
        <v>11269</v>
      </c>
      <c r="B1270">
        <v>2022</v>
      </c>
      <c r="C1270" t="s">
        <v>71</v>
      </c>
      <c r="D1270" s="8">
        <v>44734</v>
      </c>
      <c r="E1270" t="s">
        <v>25</v>
      </c>
      <c r="F1270" t="s">
        <v>12</v>
      </c>
      <c r="G1270" t="s">
        <v>15</v>
      </c>
      <c r="H1270" s="9">
        <v>16</v>
      </c>
      <c r="I1270" s="9">
        <v>178</v>
      </c>
      <c r="J1270" s="10">
        <v>89000</v>
      </c>
      <c r="K1270" s="10">
        <v>18690</v>
      </c>
      <c r="L1270">
        <v>26</v>
      </c>
      <c r="M1270" s="8">
        <v>44652</v>
      </c>
      <c r="N1270" s="23">
        <v>4.48315630322961E-4</v>
      </c>
      <c r="O1270" s="10" t="str">
        <f>IF(Sales_Data[[#This Row],[Total Profit]]&gt;0,"Profitable","Loss")</f>
        <v>Profitable</v>
      </c>
      <c r="P1270" s="10" t="str">
        <f>IF(Sales_Data[[#This Row],[Total Profit]]&gt;100000,"High Value",IF(Sales_Data[[#This Row],[Total Profit]]&gt;60000,"Medium","Low"))</f>
        <v>Low</v>
      </c>
      <c r="Q1270" s="11" t="str">
        <f>PROPER(Sales_Data[[#This Row],[Month Name]])</f>
        <v>Junho</v>
      </c>
      <c r="R1270" s="11" t="str">
        <f>PROPER(Sales_Data[[#This Row],[Sales Manager]])</f>
        <v>Emily White</v>
      </c>
    </row>
    <row r="1271" spans="1:18" x14ac:dyDescent="0.25">
      <c r="A1271">
        <v>11270</v>
      </c>
      <c r="B1271">
        <v>2022</v>
      </c>
      <c r="C1271" t="s">
        <v>71</v>
      </c>
      <c r="D1271" s="8">
        <v>44735</v>
      </c>
      <c r="E1271" t="s">
        <v>14</v>
      </c>
      <c r="F1271" t="s">
        <v>24</v>
      </c>
      <c r="G1271" t="s">
        <v>23</v>
      </c>
      <c r="H1271" s="9">
        <v>18</v>
      </c>
      <c r="I1271" s="9">
        <v>234</v>
      </c>
      <c r="J1271" s="10">
        <v>81900</v>
      </c>
      <c r="K1271" s="10">
        <v>34398</v>
      </c>
      <c r="L1271">
        <v>26</v>
      </c>
      <c r="M1271" s="8">
        <v>44652</v>
      </c>
      <c r="N1271" s="23">
        <v>4.1255112498259002E-4</v>
      </c>
      <c r="O1271" s="10" t="str">
        <f>IF(Sales_Data[[#This Row],[Total Profit]]&gt;0,"Profitable","Loss")</f>
        <v>Profitable</v>
      </c>
      <c r="P1271" s="10" t="str">
        <f>IF(Sales_Data[[#This Row],[Total Profit]]&gt;100000,"High Value",IF(Sales_Data[[#This Row],[Total Profit]]&gt;60000,"Medium","Low"))</f>
        <v>Low</v>
      </c>
      <c r="Q1271" s="11" t="str">
        <f>PROPER(Sales_Data[[#This Row],[Month Name]])</f>
        <v>Junho</v>
      </c>
      <c r="R1271" s="11" t="str">
        <f>PROPER(Sales_Data[[#This Row],[Sales Manager]])</f>
        <v>Liam Lee</v>
      </c>
    </row>
    <row r="1272" spans="1:18" x14ac:dyDescent="0.25">
      <c r="A1272">
        <v>11271</v>
      </c>
      <c r="B1272">
        <v>2022</v>
      </c>
      <c r="C1272" t="s">
        <v>71</v>
      </c>
      <c r="D1272" s="8">
        <v>44736</v>
      </c>
      <c r="E1272" t="s">
        <v>25</v>
      </c>
      <c r="F1272" t="s">
        <v>24</v>
      </c>
      <c r="G1272" t="s">
        <v>23</v>
      </c>
      <c r="H1272" s="9">
        <v>9</v>
      </c>
      <c r="I1272" s="9">
        <v>279</v>
      </c>
      <c r="J1272" s="10">
        <v>97650</v>
      </c>
      <c r="K1272" s="10">
        <v>21483</v>
      </c>
      <c r="L1272">
        <v>26</v>
      </c>
      <c r="M1272" s="8">
        <v>44652</v>
      </c>
      <c r="N1272" s="23">
        <v>4.9188787978693405E-4</v>
      </c>
      <c r="O1272" s="10" t="str">
        <f>IF(Sales_Data[[#This Row],[Total Profit]]&gt;0,"Profitable","Loss")</f>
        <v>Profitable</v>
      </c>
      <c r="P1272" s="10" t="str">
        <f>IF(Sales_Data[[#This Row],[Total Profit]]&gt;100000,"High Value",IF(Sales_Data[[#This Row],[Total Profit]]&gt;60000,"Medium","Low"))</f>
        <v>Low</v>
      </c>
      <c r="Q1272" s="11" t="str">
        <f>PROPER(Sales_Data[[#This Row],[Month Name]])</f>
        <v>Junho</v>
      </c>
      <c r="R1272" s="11" t="str">
        <f>PROPER(Sales_Data[[#This Row],[Sales Manager]])</f>
        <v>Liam Lee</v>
      </c>
    </row>
    <row r="1273" spans="1:18" x14ac:dyDescent="0.25">
      <c r="A1273">
        <v>11272</v>
      </c>
      <c r="B1273">
        <v>2022</v>
      </c>
      <c r="C1273" t="s">
        <v>71</v>
      </c>
      <c r="D1273" s="8">
        <v>44737</v>
      </c>
      <c r="E1273" t="s">
        <v>11</v>
      </c>
      <c r="F1273" t="s">
        <v>24</v>
      </c>
      <c r="G1273" t="s">
        <v>13</v>
      </c>
      <c r="H1273" s="9">
        <v>22</v>
      </c>
      <c r="I1273" s="9">
        <v>222</v>
      </c>
      <c r="J1273" s="10">
        <v>166500</v>
      </c>
      <c r="K1273" s="10">
        <v>63270</v>
      </c>
      <c r="L1273">
        <v>26</v>
      </c>
      <c r="M1273" s="8">
        <v>44652</v>
      </c>
      <c r="N1273" s="23">
        <v>8.3870283650306797E-4</v>
      </c>
      <c r="O1273" s="10" t="str">
        <f>IF(Sales_Data[[#This Row],[Total Profit]]&gt;0,"Profitable","Loss")</f>
        <v>Profitable</v>
      </c>
      <c r="P1273" s="10" t="str">
        <f>IF(Sales_Data[[#This Row],[Total Profit]]&gt;100000,"High Value",IF(Sales_Data[[#This Row],[Total Profit]]&gt;60000,"Medium","Low"))</f>
        <v>Medium</v>
      </c>
      <c r="Q1273" s="11" t="str">
        <f>PROPER(Sales_Data[[#This Row],[Month Name]])</f>
        <v>Junho</v>
      </c>
      <c r="R1273" s="11" t="str">
        <f>PROPER(Sales_Data[[#This Row],[Sales Manager]])</f>
        <v>Liam Lee</v>
      </c>
    </row>
    <row r="1274" spans="1:18" x14ac:dyDescent="0.25">
      <c r="A1274">
        <v>11273</v>
      </c>
      <c r="B1274">
        <v>2022</v>
      </c>
      <c r="C1274" t="s">
        <v>71</v>
      </c>
      <c r="D1274" s="8">
        <v>44738</v>
      </c>
      <c r="E1274" t="s">
        <v>25</v>
      </c>
      <c r="F1274" t="s">
        <v>12</v>
      </c>
      <c r="G1274" t="s">
        <v>17</v>
      </c>
      <c r="H1274" s="9">
        <v>38</v>
      </c>
      <c r="I1274" s="9">
        <v>500</v>
      </c>
      <c r="J1274" s="10">
        <v>125000</v>
      </c>
      <c r="K1274" s="10">
        <v>51250</v>
      </c>
      <c r="L1274">
        <v>27</v>
      </c>
      <c r="M1274" s="8">
        <v>44652</v>
      </c>
      <c r="N1274" s="23">
        <v>6.2965678416146203E-4</v>
      </c>
      <c r="O1274" s="10" t="str">
        <f>IF(Sales_Data[[#This Row],[Total Profit]]&gt;0,"Profitable","Loss")</f>
        <v>Profitable</v>
      </c>
      <c r="P1274" s="10" t="str">
        <f>IF(Sales_Data[[#This Row],[Total Profit]]&gt;100000,"High Value",IF(Sales_Data[[#This Row],[Total Profit]]&gt;60000,"Medium","Low"))</f>
        <v>Low</v>
      </c>
      <c r="Q1274" s="11" t="str">
        <f>PROPER(Sales_Data[[#This Row],[Month Name]])</f>
        <v>Junho</v>
      </c>
      <c r="R1274" s="11" t="str">
        <f>PROPER(Sales_Data[[#This Row],[Sales Manager]])</f>
        <v>Emily White</v>
      </c>
    </row>
    <row r="1275" spans="1:18" x14ac:dyDescent="0.25">
      <c r="A1275">
        <v>11274</v>
      </c>
      <c r="B1275">
        <v>2022</v>
      </c>
      <c r="C1275" t="s">
        <v>71</v>
      </c>
      <c r="D1275" s="8">
        <v>44739</v>
      </c>
      <c r="E1275" t="s">
        <v>22</v>
      </c>
      <c r="F1275" t="s">
        <v>21</v>
      </c>
      <c r="G1275" t="s">
        <v>17</v>
      </c>
      <c r="H1275" s="9">
        <v>7</v>
      </c>
      <c r="I1275" s="9">
        <v>275</v>
      </c>
      <c r="J1275" s="10">
        <v>68750</v>
      </c>
      <c r="K1275" s="10">
        <v>13062.5</v>
      </c>
      <c r="L1275">
        <v>27</v>
      </c>
      <c r="M1275" s="8">
        <v>44652</v>
      </c>
      <c r="N1275" s="23">
        <v>3.46311231288804E-4</v>
      </c>
      <c r="O1275" s="10" t="str">
        <f>IF(Sales_Data[[#This Row],[Total Profit]]&gt;0,"Profitable","Loss")</f>
        <v>Profitable</v>
      </c>
      <c r="P1275" s="10" t="str">
        <f>IF(Sales_Data[[#This Row],[Total Profit]]&gt;100000,"High Value",IF(Sales_Data[[#This Row],[Total Profit]]&gt;60000,"Medium","Low"))</f>
        <v>Low</v>
      </c>
      <c r="Q1275" s="11" t="str">
        <f>PROPER(Sales_Data[[#This Row],[Month Name]])</f>
        <v>Junho</v>
      </c>
      <c r="R1275" s="11" t="str">
        <f>PROPER(Sales_Data[[#This Row],[Sales Manager]])</f>
        <v>John Smith</v>
      </c>
    </row>
    <row r="1276" spans="1:18" x14ac:dyDescent="0.25">
      <c r="A1276">
        <v>11275</v>
      </c>
      <c r="B1276">
        <v>2022</v>
      </c>
      <c r="C1276" t="s">
        <v>71</v>
      </c>
      <c r="D1276" s="8">
        <v>44740</v>
      </c>
      <c r="E1276" t="s">
        <v>19</v>
      </c>
      <c r="F1276" t="s">
        <v>24</v>
      </c>
      <c r="G1276" t="s">
        <v>17</v>
      </c>
      <c r="H1276" s="9">
        <v>17</v>
      </c>
      <c r="I1276" s="9">
        <v>193</v>
      </c>
      <c r="J1276" s="10">
        <v>48250</v>
      </c>
      <c r="K1276" s="10">
        <v>6755.0000000000009</v>
      </c>
      <c r="L1276">
        <v>27</v>
      </c>
      <c r="M1276" s="8">
        <v>44652</v>
      </c>
      <c r="N1276" s="23">
        <v>2.4304751868632401E-4</v>
      </c>
      <c r="O1276" s="10" t="str">
        <f>IF(Sales_Data[[#This Row],[Total Profit]]&gt;0,"Profitable","Loss")</f>
        <v>Profitable</v>
      </c>
      <c r="P1276" s="10" t="str">
        <f>IF(Sales_Data[[#This Row],[Total Profit]]&gt;100000,"High Value",IF(Sales_Data[[#This Row],[Total Profit]]&gt;60000,"Medium","Low"))</f>
        <v>Low</v>
      </c>
      <c r="Q1276" s="11" t="str">
        <f>PROPER(Sales_Data[[#This Row],[Month Name]])</f>
        <v>Junho</v>
      </c>
      <c r="R1276" s="11" t="str">
        <f>PROPER(Sales_Data[[#This Row],[Sales Manager]])</f>
        <v>Liam Lee</v>
      </c>
    </row>
    <row r="1277" spans="1:18" x14ac:dyDescent="0.25">
      <c r="A1277">
        <v>11276</v>
      </c>
      <c r="B1277">
        <v>2022</v>
      </c>
      <c r="C1277" t="s">
        <v>71</v>
      </c>
      <c r="D1277" s="8">
        <v>44741</v>
      </c>
      <c r="E1277" t="s">
        <v>22</v>
      </c>
      <c r="F1277" t="s">
        <v>24</v>
      </c>
      <c r="G1277" t="s">
        <v>23</v>
      </c>
      <c r="H1277" s="9">
        <v>20</v>
      </c>
      <c r="I1277" s="9">
        <v>259</v>
      </c>
      <c r="J1277" s="10">
        <v>90650</v>
      </c>
      <c r="K1277" s="10">
        <v>40792.5</v>
      </c>
      <c r="L1277">
        <v>27</v>
      </c>
      <c r="M1277" s="8">
        <v>44652</v>
      </c>
      <c r="N1277" s="23">
        <v>4.5662709987389201E-4</v>
      </c>
      <c r="O1277" s="10" t="str">
        <f>IF(Sales_Data[[#This Row],[Total Profit]]&gt;0,"Profitable","Loss")</f>
        <v>Profitable</v>
      </c>
      <c r="P1277" s="10" t="str">
        <f>IF(Sales_Data[[#This Row],[Total Profit]]&gt;100000,"High Value",IF(Sales_Data[[#This Row],[Total Profit]]&gt;60000,"Medium","Low"))</f>
        <v>Low</v>
      </c>
      <c r="Q1277" s="11" t="str">
        <f>PROPER(Sales_Data[[#This Row],[Month Name]])</f>
        <v>Junho</v>
      </c>
      <c r="R1277" s="11" t="str">
        <f>PROPER(Sales_Data[[#This Row],[Sales Manager]])</f>
        <v>Liam Lee</v>
      </c>
    </row>
    <row r="1278" spans="1:18" x14ac:dyDescent="0.25">
      <c r="A1278">
        <v>11277</v>
      </c>
      <c r="B1278">
        <v>2022</v>
      </c>
      <c r="C1278" t="s">
        <v>71</v>
      </c>
      <c r="D1278" s="8">
        <v>44742</v>
      </c>
      <c r="E1278" t="s">
        <v>11</v>
      </c>
      <c r="F1278" t="s">
        <v>12</v>
      </c>
      <c r="G1278" t="s">
        <v>15</v>
      </c>
      <c r="H1278" s="9">
        <v>6</v>
      </c>
      <c r="I1278" s="9">
        <v>123</v>
      </c>
      <c r="J1278" s="10">
        <v>61500</v>
      </c>
      <c r="K1278" s="10">
        <v>17835</v>
      </c>
      <c r="L1278">
        <v>27</v>
      </c>
      <c r="M1278" s="8">
        <v>44652</v>
      </c>
      <c r="N1278" s="23">
        <v>3.0979113780743898E-4</v>
      </c>
      <c r="O1278" s="10" t="str">
        <f>IF(Sales_Data[[#This Row],[Total Profit]]&gt;0,"Profitable","Loss")</f>
        <v>Profitable</v>
      </c>
      <c r="P1278" s="10" t="str">
        <f>IF(Sales_Data[[#This Row],[Total Profit]]&gt;100000,"High Value",IF(Sales_Data[[#This Row],[Total Profit]]&gt;60000,"Medium","Low"))</f>
        <v>Low</v>
      </c>
      <c r="Q1278" s="11" t="str">
        <f>PROPER(Sales_Data[[#This Row],[Month Name]])</f>
        <v>Junho</v>
      </c>
      <c r="R1278" s="11" t="str">
        <f>PROPER(Sales_Data[[#This Row],[Sales Manager]])</f>
        <v>Emily White</v>
      </c>
    </row>
    <row r="1279" spans="1:18" x14ac:dyDescent="0.25">
      <c r="A1279">
        <v>11278</v>
      </c>
      <c r="B1279">
        <v>2022</v>
      </c>
      <c r="C1279" t="s">
        <v>72</v>
      </c>
      <c r="D1279" s="8">
        <v>44743</v>
      </c>
      <c r="E1279" t="s">
        <v>11</v>
      </c>
      <c r="F1279" t="s">
        <v>16</v>
      </c>
      <c r="G1279" t="s">
        <v>17</v>
      </c>
      <c r="H1279" s="9">
        <v>2</v>
      </c>
      <c r="I1279" s="9">
        <v>112</v>
      </c>
      <c r="J1279" s="10">
        <v>28000</v>
      </c>
      <c r="K1279" s="10">
        <v>10360</v>
      </c>
      <c r="L1279">
        <v>27</v>
      </c>
      <c r="M1279" s="8">
        <v>44743</v>
      </c>
      <c r="N1279" s="23">
        <v>1.4104311965216799E-4</v>
      </c>
      <c r="O1279" s="10" t="str">
        <f>IF(Sales_Data[[#This Row],[Total Profit]]&gt;0,"Profitable","Loss")</f>
        <v>Profitable</v>
      </c>
      <c r="P1279" s="10" t="str">
        <f>IF(Sales_Data[[#This Row],[Total Profit]]&gt;100000,"High Value",IF(Sales_Data[[#This Row],[Total Profit]]&gt;60000,"Medium","Low"))</f>
        <v>Low</v>
      </c>
      <c r="Q1279" s="11" t="str">
        <f>PROPER(Sales_Data[[#This Row],[Month Name]])</f>
        <v>Julho</v>
      </c>
      <c r="R1279" s="11" t="str">
        <f>PROPER(Sales_Data[[#This Row],[Sales Manager]])</f>
        <v>James Brown</v>
      </c>
    </row>
    <row r="1280" spans="1:18" x14ac:dyDescent="0.25">
      <c r="A1280">
        <v>11279</v>
      </c>
      <c r="B1280">
        <v>2022</v>
      </c>
      <c r="C1280" t="s">
        <v>72</v>
      </c>
      <c r="D1280" s="8">
        <v>44744</v>
      </c>
      <c r="E1280" t="s">
        <v>22</v>
      </c>
      <c r="F1280" t="s">
        <v>24</v>
      </c>
      <c r="G1280" t="s">
        <v>20</v>
      </c>
      <c r="H1280" s="9">
        <v>6</v>
      </c>
      <c r="I1280" s="9">
        <v>356</v>
      </c>
      <c r="J1280" s="10">
        <v>302600</v>
      </c>
      <c r="K1280" s="10">
        <v>111962</v>
      </c>
      <c r="L1280">
        <v>27</v>
      </c>
      <c r="M1280" s="8">
        <v>44743</v>
      </c>
      <c r="N1280" s="23">
        <v>1.5242731430980701E-3</v>
      </c>
      <c r="O1280" s="10" t="str">
        <f>IF(Sales_Data[[#This Row],[Total Profit]]&gt;0,"Profitable","Loss")</f>
        <v>Profitable</v>
      </c>
      <c r="P1280" s="10" t="str">
        <f>IF(Sales_Data[[#This Row],[Total Profit]]&gt;100000,"High Value",IF(Sales_Data[[#This Row],[Total Profit]]&gt;60000,"Medium","Low"))</f>
        <v>High Value</v>
      </c>
      <c r="Q1280" s="11" t="str">
        <f>PROPER(Sales_Data[[#This Row],[Month Name]])</f>
        <v>Julho</v>
      </c>
      <c r="R1280" s="11" t="str">
        <f>PROPER(Sales_Data[[#This Row],[Sales Manager]])</f>
        <v>Liam Lee</v>
      </c>
    </row>
    <row r="1281" spans="1:18" x14ac:dyDescent="0.25">
      <c r="A1281">
        <v>11280</v>
      </c>
      <c r="B1281">
        <v>2022</v>
      </c>
      <c r="C1281" t="s">
        <v>72</v>
      </c>
      <c r="D1281" s="8">
        <v>44745</v>
      </c>
      <c r="E1281" t="s">
        <v>11</v>
      </c>
      <c r="F1281" t="s">
        <v>12</v>
      </c>
      <c r="G1281" t="s">
        <v>23</v>
      </c>
      <c r="H1281" s="9">
        <v>28</v>
      </c>
      <c r="I1281" s="9">
        <v>417</v>
      </c>
      <c r="J1281" s="10">
        <v>145950</v>
      </c>
      <c r="K1281" s="10">
        <v>30649.5</v>
      </c>
      <c r="L1281">
        <v>28</v>
      </c>
      <c r="M1281" s="8">
        <v>44743</v>
      </c>
      <c r="N1281" s="23">
        <v>7.3518726118692299E-4</v>
      </c>
      <c r="O1281" s="10" t="str">
        <f>IF(Sales_Data[[#This Row],[Total Profit]]&gt;0,"Profitable","Loss")</f>
        <v>Profitable</v>
      </c>
      <c r="P1281" s="10" t="str">
        <f>IF(Sales_Data[[#This Row],[Total Profit]]&gt;100000,"High Value",IF(Sales_Data[[#This Row],[Total Profit]]&gt;60000,"Medium","Low"))</f>
        <v>Low</v>
      </c>
      <c r="Q1281" s="11" t="str">
        <f>PROPER(Sales_Data[[#This Row],[Month Name]])</f>
        <v>Julho</v>
      </c>
      <c r="R1281" s="11" t="str">
        <f>PROPER(Sales_Data[[#This Row],[Sales Manager]])</f>
        <v>Emily White</v>
      </c>
    </row>
    <row r="1282" spans="1:18" x14ac:dyDescent="0.25">
      <c r="A1282">
        <v>11281</v>
      </c>
      <c r="B1282">
        <v>2022</v>
      </c>
      <c r="C1282" t="s">
        <v>72</v>
      </c>
      <c r="D1282" s="8">
        <v>44746</v>
      </c>
      <c r="E1282" t="s">
        <v>14</v>
      </c>
      <c r="F1282" t="s">
        <v>12</v>
      </c>
      <c r="G1282" t="s">
        <v>23</v>
      </c>
      <c r="H1282" s="9">
        <v>23</v>
      </c>
      <c r="I1282" s="9">
        <v>234</v>
      </c>
      <c r="J1282" s="10">
        <v>81900</v>
      </c>
      <c r="K1282" s="10">
        <v>19656</v>
      </c>
      <c r="L1282">
        <v>28</v>
      </c>
      <c r="M1282" s="8">
        <v>44743</v>
      </c>
      <c r="N1282" s="23">
        <v>4.1255112498259002E-4</v>
      </c>
      <c r="O1282" s="10" t="str">
        <f>IF(Sales_Data[[#This Row],[Total Profit]]&gt;0,"Profitable","Loss")</f>
        <v>Profitable</v>
      </c>
      <c r="P1282" s="10" t="str">
        <f>IF(Sales_Data[[#This Row],[Total Profit]]&gt;100000,"High Value",IF(Sales_Data[[#This Row],[Total Profit]]&gt;60000,"Medium","Low"))</f>
        <v>Low</v>
      </c>
      <c r="Q1282" s="11" t="str">
        <f>PROPER(Sales_Data[[#This Row],[Month Name]])</f>
        <v>Julho</v>
      </c>
      <c r="R1282" s="11" t="str">
        <f>PROPER(Sales_Data[[#This Row],[Sales Manager]])</f>
        <v>Emily White</v>
      </c>
    </row>
    <row r="1283" spans="1:18" x14ac:dyDescent="0.25">
      <c r="A1283">
        <v>11282</v>
      </c>
      <c r="B1283">
        <v>2022</v>
      </c>
      <c r="C1283" t="s">
        <v>72</v>
      </c>
      <c r="D1283" s="8">
        <v>44747</v>
      </c>
      <c r="E1283" t="s">
        <v>11</v>
      </c>
      <c r="F1283" t="s">
        <v>16</v>
      </c>
      <c r="G1283" t="s">
        <v>23</v>
      </c>
      <c r="H1283" s="9">
        <v>34</v>
      </c>
      <c r="I1283" s="9">
        <v>454</v>
      </c>
      <c r="J1283" s="10">
        <v>158900</v>
      </c>
      <c r="K1283" s="10">
        <v>20657</v>
      </c>
      <c r="L1283">
        <v>28</v>
      </c>
      <c r="M1283" s="8">
        <v>44743</v>
      </c>
      <c r="N1283" s="23">
        <v>8.0041970402605102E-4</v>
      </c>
      <c r="O1283" s="10" t="str">
        <f>IF(Sales_Data[[#This Row],[Total Profit]]&gt;0,"Profitable","Loss")</f>
        <v>Profitable</v>
      </c>
      <c r="P1283" s="10" t="str">
        <f>IF(Sales_Data[[#This Row],[Total Profit]]&gt;100000,"High Value",IF(Sales_Data[[#This Row],[Total Profit]]&gt;60000,"Medium","Low"))</f>
        <v>Low</v>
      </c>
      <c r="Q1283" s="11" t="str">
        <f>PROPER(Sales_Data[[#This Row],[Month Name]])</f>
        <v>Julho</v>
      </c>
      <c r="R1283" s="11" t="str">
        <f>PROPER(Sales_Data[[#This Row],[Sales Manager]])</f>
        <v>James Brown</v>
      </c>
    </row>
    <row r="1284" spans="1:18" x14ac:dyDescent="0.25">
      <c r="A1284">
        <v>11283</v>
      </c>
      <c r="B1284">
        <v>2022</v>
      </c>
      <c r="C1284" t="s">
        <v>72</v>
      </c>
      <c r="D1284" s="8">
        <v>44748</v>
      </c>
      <c r="E1284" t="s">
        <v>19</v>
      </c>
      <c r="F1284" t="s">
        <v>18</v>
      </c>
      <c r="G1284" t="s">
        <v>17</v>
      </c>
      <c r="H1284" s="9">
        <v>10</v>
      </c>
      <c r="I1284" s="9">
        <v>309</v>
      </c>
      <c r="J1284" s="10">
        <v>77250</v>
      </c>
      <c r="K1284" s="10">
        <v>28582.5</v>
      </c>
      <c r="L1284">
        <v>28</v>
      </c>
      <c r="M1284" s="8">
        <v>44743</v>
      </c>
      <c r="N1284" s="23">
        <v>3.8912789261178398E-4</v>
      </c>
      <c r="O1284" s="10" t="str">
        <f>IF(Sales_Data[[#This Row],[Total Profit]]&gt;0,"Profitable","Loss")</f>
        <v>Profitable</v>
      </c>
      <c r="P1284" s="10" t="str">
        <f>IF(Sales_Data[[#This Row],[Total Profit]]&gt;100000,"High Value",IF(Sales_Data[[#This Row],[Total Profit]]&gt;60000,"Medium","Low"))</f>
        <v>Low</v>
      </c>
      <c r="Q1284" s="11" t="str">
        <f>PROPER(Sales_Data[[#This Row],[Month Name]])</f>
        <v>Julho</v>
      </c>
      <c r="R1284" s="11" t="str">
        <f>PROPER(Sales_Data[[#This Row],[Sales Manager]])</f>
        <v>Jane Doe</v>
      </c>
    </row>
    <row r="1285" spans="1:18" x14ac:dyDescent="0.25">
      <c r="A1285">
        <v>11284</v>
      </c>
      <c r="B1285">
        <v>2022</v>
      </c>
      <c r="C1285" t="s">
        <v>72</v>
      </c>
      <c r="D1285" s="8">
        <v>44749</v>
      </c>
      <c r="E1285" t="s">
        <v>11</v>
      </c>
      <c r="F1285" t="s">
        <v>12</v>
      </c>
      <c r="G1285" t="s">
        <v>13</v>
      </c>
      <c r="H1285" s="9">
        <v>14</v>
      </c>
      <c r="I1285" s="9">
        <v>318</v>
      </c>
      <c r="J1285" s="10">
        <v>238500</v>
      </c>
      <c r="K1285" s="10">
        <v>78705</v>
      </c>
      <c r="L1285">
        <v>28</v>
      </c>
      <c r="M1285" s="8">
        <v>44743</v>
      </c>
      <c r="N1285" s="23">
        <v>1.2013851441800699E-3</v>
      </c>
      <c r="O1285" s="10" t="str">
        <f>IF(Sales_Data[[#This Row],[Total Profit]]&gt;0,"Profitable","Loss")</f>
        <v>Profitable</v>
      </c>
      <c r="P1285" s="10" t="str">
        <f>IF(Sales_Data[[#This Row],[Total Profit]]&gt;100000,"High Value",IF(Sales_Data[[#This Row],[Total Profit]]&gt;60000,"Medium","Low"))</f>
        <v>Medium</v>
      </c>
      <c r="Q1285" s="11" t="str">
        <f>PROPER(Sales_Data[[#This Row],[Month Name]])</f>
        <v>Julho</v>
      </c>
      <c r="R1285" s="11" t="str">
        <f>PROPER(Sales_Data[[#This Row],[Sales Manager]])</f>
        <v>Emily White</v>
      </c>
    </row>
    <row r="1286" spans="1:18" x14ac:dyDescent="0.25">
      <c r="A1286">
        <v>11285</v>
      </c>
      <c r="B1286">
        <v>2022</v>
      </c>
      <c r="C1286" t="s">
        <v>72</v>
      </c>
      <c r="D1286" s="8">
        <v>44750</v>
      </c>
      <c r="E1286" t="s">
        <v>22</v>
      </c>
      <c r="F1286" t="s">
        <v>12</v>
      </c>
      <c r="G1286" t="s">
        <v>17</v>
      </c>
      <c r="H1286" s="9">
        <v>7</v>
      </c>
      <c r="I1286" s="9">
        <v>142</v>
      </c>
      <c r="J1286" s="10">
        <v>35500</v>
      </c>
      <c r="K1286" s="10">
        <v>11360</v>
      </c>
      <c r="L1286">
        <v>28</v>
      </c>
      <c r="M1286" s="8">
        <v>44743</v>
      </c>
      <c r="N1286" s="23">
        <v>1.7882252670185501E-4</v>
      </c>
      <c r="O1286" s="10" t="str">
        <f>IF(Sales_Data[[#This Row],[Total Profit]]&gt;0,"Profitable","Loss")</f>
        <v>Profitable</v>
      </c>
      <c r="P1286" s="10" t="str">
        <f>IF(Sales_Data[[#This Row],[Total Profit]]&gt;100000,"High Value",IF(Sales_Data[[#This Row],[Total Profit]]&gt;60000,"Medium","Low"))</f>
        <v>Low</v>
      </c>
      <c r="Q1286" s="11" t="str">
        <f>PROPER(Sales_Data[[#This Row],[Month Name]])</f>
        <v>Julho</v>
      </c>
      <c r="R1286" s="11" t="str">
        <f>PROPER(Sales_Data[[#This Row],[Sales Manager]])</f>
        <v>Emily White</v>
      </c>
    </row>
    <row r="1287" spans="1:18" x14ac:dyDescent="0.25">
      <c r="A1287">
        <v>11286</v>
      </c>
      <c r="B1287">
        <v>2022</v>
      </c>
      <c r="C1287" t="s">
        <v>72</v>
      </c>
      <c r="D1287" s="8">
        <v>44751</v>
      </c>
      <c r="E1287" t="s">
        <v>25</v>
      </c>
      <c r="F1287" t="s">
        <v>16</v>
      </c>
      <c r="G1287" t="s">
        <v>23</v>
      </c>
      <c r="H1287" s="9">
        <v>7</v>
      </c>
      <c r="I1287" s="9">
        <v>489</v>
      </c>
      <c r="J1287" s="10">
        <v>171150</v>
      </c>
      <c r="K1287" s="10">
        <v>17115</v>
      </c>
      <c r="L1287">
        <v>28</v>
      </c>
      <c r="M1287" s="8">
        <v>44743</v>
      </c>
      <c r="N1287" s="23">
        <v>8.62126068873874E-4</v>
      </c>
      <c r="O1287" s="10" t="str">
        <f>IF(Sales_Data[[#This Row],[Total Profit]]&gt;0,"Profitable","Loss")</f>
        <v>Profitable</v>
      </c>
      <c r="P1287" s="10" t="str">
        <f>IF(Sales_Data[[#This Row],[Total Profit]]&gt;100000,"High Value",IF(Sales_Data[[#This Row],[Total Profit]]&gt;60000,"Medium","Low"))</f>
        <v>Low</v>
      </c>
      <c r="Q1287" s="11" t="str">
        <f>PROPER(Sales_Data[[#This Row],[Month Name]])</f>
        <v>Julho</v>
      </c>
      <c r="R1287" s="11" t="str">
        <f>PROPER(Sales_Data[[#This Row],[Sales Manager]])</f>
        <v>James Brown</v>
      </c>
    </row>
    <row r="1288" spans="1:18" x14ac:dyDescent="0.25">
      <c r="A1288">
        <v>11287</v>
      </c>
      <c r="B1288">
        <v>2022</v>
      </c>
      <c r="C1288" t="s">
        <v>72</v>
      </c>
      <c r="D1288" s="8">
        <v>44752</v>
      </c>
      <c r="E1288" t="s">
        <v>14</v>
      </c>
      <c r="F1288" t="s">
        <v>21</v>
      </c>
      <c r="G1288" t="s">
        <v>23</v>
      </c>
      <c r="H1288" s="9">
        <v>38</v>
      </c>
      <c r="I1288" s="9">
        <v>486</v>
      </c>
      <c r="J1288" s="10">
        <v>170100</v>
      </c>
      <c r="K1288" s="10">
        <v>56133</v>
      </c>
      <c r="L1288">
        <v>29</v>
      </c>
      <c r="M1288" s="8">
        <v>44743</v>
      </c>
      <c r="N1288" s="23">
        <v>8.5683695188691796E-4</v>
      </c>
      <c r="O1288" s="10" t="str">
        <f>IF(Sales_Data[[#This Row],[Total Profit]]&gt;0,"Profitable","Loss")</f>
        <v>Profitable</v>
      </c>
      <c r="P1288" s="10" t="str">
        <f>IF(Sales_Data[[#This Row],[Total Profit]]&gt;100000,"High Value",IF(Sales_Data[[#This Row],[Total Profit]]&gt;60000,"Medium","Low"))</f>
        <v>Low</v>
      </c>
      <c r="Q1288" s="11" t="str">
        <f>PROPER(Sales_Data[[#This Row],[Month Name]])</f>
        <v>Julho</v>
      </c>
      <c r="R1288" s="11" t="str">
        <f>PROPER(Sales_Data[[#This Row],[Sales Manager]])</f>
        <v>John Smith</v>
      </c>
    </row>
    <row r="1289" spans="1:18" x14ac:dyDescent="0.25">
      <c r="A1289">
        <v>11288</v>
      </c>
      <c r="B1289">
        <v>2022</v>
      </c>
      <c r="C1289" t="s">
        <v>72</v>
      </c>
      <c r="D1289" s="8">
        <v>44753</v>
      </c>
      <c r="E1289" t="s">
        <v>25</v>
      </c>
      <c r="F1289" t="s">
        <v>16</v>
      </c>
      <c r="G1289" t="s">
        <v>15</v>
      </c>
      <c r="H1289" s="9">
        <v>24</v>
      </c>
      <c r="I1289" s="9">
        <v>369</v>
      </c>
      <c r="J1289" s="10">
        <v>184500</v>
      </c>
      <c r="K1289" s="10">
        <v>40590</v>
      </c>
      <c r="L1289">
        <v>29</v>
      </c>
      <c r="M1289" s="8">
        <v>44743</v>
      </c>
      <c r="N1289" s="23">
        <v>9.2937341342231802E-4</v>
      </c>
      <c r="O1289" s="10" t="str">
        <f>IF(Sales_Data[[#This Row],[Total Profit]]&gt;0,"Profitable","Loss")</f>
        <v>Profitable</v>
      </c>
      <c r="P1289" s="10" t="str">
        <f>IF(Sales_Data[[#This Row],[Total Profit]]&gt;100000,"High Value",IF(Sales_Data[[#This Row],[Total Profit]]&gt;60000,"Medium","Low"))</f>
        <v>Low</v>
      </c>
      <c r="Q1289" s="11" t="str">
        <f>PROPER(Sales_Data[[#This Row],[Month Name]])</f>
        <v>Julho</v>
      </c>
      <c r="R1289" s="11" t="str">
        <f>PROPER(Sales_Data[[#This Row],[Sales Manager]])</f>
        <v>James Brown</v>
      </c>
    </row>
    <row r="1290" spans="1:18" x14ac:dyDescent="0.25">
      <c r="A1290">
        <v>11289</v>
      </c>
      <c r="B1290">
        <v>2022</v>
      </c>
      <c r="C1290" t="s">
        <v>72</v>
      </c>
      <c r="D1290" s="8">
        <v>44754</v>
      </c>
      <c r="E1290" t="s">
        <v>19</v>
      </c>
      <c r="F1290" t="s">
        <v>24</v>
      </c>
      <c r="G1290" t="s">
        <v>13</v>
      </c>
      <c r="H1290" s="9">
        <v>4</v>
      </c>
      <c r="I1290" s="9">
        <v>123</v>
      </c>
      <c r="J1290" s="10">
        <v>92250</v>
      </c>
      <c r="K1290" s="10">
        <v>16605</v>
      </c>
      <c r="L1290">
        <v>29</v>
      </c>
      <c r="M1290" s="8">
        <v>44743</v>
      </c>
      <c r="N1290" s="23">
        <v>4.6468670671115901E-4</v>
      </c>
      <c r="O1290" s="10" t="str">
        <f>IF(Sales_Data[[#This Row],[Total Profit]]&gt;0,"Profitable","Loss")</f>
        <v>Profitable</v>
      </c>
      <c r="P1290" s="10" t="str">
        <f>IF(Sales_Data[[#This Row],[Total Profit]]&gt;100000,"High Value",IF(Sales_Data[[#This Row],[Total Profit]]&gt;60000,"Medium","Low"))</f>
        <v>Low</v>
      </c>
      <c r="Q1290" s="11" t="str">
        <f>PROPER(Sales_Data[[#This Row],[Month Name]])</f>
        <v>Julho</v>
      </c>
      <c r="R1290" s="11" t="str">
        <f>PROPER(Sales_Data[[#This Row],[Sales Manager]])</f>
        <v>Liam Lee</v>
      </c>
    </row>
    <row r="1291" spans="1:18" x14ac:dyDescent="0.25">
      <c r="A1291">
        <v>11290</v>
      </c>
      <c r="B1291">
        <v>2022</v>
      </c>
      <c r="C1291" t="s">
        <v>72</v>
      </c>
      <c r="D1291" s="8">
        <v>44755</v>
      </c>
      <c r="E1291" t="s">
        <v>14</v>
      </c>
      <c r="F1291" t="s">
        <v>18</v>
      </c>
      <c r="G1291" t="s">
        <v>13</v>
      </c>
      <c r="H1291" s="9">
        <v>14</v>
      </c>
      <c r="I1291" s="9">
        <v>277</v>
      </c>
      <c r="J1291" s="10">
        <v>207750</v>
      </c>
      <c r="K1291" s="10">
        <v>93487.5</v>
      </c>
      <c r="L1291">
        <v>29</v>
      </c>
      <c r="M1291" s="8">
        <v>44743</v>
      </c>
      <c r="N1291" s="23">
        <v>1.0464895752763501E-3</v>
      </c>
      <c r="O1291" s="10" t="str">
        <f>IF(Sales_Data[[#This Row],[Total Profit]]&gt;0,"Profitable","Loss")</f>
        <v>Profitable</v>
      </c>
      <c r="P1291" s="10" t="str">
        <f>IF(Sales_Data[[#This Row],[Total Profit]]&gt;100000,"High Value",IF(Sales_Data[[#This Row],[Total Profit]]&gt;60000,"Medium","Low"))</f>
        <v>Medium</v>
      </c>
      <c r="Q1291" s="11" t="str">
        <f>PROPER(Sales_Data[[#This Row],[Month Name]])</f>
        <v>Julho</v>
      </c>
      <c r="R1291" s="11" t="str">
        <f>PROPER(Sales_Data[[#This Row],[Sales Manager]])</f>
        <v>Jane Doe</v>
      </c>
    </row>
    <row r="1292" spans="1:18" x14ac:dyDescent="0.25">
      <c r="A1292">
        <v>11291</v>
      </c>
      <c r="B1292">
        <v>2022</v>
      </c>
      <c r="C1292" t="s">
        <v>72</v>
      </c>
      <c r="D1292" s="8">
        <v>44756</v>
      </c>
      <c r="E1292" t="s">
        <v>22</v>
      </c>
      <c r="F1292" t="s">
        <v>12</v>
      </c>
      <c r="G1292" t="s">
        <v>17</v>
      </c>
      <c r="H1292" s="9">
        <v>7</v>
      </c>
      <c r="I1292" s="9">
        <v>451</v>
      </c>
      <c r="J1292" s="10">
        <v>112750</v>
      </c>
      <c r="K1292" s="10">
        <v>36080</v>
      </c>
      <c r="L1292">
        <v>29</v>
      </c>
      <c r="M1292" s="8">
        <v>44743</v>
      </c>
      <c r="N1292" s="23">
        <v>5.6795041931363905E-4</v>
      </c>
      <c r="O1292" s="10" t="str">
        <f>IF(Sales_Data[[#This Row],[Total Profit]]&gt;0,"Profitable","Loss")</f>
        <v>Profitable</v>
      </c>
      <c r="P1292" s="10" t="str">
        <f>IF(Sales_Data[[#This Row],[Total Profit]]&gt;100000,"High Value",IF(Sales_Data[[#This Row],[Total Profit]]&gt;60000,"Medium","Low"))</f>
        <v>Low</v>
      </c>
      <c r="Q1292" s="11" t="str">
        <f>PROPER(Sales_Data[[#This Row],[Month Name]])</f>
        <v>Julho</v>
      </c>
      <c r="R1292" s="11" t="str">
        <f>PROPER(Sales_Data[[#This Row],[Sales Manager]])</f>
        <v>Emily White</v>
      </c>
    </row>
    <row r="1293" spans="1:18" x14ac:dyDescent="0.25">
      <c r="A1293">
        <v>11292</v>
      </c>
      <c r="B1293">
        <v>2022</v>
      </c>
      <c r="C1293" t="s">
        <v>72</v>
      </c>
      <c r="D1293" s="8">
        <v>44757</v>
      </c>
      <c r="E1293" t="s">
        <v>25</v>
      </c>
      <c r="F1293" t="s">
        <v>18</v>
      </c>
      <c r="G1293" t="s">
        <v>20</v>
      </c>
      <c r="H1293" s="9">
        <v>4</v>
      </c>
      <c r="I1293" s="9">
        <v>42</v>
      </c>
      <c r="J1293" s="10">
        <v>35700</v>
      </c>
      <c r="K1293" s="10">
        <v>7854</v>
      </c>
      <c r="L1293">
        <v>29</v>
      </c>
      <c r="M1293" s="8">
        <v>44743</v>
      </c>
      <c r="N1293" s="23">
        <v>1.7982997755651401E-4</v>
      </c>
      <c r="O1293" s="10" t="str">
        <f>IF(Sales_Data[[#This Row],[Total Profit]]&gt;0,"Profitable","Loss")</f>
        <v>Profitable</v>
      </c>
      <c r="P1293" s="10" t="str">
        <f>IF(Sales_Data[[#This Row],[Total Profit]]&gt;100000,"High Value",IF(Sales_Data[[#This Row],[Total Profit]]&gt;60000,"Medium","Low"))</f>
        <v>Low</v>
      </c>
      <c r="Q1293" s="11" t="str">
        <f>PROPER(Sales_Data[[#This Row],[Month Name]])</f>
        <v>Julho</v>
      </c>
      <c r="R1293" s="11" t="str">
        <f>PROPER(Sales_Data[[#This Row],[Sales Manager]])</f>
        <v>Jane Doe</v>
      </c>
    </row>
    <row r="1294" spans="1:18" x14ac:dyDescent="0.25">
      <c r="A1294">
        <v>11293</v>
      </c>
      <c r="B1294">
        <v>2022</v>
      </c>
      <c r="C1294" t="s">
        <v>72</v>
      </c>
      <c r="D1294" s="8">
        <v>44758</v>
      </c>
      <c r="E1294" t="s">
        <v>22</v>
      </c>
      <c r="F1294" t="s">
        <v>21</v>
      </c>
      <c r="G1294" t="s">
        <v>13</v>
      </c>
      <c r="H1294" s="9">
        <v>43</v>
      </c>
      <c r="I1294" s="9">
        <v>445</v>
      </c>
      <c r="J1294" s="10">
        <v>333750</v>
      </c>
      <c r="K1294" s="10">
        <v>120150</v>
      </c>
      <c r="L1294">
        <v>29</v>
      </c>
      <c r="M1294" s="8">
        <v>44743</v>
      </c>
      <c r="N1294" s="23">
        <v>1.6811836137111001E-3</v>
      </c>
      <c r="O1294" s="10" t="str">
        <f>IF(Sales_Data[[#This Row],[Total Profit]]&gt;0,"Profitable","Loss")</f>
        <v>Profitable</v>
      </c>
      <c r="P1294" s="10" t="str">
        <f>IF(Sales_Data[[#This Row],[Total Profit]]&gt;100000,"High Value",IF(Sales_Data[[#This Row],[Total Profit]]&gt;60000,"Medium","Low"))</f>
        <v>High Value</v>
      </c>
      <c r="Q1294" s="11" t="str">
        <f>PROPER(Sales_Data[[#This Row],[Month Name]])</f>
        <v>Julho</v>
      </c>
      <c r="R1294" s="11" t="str">
        <f>PROPER(Sales_Data[[#This Row],[Sales Manager]])</f>
        <v>John Smith</v>
      </c>
    </row>
    <row r="1295" spans="1:18" x14ac:dyDescent="0.25">
      <c r="A1295">
        <v>11294</v>
      </c>
      <c r="B1295">
        <v>2022</v>
      </c>
      <c r="C1295" t="s">
        <v>72</v>
      </c>
      <c r="D1295" s="8">
        <v>44759</v>
      </c>
      <c r="E1295" t="s">
        <v>11</v>
      </c>
      <c r="F1295" t="s">
        <v>24</v>
      </c>
      <c r="G1295" t="s">
        <v>17</v>
      </c>
      <c r="H1295" s="9">
        <v>21</v>
      </c>
      <c r="I1295" s="9">
        <v>352</v>
      </c>
      <c r="J1295" s="10">
        <v>88000</v>
      </c>
      <c r="K1295" s="10">
        <v>27280</v>
      </c>
      <c r="L1295">
        <v>30</v>
      </c>
      <c r="M1295" s="8">
        <v>44743</v>
      </c>
      <c r="N1295" s="23">
        <v>4.4327837604966902E-4</v>
      </c>
      <c r="O1295" s="10" t="str">
        <f>IF(Sales_Data[[#This Row],[Total Profit]]&gt;0,"Profitable","Loss")</f>
        <v>Profitable</v>
      </c>
      <c r="P1295" s="10" t="str">
        <f>IF(Sales_Data[[#This Row],[Total Profit]]&gt;100000,"High Value",IF(Sales_Data[[#This Row],[Total Profit]]&gt;60000,"Medium","Low"))</f>
        <v>Low</v>
      </c>
      <c r="Q1295" s="11" t="str">
        <f>PROPER(Sales_Data[[#This Row],[Month Name]])</f>
        <v>Julho</v>
      </c>
      <c r="R1295" s="11" t="str">
        <f>PROPER(Sales_Data[[#This Row],[Sales Manager]])</f>
        <v>Liam Lee</v>
      </c>
    </row>
    <row r="1296" spans="1:18" x14ac:dyDescent="0.25">
      <c r="A1296">
        <v>11295</v>
      </c>
      <c r="B1296">
        <v>2022</v>
      </c>
      <c r="C1296" t="s">
        <v>72</v>
      </c>
      <c r="D1296" s="8">
        <v>44760</v>
      </c>
      <c r="E1296" t="s">
        <v>19</v>
      </c>
      <c r="F1296" t="s">
        <v>16</v>
      </c>
      <c r="G1296" t="s">
        <v>17</v>
      </c>
      <c r="H1296" s="9">
        <v>24</v>
      </c>
      <c r="I1296" s="9">
        <v>452</v>
      </c>
      <c r="J1296" s="10">
        <v>113000</v>
      </c>
      <c r="K1296" s="10">
        <v>45200</v>
      </c>
      <c r="L1296">
        <v>30</v>
      </c>
      <c r="M1296" s="8">
        <v>44743</v>
      </c>
      <c r="N1296" s="23">
        <v>5.6920973288196203E-4</v>
      </c>
      <c r="O1296" s="10" t="str">
        <f>IF(Sales_Data[[#This Row],[Total Profit]]&gt;0,"Profitable","Loss")</f>
        <v>Profitable</v>
      </c>
      <c r="P1296" s="10" t="str">
        <f>IF(Sales_Data[[#This Row],[Total Profit]]&gt;100000,"High Value",IF(Sales_Data[[#This Row],[Total Profit]]&gt;60000,"Medium","Low"))</f>
        <v>Low</v>
      </c>
      <c r="Q1296" s="11" t="str">
        <f>PROPER(Sales_Data[[#This Row],[Month Name]])</f>
        <v>Julho</v>
      </c>
      <c r="R1296" s="11" t="str">
        <f>PROPER(Sales_Data[[#This Row],[Sales Manager]])</f>
        <v>James Brown</v>
      </c>
    </row>
    <row r="1297" spans="1:18" x14ac:dyDescent="0.25">
      <c r="A1297">
        <v>11296</v>
      </c>
      <c r="B1297">
        <v>2022</v>
      </c>
      <c r="C1297" t="s">
        <v>72</v>
      </c>
      <c r="D1297" s="8">
        <v>44761</v>
      </c>
      <c r="E1297" t="s">
        <v>14</v>
      </c>
      <c r="F1297" t="s">
        <v>21</v>
      </c>
      <c r="G1297" t="s">
        <v>15</v>
      </c>
      <c r="H1297" s="9">
        <v>5</v>
      </c>
      <c r="I1297" s="9">
        <v>315</v>
      </c>
      <c r="J1297" s="10">
        <v>157500</v>
      </c>
      <c r="K1297" s="10">
        <v>64574.999999999993</v>
      </c>
      <c r="L1297">
        <v>30</v>
      </c>
      <c r="M1297" s="8">
        <v>44743</v>
      </c>
      <c r="N1297" s="23">
        <v>7.9336754804344202E-4</v>
      </c>
      <c r="O1297" s="10" t="str">
        <f>IF(Sales_Data[[#This Row],[Total Profit]]&gt;0,"Profitable","Loss")</f>
        <v>Profitable</v>
      </c>
      <c r="P1297" s="10" t="str">
        <f>IF(Sales_Data[[#This Row],[Total Profit]]&gt;100000,"High Value",IF(Sales_Data[[#This Row],[Total Profit]]&gt;60000,"Medium","Low"))</f>
        <v>Medium</v>
      </c>
      <c r="Q1297" s="11" t="str">
        <f>PROPER(Sales_Data[[#This Row],[Month Name]])</f>
        <v>Julho</v>
      </c>
      <c r="R1297" s="11" t="str">
        <f>PROPER(Sales_Data[[#This Row],[Sales Manager]])</f>
        <v>John Smith</v>
      </c>
    </row>
    <row r="1298" spans="1:18" x14ac:dyDescent="0.25">
      <c r="A1298">
        <v>11297</v>
      </c>
      <c r="B1298">
        <v>2022</v>
      </c>
      <c r="C1298" t="s">
        <v>72</v>
      </c>
      <c r="D1298" s="8">
        <v>44762</v>
      </c>
      <c r="E1298" t="s">
        <v>25</v>
      </c>
      <c r="F1298" t="s">
        <v>21</v>
      </c>
      <c r="G1298" t="s">
        <v>23</v>
      </c>
      <c r="H1298" s="9">
        <v>13</v>
      </c>
      <c r="I1298" s="9">
        <v>429</v>
      </c>
      <c r="J1298" s="10">
        <v>150150</v>
      </c>
      <c r="K1298" s="10">
        <v>36036</v>
      </c>
      <c r="L1298">
        <v>30</v>
      </c>
      <c r="M1298" s="8">
        <v>44743</v>
      </c>
      <c r="N1298" s="23">
        <v>7.5634372913474805E-4</v>
      </c>
      <c r="O1298" s="10" t="str">
        <f>IF(Sales_Data[[#This Row],[Total Profit]]&gt;0,"Profitable","Loss")</f>
        <v>Profitable</v>
      </c>
      <c r="P1298" s="10" t="str">
        <f>IF(Sales_Data[[#This Row],[Total Profit]]&gt;100000,"High Value",IF(Sales_Data[[#This Row],[Total Profit]]&gt;60000,"Medium","Low"))</f>
        <v>Low</v>
      </c>
      <c r="Q1298" s="11" t="str">
        <f>PROPER(Sales_Data[[#This Row],[Month Name]])</f>
        <v>Julho</v>
      </c>
      <c r="R1298" s="11" t="str">
        <f>PROPER(Sales_Data[[#This Row],[Sales Manager]])</f>
        <v>John Smith</v>
      </c>
    </row>
    <row r="1299" spans="1:18" x14ac:dyDescent="0.25">
      <c r="A1299">
        <v>11298</v>
      </c>
      <c r="B1299">
        <v>2022</v>
      </c>
      <c r="C1299" t="s">
        <v>72</v>
      </c>
      <c r="D1299" s="8">
        <v>44763</v>
      </c>
      <c r="E1299" t="s">
        <v>19</v>
      </c>
      <c r="F1299" t="s">
        <v>18</v>
      </c>
      <c r="G1299" t="s">
        <v>15</v>
      </c>
      <c r="H1299" s="9">
        <v>4</v>
      </c>
      <c r="I1299" s="9">
        <v>40</v>
      </c>
      <c r="J1299" s="10">
        <v>20000</v>
      </c>
      <c r="K1299" s="10">
        <v>8400</v>
      </c>
      <c r="L1299">
        <v>30</v>
      </c>
      <c r="M1299" s="8">
        <v>44743</v>
      </c>
      <c r="N1299" s="23">
        <v>1.0074508546583399E-4</v>
      </c>
      <c r="O1299" s="10" t="str">
        <f>IF(Sales_Data[[#This Row],[Total Profit]]&gt;0,"Profitable","Loss")</f>
        <v>Profitable</v>
      </c>
      <c r="P1299" s="10" t="str">
        <f>IF(Sales_Data[[#This Row],[Total Profit]]&gt;100000,"High Value",IF(Sales_Data[[#This Row],[Total Profit]]&gt;60000,"Medium","Low"))</f>
        <v>Low</v>
      </c>
      <c r="Q1299" s="11" t="str">
        <f>PROPER(Sales_Data[[#This Row],[Month Name]])</f>
        <v>Julho</v>
      </c>
      <c r="R1299" s="11" t="str">
        <f>PROPER(Sales_Data[[#This Row],[Sales Manager]])</f>
        <v>Jane Doe</v>
      </c>
    </row>
    <row r="1300" spans="1:18" x14ac:dyDescent="0.25">
      <c r="A1300">
        <v>11299</v>
      </c>
      <c r="B1300">
        <v>2022</v>
      </c>
      <c r="C1300" t="s">
        <v>72</v>
      </c>
      <c r="D1300" s="8">
        <v>44764</v>
      </c>
      <c r="E1300" t="s">
        <v>22</v>
      </c>
      <c r="F1300" t="s">
        <v>16</v>
      </c>
      <c r="G1300" t="s">
        <v>15</v>
      </c>
      <c r="H1300" s="9">
        <v>2</v>
      </c>
      <c r="I1300" s="9">
        <v>101</v>
      </c>
      <c r="J1300" s="10">
        <v>50500</v>
      </c>
      <c r="K1300" s="10">
        <v>8585</v>
      </c>
      <c r="L1300">
        <v>30</v>
      </c>
      <c r="M1300" s="8">
        <v>44743</v>
      </c>
      <c r="N1300" s="23">
        <v>2.5438134080123102E-4</v>
      </c>
      <c r="O1300" s="10" t="str">
        <f>IF(Sales_Data[[#This Row],[Total Profit]]&gt;0,"Profitable","Loss")</f>
        <v>Profitable</v>
      </c>
      <c r="P1300" s="10" t="str">
        <f>IF(Sales_Data[[#This Row],[Total Profit]]&gt;100000,"High Value",IF(Sales_Data[[#This Row],[Total Profit]]&gt;60000,"Medium","Low"))</f>
        <v>Low</v>
      </c>
      <c r="Q1300" s="11" t="str">
        <f>PROPER(Sales_Data[[#This Row],[Month Name]])</f>
        <v>Julho</v>
      </c>
      <c r="R1300" s="11" t="str">
        <f>PROPER(Sales_Data[[#This Row],[Sales Manager]])</f>
        <v>James Brown</v>
      </c>
    </row>
    <row r="1301" spans="1:18" x14ac:dyDescent="0.25">
      <c r="A1301">
        <v>11300</v>
      </c>
      <c r="B1301">
        <v>2022</v>
      </c>
      <c r="C1301" t="s">
        <v>72</v>
      </c>
      <c r="D1301" s="8">
        <v>44765</v>
      </c>
      <c r="E1301" t="s">
        <v>19</v>
      </c>
      <c r="F1301" t="s">
        <v>24</v>
      </c>
      <c r="G1301" t="s">
        <v>23</v>
      </c>
      <c r="H1301" s="9">
        <v>6</v>
      </c>
      <c r="I1301" s="9">
        <v>211</v>
      </c>
      <c r="J1301" s="10">
        <v>73850</v>
      </c>
      <c r="K1301" s="10">
        <v>7385</v>
      </c>
      <c r="L1301">
        <v>30</v>
      </c>
      <c r="M1301" s="8">
        <v>44743</v>
      </c>
      <c r="N1301" s="23">
        <v>3.7200122808259199E-4</v>
      </c>
      <c r="O1301" s="10" t="str">
        <f>IF(Sales_Data[[#This Row],[Total Profit]]&gt;0,"Profitable","Loss")</f>
        <v>Profitable</v>
      </c>
      <c r="P1301" s="10" t="str">
        <f>IF(Sales_Data[[#This Row],[Total Profit]]&gt;100000,"High Value",IF(Sales_Data[[#This Row],[Total Profit]]&gt;60000,"Medium","Low"))</f>
        <v>Low</v>
      </c>
      <c r="Q1301" s="11" t="str">
        <f>PROPER(Sales_Data[[#This Row],[Month Name]])</f>
        <v>Julho</v>
      </c>
      <c r="R1301" s="11" t="str">
        <f>PROPER(Sales_Data[[#This Row],[Sales Manager]])</f>
        <v>Liam Lee</v>
      </c>
    </row>
    <row r="1302" spans="1:18" x14ac:dyDescent="0.25">
      <c r="A1302">
        <v>11301</v>
      </c>
      <c r="B1302">
        <v>2022</v>
      </c>
      <c r="C1302" t="s">
        <v>72</v>
      </c>
      <c r="D1302" s="8">
        <v>44766</v>
      </c>
      <c r="E1302" t="s">
        <v>25</v>
      </c>
      <c r="F1302" t="s">
        <v>24</v>
      </c>
      <c r="G1302" t="s">
        <v>23</v>
      </c>
      <c r="H1302" s="9">
        <v>3</v>
      </c>
      <c r="I1302" s="9">
        <v>217</v>
      </c>
      <c r="J1302" s="10">
        <v>75950</v>
      </c>
      <c r="K1302" s="10">
        <v>19747</v>
      </c>
      <c r="L1302">
        <v>31</v>
      </c>
      <c r="M1302" s="8">
        <v>44743</v>
      </c>
      <c r="N1302" s="23">
        <v>3.8257946205650398E-4</v>
      </c>
      <c r="O1302" s="10" t="str">
        <f>IF(Sales_Data[[#This Row],[Total Profit]]&gt;0,"Profitable","Loss")</f>
        <v>Profitable</v>
      </c>
      <c r="P1302" s="10" t="str">
        <f>IF(Sales_Data[[#This Row],[Total Profit]]&gt;100000,"High Value",IF(Sales_Data[[#This Row],[Total Profit]]&gt;60000,"Medium","Low"))</f>
        <v>Low</v>
      </c>
      <c r="Q1302" s="11" t="str">
        <f>PROPER(Sales_Data[[#This Row],[Month Name]])</f>
        <v>Julho</v>
      </c>
      <c r="R1302" s="11" t="str">
        <f>PROPER(Sales_Data[[#This Row],[Sales Manager]])</f>
        <v>Liam Lee</v>
      </c>
    </row>
    <row r="1303" spans="1:18" x14ac:dyDescent="0.25">
      <c r="A1303">
        <v>11302</v>
      </c>
      <c r="B1303">
        <v>2022</v>
      </c>
      <c r="C1303" t="s">
        <v>72</v>
      </c>
      <c r="D1303" s="8">
        <v>44767</v>
      </c>
      <c r="E1303" t="s">
        <v>22</v>
      </c>
      <c r="F1303" t="s">
        <v>16</v>
      </c>
      <c r="G1303" t="s">
        <v>17</v>
      </c>
      <c r="H1303" s="9">
        <v>34</v>
      </c>
      <c r="I1303" s="9">
        <v>441</v>
      </c>
      <c r="J1303" s="10">
        <v>110250</v>
      </c>
      <c r="K1303" s="10">
        <v>30870.000000000004</v>
      </c>
      <c r="L1303">
        <v>31</v>
      </c>
      <c r="M1303" s="8">
        <v>44743</v>
      </c>
      <c r="N1303" s="23">
        <v>5.5535728363040999E-4</v>
      </c>
      <c r="O1303" s="10" t="str">
        <f>IF(Sales_Data[[#This Row],[Total Profit]]&gt;0,"Profitable","Loss")</f>
        <v>Profitable</v>
      </c>
      <c r="P1303" s="10" t="str">
        <f>IF(Sales_Data[[#This Row],[Total Profit]]&gt;100000,"High Value",IF(Sales_Data[[#This Row],[Total Profit]]&gt;60000,"Medium","Low"))</f>
        <v>Low</v>
      </c>
      <c r="Q1303" s="11" t="str">
        <f>PROPER(Sales_Data[[#This Row],[Month Name]])</f>
        <v>Julho</v>
      </c>
      <c r="R1303" s="11" t="str">
        <f>PROPER(Sales_Data[[#This Row],[Sales Manager]])</f>
        <v>James Brown</v>
      </c>
    </row>
    <row r="1304" spans="1:18" x14ac:dyDescent="0.25">
      <c r="A1304">
        <v>11303</v>
      </c>
      <c r="B1304">
        <v>2022</v>
      </c>
      <c r="C1304" t="s">
        <v>72</v>
      </c>
      <c r="D1304" s="8">
        <v>44768</v>
      </c>
      <c r="E1304" t="s">
        <v>22</v>
      </c>
      <c r="F1304" t="s">
        <v>16</v>
      </c>
      <c r="G1304" t="s">
        <v>23</v>
      </c>
      <c r="H1304" s="9">
        <v>12</v>
      </c>
      <c r="I1304" s="9">
        <v>134</v>
      </c>
      <c r="J1304" s="10">
        <v>46900</v>
      </c>
      <c r="K1304" s="10">
        <v>8911</v>
      </c>
      <c r="L1304">
        <v>31</v>
      </c>
      <c r="M1304" s="8">
        <v>44743</v>
      </c>
      <c r="N1304" s="23">
        <v>2.36247225417381E-4</v>
      </c>
      <c r="O1304" s="10" t="str">
        <f>IF(Sales_Data[[#This Row],[Total Profit]]&gt;0,"Profitable","Loss")</f>
        <v>Profitable</v>
      </c>
      <c r="P1304" s="10" t="str">
        <f>IF(Sales_Data[[#This Row],[Total Profit]]&gt;100000,"High Value",IF(Sales_Data[[#This Row],[Total Profit]]&gt;60000,"Medium","Low"))</f>
        <v>Low</v>
      </c>
      <c r="Q1304" s="11" t="str">
        <f>PROPER(Sales_Data[[#This Row],[Month Name]])</f>
        <v>Julho</v>
      </c>
      <c r="R1304" s="11" t="str">
        <f>PROPER(Sales_Data[[#This Row],[Sales Manager]])</f>
        <v>James Brown</v>
      </c>
    </row>
    <row r="1305" spans="1:18" x14ac:dyDescent="0.25">
      <c r="A1305">
        <v>11304</v>
      </c>
      <c r="B1305">
        <v>2022</v>
      </c>
      <c r="C1305" t="s">
        <v>72</v>
      </c>
      <c r="D1305" s="8">
        <v>44769</v>
      </c>
      <c r="E1305" t="s">
        <v>19</v>
      </c>
      <c r="F1305" t="s">
        <v>18</v>
      </c>
      <c r="G1305" t="s">
        <v>23</v>
      </c>
      <c r="H1305" s="9">
        <v>20</v>
      </c>
      <c r="I1305" s="9">
        <v>434</v>
      </c>
      <c r="J1305" s="10">
        <v>151900</v>
      </c>
      <c r="K1305" s="10">
        <v>51646.000000000007</v>
      </c>
      <c r="L1305">
        <v>31</v>
      </c>
      <c r="M1305" s="8">
        <v>44743</v>
      </c>
      <c r="N1305" s="23">
        <v>7.6515892411300904E-4</v>
      </c>
      <c r="O1305" s="10" t="str">
        <f>IF(Sales_Data[[#This Row],[Total Profit]]&gt;0,"Profitable","Loss")</f>
        <v>Profitable</v>
      </c>
      <c r="P1305" s="10" t="str">
        <f>IF(Sales_Data[[#This Row],[Total Profit]]&gt;100000,"High Value",IF(Sales_Data[[#This Row],[Total Profit]]&gt;60000,"Medium","Low"))</f>
        <v>Low</v>
      </c>
      <c r="Q1305" s="11" t="str">
        <f>PROPER(Sales_Data[[#This Row],[Month Name]])</f>
        <v>Julho</v>
      </c>
      <c r="R1305" s="11" t="str">
        <f>PROPER(Sales_Data[[#This Row],[Sales Manager]])</f>
        <v>Jane Doe</v>
      </c>
    </row>
    <row r="1306" spans="1:18" x14ac:dyDescent="0.25">
      <c r="A1306">
        <v>11305</v>
      </c>
      <c r="B1306">
        <v>2022</v>
      </c>
      <c r="C1306" t="s">
        <v>72</v>
      </c>
      <c r="D1306" s="8">
        <v>44770</v>
      </c>
      <c r="E1306" t="s">
        <v>22</v>
      </c>
      <c r="F1306" t="s">
        <v>16</v>
      </c>
      <c r="G1306" t="s">
        <v>23</v>
      </c>
      <c r="H1306" s="9">
        <v>11</v>
      </c>
      <c r="I1306" s="9">
        <v>414</v>
      </c>
      <c r="J1306" s="10">
        <v>144900</v>
      </c>
      <c r="K1306" s="10">
        <v>52164</v>
      </c>
      <c r="L1306">
        <v>31</v>
      </c>
      <c r="M1306" s="8">
        <v>44743</v>
      </c>
      <c r="N1306" s="23">
        <v>7.2989814419996695E-4</v>
      </c>
      <c r="O1306" s="10" t="str">
        <f>IF(Sales_Data[[#This Row],[Total Profit]]&gt;0,"Profitable","Loss")</f>
        <v>Profitable</v>
      </c>
      <c r="P1306" s="10" t="str">
        <f>IF(Sales_Data[[#This Row],[Total Profit]]&gt;100000,"High Value",IF(Sales_Data[[#This Row],[Total Profit]]&gt;60000,"Medium","Low"))</f>
        <v>Low</v>
      </c>
      <c r="Q1306" s="11" t="str">
        <f>PROPER(Sales_Data[[#This Row],[Month Name]])</f>
        <v>Julho</v>
      </c>
      <c r="R1306" s="11" t="str">
        <f>PROPER(Sales_Data[[#This Row],[Sales Manager]])</f>
        <v>James Brown</v>
      </c>
    </row>
    <row r="1307" spans="1:18" x14ac:dyDescent="0.25">
      <c r="A1307">
        <v>11306</v>
      </c>
      <c r="B1307">
        <v>2022</v>
      </c>
      <c r="C1307" t="s">
        <v>72</v>
      </c>
      <c r="D1307" s="8">
        <v>44771</v>
      </c>
      <c r="E1307" t="s">
        <v>14</v>
      </c>
      <c r="F1307" t="s">
        <v>21</v>
      </c>
      <c r="G1307" t="s">
        <v>15</v>
      </c>
      <c r="H1307" s="9">
        <v>6</v>
      </c>
      <c r="I1307" s="9">
        <v>108</v>
      </c>
      <c r="J1307" s="10">
        <v>54000</v>
      </c>
      <c r="K1307" s="10">
        <v>7560.0000000000009</v>
      </c>
      <c r="L1307">
        <v>31</v>
      </c>
      <c r="M1307" s="8">
        <v>44743</v>
      </c>
      <c r="N1307" s="23">
        <v>2.7201173075775201E-4</v>
      </c>
      <c r="O1307" s="10" t="str">
        <f>IF(Sales_Data[[#This Row],[Total Profit]]&gt;0,"Profitable","Loss")</f>
        <v>Profitable</v>
      </c>
      <c r="P1307" s="10" t="str">
        <f>IF(Sales_Data[[#This Row],[Total Profit]]&gt;100000,"High Value",IF(Sales_Data[[#This Row],[Total Profit]]&gt;60000,"Medium","Low"))</f>
        <v>Low</v>
      </c>
      <c r="Q1307" s="11" t="str">
        <f>PROPER(Sales_Data[[#This Row],[Month Name]])</f>
        <v>Julho</v>
      </c>
      <c r="R1307" s="11" t="str">
        <f>PROPER(Sales_Data[[#This Row],[Sales Manager]])</f>
        <v>John Smith</v>
      </c>
    </row>
    <row r="1308" spans="1:18" x14ac:dyDescent="0.25">
      <c r="A1308">
        <v>11307</v>
      </c>
      <c r="B1308">
        <v>2022</v>
      </c>
      <c r="C1308" t="s">
        <v>72</v>
      </c>
      <c r="D1308" s="8">
        <v>44772</v>
      </c>
      <c r="E1308" t="s">
        <v>14</v>
      </c>
      <c r="F1308" t="s">
        <v>21</v>
      </c>
      <c r="G1308" t="s">
        <v>15</v>
      </c>
      <c r="H1308" s="9">
        <v>4</v>
      </c>
      <c r="I1308" s="9">
        <v>178</v>
      </c>
      <c r="J1308" s="10">
        <v>89000</v>
      </c>
      <c r="K1308" s="10">
        <v>16910</v>
      </c>
      <c r="L1308">
        <v>31</v>
      </c>
      <c r="M1308" s="8">
        <v>44743</v>
      </c>
      <c r="N1308" s="23">
        <v>4.48315630322961E-4</v>
      </c>
      <c r="O1308" s="10" t="str">
        <f>IF(Sales_Data[[#This Row],[Total Profit]]&gt;0,"Profitable","Loss")</f>
        <v>Profitable</v>
      </c>
      <c r="P1308" s="10" t="str">
        <f>IF(Sales_Data[[#This Row],[Total Profit]]&gt;100000,"High Value",IF(Sales_Data[[#This Row],[Total Profit]]&gt;60000,"Medium","Low"))</f>
        <v>Low</v>
      </c>
      <c r="Q1308" s="11" t="str">
        <f>PROPER(Sales_Data[[#This Row],[Month Name]])</f>
        <v>Julho</v>
      </c>
      <c r="R1308" s="11" t="str">
        <f>PROPER(Sales_Data[[#This Row],[Sales Manager]])</f>
        <v>John Smith</v>
      </c>
    </row>
    <row r="1309" spans="1:18" x14ac:dyDescent="0.25">
      <c r="A1309">
        <v>11308</v>
      </c>
      <c r="B1309">
        <v>2022</v>
      </c>
      <c r="C1309" t="s">
        <v>72</v>
      </c>
      <c r="D1309" s="8">
        <v>44773</v>
      </c>
      <c r="E1309" t="s">
        <v>19</v>
      </c>
      <c r="F1309" t="s">
        <v>12</v>
      </c>
      <c r="G1309" t="s">
        <v>20</v>
      </c>
      <c r="H1309" s="9">
        <v>7</v>
      </c>
      <c r="I1309" s="9">
        <v>238</v>
      </c>
      <c r="J1309" s="10">
        <v>202300</v>
      </c>
      <c r="K1309" s="10">
        <v>24276</v>
      </c>
      <c r="L1309">
        <v>32</v>
      </c>
      <c r="M1309" s="8">
        <v>44743</v>
      </c>
      <c r="N1309" s="23">
        <v>1.0190365394869101E-3</v>
      </c>
      <c r="O1309" s="10" t="str">
        <f>IF(Sales_Data[[#This Row],[Total Profit]]&gt;0,"Profitable","Loss")</f>
        <v>Profitable</v>
      </c>
      <c r="P1309" s="10" t="str">
        <f>IF(Sales_Data[[#This Row],[Total Profit]]&gt;100000,"High Value",IF(Sales_Data[[#This Row],[Total Profit]]&gt;60000,"Medium","Low"))</f>
        <v>Low</v>
      </c>
      <c r="Q1309" s="11" t="str">
        <f>PROPER(Sales_Data[[#This Row],[Month Name]])</f>
        <v>Julho</v>
      </c>
      <c r="R1309" s="11" t="str">
        <f>PROPER(Sales_Data[[#This Row],[Sales Manager]])</f>
        <v>Emily White</v>
      </c>
    </row>
    <row r="1310" spans="1:18" x14ac:dyDescent="0.25">
      <c r="A1310">
        <v>11309</v>
      </c>
      <c r="B1310">
        <v>2022</v>
      </c>
      <c r="C1310" t="s">
        <v>73</v>
      </c>
      <c r="D1310" s="8">
        <v>44774</v>
      </c>
      <c r="E1310" t="s">
        <v>22</v>
      </c>
      <c r="F1310" t="s">
        <v>12</v>
      </c>
      <c r="G1310" t="s">
        <v>17</v>
      </c>
      <c r="H1310" s="9">
        <v>2</v>
      </c>
      <c r="I1310" s="9">
        <v>131</v>
      </c>
      <c r="J1310" s="10">
        <v>32750</v>
      </c>
      <c r="K1310" s="10">
        <v>5567.5</v>
      </c>
      <c r="L1310">
        <v>32</v>
      </c>
      <c r="M1310" s="8">
        <v>44743</v>
      </c>
      <c r="N1310" s="23">
        <v>1.6497007745030299E-4</v>
      </c>
      <c r="O1310" s="10" t="str">
        <f>IF(Sales_Data[[#This Row],[Total Profit]]&gt;0,"Profitable","Loss")</f>
        <v>Profitable</v>
      </c>
      <c r="P1310" s="10" t="str">
        <f>IF(Sales_Data[[#This Row],[Total Profit]]&gt;100000,"High Value",IF(Sales_Data[[#This Row],[Total Profit]]&gt;60000,"Medium","Low"))</f>
        <v>Low</v>
      </c>
      <c r="Q1310" s="11" t="str">
        <f>PROPER(Sales_Data[[#This Row],[Month Name]])</f>
        <v>Agosto</v>
      </c>
      <c r="R1310" s="11" t="str">
        <f>PROPER(Sales_Data[[#This Row],[Sales Manager]])</f>
        <v>Emily White</v>
      </c>
    </row>
    <row r="1311" spans="1:18" x14ac:dyDescent="0.25">
      <c r="A1311">
        <v>11310</v>
      </c>
      <c r="B1311">
        <v>2022</v>
      </c>
      <c r="C1311" t="s">
        <v>73</v>
      </c>
      <c r="D1311" s="8">
        <v>44775</v>
      </c>
      <c r="E1311" t="s">
        <v>11</v>
      </c>
      <c r="F1311" t="s">
        <v>16</v>
      </c>
      <c r="G1311" t="s">
        <v>17</v>
      </c>
      <c r="H1311" s="9">
        <v>5</v>
      </c>
      <c r="I1311" s="9">
        <v>150</v>
      </c>
      <c r="J1311" s="10">
        <v>37500</v>
      </c>
      <c r="K1311" s="10">
        <v>6750</v>
      </c>
      <c r="L1311">
        <v>32</v>
      </c>
      <c r="M1311" s="8">
        <v>44743</v>
      </c>
      <c r="N1311" s="23">
        <v>1.8889703524843901E-4</v>
      </c>
      <c r="O1311" s="10" t="str">
        <f>IF(Sales_Data[[#This Row],[Total Profit]]&gt;0,"Profitable","Loss")</f>
        <v>Profitable</v>
      </c>
      <c r="P1311" s="10" t="str">
        <f>IF(Sales_Data[[#This Row],[Total Profit]]&gt;100000,"High Value",IF(Sales_Data[[#This Row],[Total Profit]]&gt;60000,"Medium","Low"))</f>
        <v>Low</v>
      </c>
      <c r="Q1311" s="11" t="str">
        <f>PROPER(Sales_Data[[#This Row],[Month Name]])</f>
        <v>Agosto</v>
      </c>
      <c r="R1311" s="11" t="str">
        <f>PROPER(Sales_Data[[#This Row],[Sales Manager]])</f>
        <v>James Brown</v>
      </c>
    </row>
    <row r="1312" spans="1:18" x14ac:dyDescent="0.25">
      <c r="A1312">
        <v>11311</v>
      </c>
      <c r="B1312">
        <v>2022</v>
      </c>
      <c r="C1312" t="s">
        <v>73</v>
      </c>
      <c r="D1312" s="8">
        <v>44776</v>
      </c>
      <c r="E1312" t="s">
        <v>19</v>
      </c>
      <c r="F1312" t="s">
        <v>21</v>
      </c>
      <c r="G1312" t="s">
        <v>23</v>
      </c>
      <c r="H1312" s="9">
        <v>15</v>
      </c>
      <c r="I1312" s="9">
        <v>206</v>
      </c>
      <c r="J1312" s="10">
        <v>72100</v>
      </c>
      <c r="K1312" s="10">
        <v>13699</v>
      </c>
      <c r="L1312">
        <v>32</v>
      </c>
      <c r="M1312" s="8">
        <v>44743</v>
      </c>
      <c r="N1312" s="23">
        <v>3.6318603310433101E-4</v>
      </c>
      <c r="O1312" s="10" t="str">
        <f>IF(Sales_Data[[#This Row],[Total Profit]]&gt;0,"Profitable","Loss")</f>
        <v>Profitable</v>
      </c>
      <c r="P1312" s="10" t="str">
        <f>IF(Sales_Data[[#This Row],[Total Profit]]&gt;100000,"High Value",IF(Sales_Data[[#This Row],[Total Profit]]&gt;60000,"Medium","Low"))</f>
        <v>Low</v>
      </c>
      <c r="Q1312" s="11" t="str">
        <f>PROPER(Sales_Data[[#This Row],[Month Name]])</f>
        <v>Agosto</v>
      </c>
      <c r="R1312" s="11" t="str">
        <f>PROPER(Sales_Data[[#This Row],[Sales Manager]])</f>
        <v>John Smith</v>
      </c>
    </row>
    <row r="1313" spans="1:18" x14ac:dyDescent="0.25">
      <c r="A1313">
        <v>11312</v>
      </c>
      <c r="B1313">
        <v>2022</v>
      </c>
      <c r="C1313" t="s">
        <v>73</v>
      </c>
      <c r="D1313" s="8">
        <v>44777</v>
      </c>
      <c r="E1313" t="s">
        <v>25</v>
      </c>
      <c r="F1313" t="s">
        <v>18</v>
      </c>
      <c r="G1313" t="s">
        <v>15</v>
      </c>
      <c r="H1313" s="9">
        <v>8</v>
      </c>
      <c r="I1313" s="9">
        <v>263</v>
      </c>
      <c r="J1313" s="10">
        <v>131500</v>
      </c>
      <c r="K1313" s="10">
        <v>51285</v>
      </c>
      <c r="L1313">
        <v>32</v>
      </c>
      <c r="M1313" s="8">
        <v>44743</v>
      </c>
      <c r="N1313" s="23">
        <v>6.6239893693785805E-4</v>
      </c>
      <c r="O1313" s="10" t="str">
        <f>IF(Sales_Data[[#This Row],[Total Profit]]&gt;0,"Profitable","Loss")</f>
        <v>Profitable</v>
      </c>
      <c r="P1313" s="10" t="str">
        <f>IF(Sales_Data[[#This Row],[Total Profit]]&gt;100000,"High Value",IF(Sales_Data[[#This Row],[Total Profit]]&gt;60000,"Medium","Low"))</f>
        <v>Low</v>
      </c>
      <c r="Q1313" s="11" t="str">
        <f>PROPER(Sales_Data[[#This Row],[Month Name]])</f>
        <v>Agosto</v>
      </c>
      <c r="R1313" s="11" t="str">
        <f>PROPER(Sales_Data[[#This Row],[Sales Manager]])</f>
        <v>Jane Doe</v>
      </c>
    </row>
    <row r="1314" spans="1:18" x14ac:dyDescent="0.25">
      <c r="A1314">
        <v>11313</v>
      </c>
      <c r="B1314">
        <v>2022</v>
      </c>
      <c r="C1314" t="s">
        <v>73</v>
      </c>
      <c r="D1314" s="8">
        <v>44778</v>
      </c>
      <c r="E1314" t="s">
        <v>22</v>
      </c>
      <c r="F1314" t="s">
        <v>18</v>
      </c>
      <c r="G1314" t="s">
        <v>20</v>
      </c>
      <c r="H1314" s="9">
        <v>3</v>
      </c>
      <c r="I1314" s="9">
        <v>36</v>
      </c>
      <c r="J1314" s="10">
        <v>30600</v>
      </c>
      <c r="K1314" s="10">
        <v>8262</v>
      </c>
      <c r="L1314">
        <v>32</v>
      </c>
      <c r="M1314" s="8">
        <v>44743</v>
      </c>
      <c r="N1314" s="23">
        <v>1.5413998076272599E-4</v>
      </c>
      <c r="O1314" s="10" t="str">
        <f>IF(Sales_Data[[#This Row],[Total Profit]]&gt;0,"Profitable","Loss")</f>
        <v>Profitable</v>
      </c>
      <c r="P1314" s="10" t="str">
        <f>IF(Sales_Data[[#This Row],[Total Profit]]&gt;100000,"High Value",IF(Sales_Data[[#This Row],[Total Profit]]&gt;60000,"Medium","Low"))</f>
        <v>Low</v>
      </c>
      <c r="Q1314" s="11" t="str">
        <f>PROPER(Sales_Data[[#This Row],[Month Name]])</f>
        <v>Agosto</v>
      </c>
      <c r="R1314" s="11" t="str">
        <f>PROPER(Sales_Data[[#This Row],[Sales Manager]])</f>
        <v>Jane Doe</v>
      </c>
    </row>
    <row r="1315" spans="1:18" x14ac:dyDescent="0.25">
      <c r="A1315">
        <v>11314</v>
      </c>
      <c r="B1315">
        <v>2022</v>
      </c>
      <c r="C1315" t="s">
        <v>73</v>
      </c>
      <c r="D1315" s="8">
        <v>44779</v>
      </c>
      <c r="E1315" t="s">
        <v>14</v>
      </c>
      <c r="F1315" t="s">
        <v>18</v>
      </c>
      <c r="G1315" t="s">
        <v>17</v>
      </c>
      <c r="H1315" s="9">
        <v>28</v>
      </c>
      <c r="I1315" s="9">
        <v>426</v>
      </c>
      <c r="J1315" s="10">
        <v>106500</v>
      </c>
      <c r="K1315" s="10">
        <v>46860</v>
      </c>
      <c r="L1315">
        <v>32</v>
      </c>
      <c r="M1315" s="8">
        <v>44743</v>
      </c>
      <c r="N1315" s="23">
        <v>5.3646758010556601E-4</v>
      </c>
      <c r="O1315" s="10" t="str">
        <f>IF(Sales_Data[[#This Row],[Total Profit]]&gt;0,"Profitable","Loss")</f>
        <v>Profitable</v>
      </c>
      <c r="P1315" s="10" t="str">
        <f>IF(Sales_Data[[#This Row],[Total Profit]]&gt;100000,"High Value",IF(Sales_Data[[#This Row],[Total Profit]]&gt;60000,"Medium","Low"))</f>
        <v>Low</v>
      </c>
      <c r="Q1315" s="11" t="str">
        <f>PROPER(Sales_Data[[#This Row],[Month Name]])</f>
        <v>Agosto</v>
      </c>
      <c r="R1315" s="11" t="str">
        <f>PROPER(Sales_Data[[#This Row],[Sales Manager]])</f>
        <v>Jane Doe</v>
      </c>
    </row>
    <row r="1316" spans="1:18" x14ac:dyDescent="0.25">
      <c r="A1316">
        <v>11315</v>
      </c>
      <c r="B1316">
        <v>2022</v>
      </c>
      <c r="C1316" t="s">
        <v>73</v>
      </c>
      <c r="D1316" s="8">
        <v>44780</v>
      </c>
      <c r="E1316" t="s">
        <v>14</v>
      </c>
      <c r="F1316" t="s">
        <v>24</v>
      </c>
      <c r="G1316" t="s">
        <v>17</v>
      </c>
      <c r="H1316" s="9">
        <v>3</v>
      </c>
      <c r="I1316" s="9">
        <v>162</v>
      </c>
      <c r="J1316" s="10">
        <v>40500</v>
      </c>
      <c r="K1316" s="10">
        <v>10125</v>
      </c>
      <c r="L1316">
        <v>33</v>
      </c>
      <c r="M1316" s="8">
        <v>44743</v>
      </c>
      <c r="N1316" s="23">
        <v>2.0400879806831401E-4</v>
      </c>
      <c r="O1316" s="10" t="str">
        <f>IF(Sales_Data[[#This Row],[Total Profit]]&gt;0,"Profitable","Loss")</f>
        <v>Profitable</v>
      </c>
      <c r="P1316" s="10" t="str">
        <f>IF(Sales_Data[[#This Row],[Total Profit]]&gt;100000,"High Value",IF(Sales_Data[[#This Row],[Total Profit]]&gt;60000,"Medium","Low"))</f>
        <v>Low</v>
      </c>
      <c r="Q1316" s="11" t="str">
        <f>PROPER(Sales_Data[[#This Row],[Month Name]])</f>
        <v>Agosto</v>
      </c>
      <c r="R1316" s="11" t="str">
        <f>PROPER(Sales_Data[[#This Row],[Sales Manager]])</f>
        <v>Liam Lee</v>
      </c>
    </row>
    <row r="1317" spans="1:18" x14ac:dyDescent="0.25">
      <c r="A1317">
        <v>11316</v>
      </c>
      <c r="B1317">
        <v>2022</v>
      </c>
      <c r="C1317" t="s">
        <v>73</v>
      </c>
      <c r="D1317" s="8">
        <v>44781</v>
      </c>
      <c r="E1317" t="s">
        <v>19</v>
      </c>
      <c r="F1317" t="s">
        <v>24</v>
      </c>
      <c r="G1317" t="s">
        <v>23</v>
      </c>
      <c r="H1317" s="9">
        <v>3</v>
      </c>
      <c r="I1317" s="9">
        <v>188</v>
      </c>
      <c r="J1317" s="10">
        <v>65800</v>
      </c>
      <c r="K1317" s="10">
        <v>16450</v>
      </c>
      <c r="L1317">
        <v>33</v>
      </c>
      <c r="M1317" s="8">
        <v>44743</v>
      </c>
      <c r="N1317" s="23">
        <v>3.3145133118259401E-4</v>
      </c>
      <c r="O1317" s="10" t="str">
        <f>IF(Sales_Data[[#This Row],[Total Profit]]&gt;0,"Profitable","Loss")</f>
        <v>Profitable</v>
      </c>
      <c r="P1317" s="10" t="str">
        <f>IF(Sales_Data[[#This Row],[Total Profit]]&gt;100000,"High Value",IF(Sales_Data[[#This Row],[Total Profit]]&gt;60000,"Medium","Low"))</f>
        <v>Low</v>
      </c>
      <c r="Q1317" s="11" t="str">
        <f>PROPER(Sales_Data[[#This Row],[Month Name]])</f>
        <v>Agosto</v>
      </c>
      <c r="R1317" s="11" t="str">
        <f>PROPER(Sales_Data[[#This Row],[Sales Manager]])</f>
        <v>Liam Lee</v>
      </c>
    </row>
    <row r="1318" spans="1:18" x14ac:dyDescent="0.25">
      <c r="A1318">
        <v>11317</v>
      </c>
      <c r="B1318">
        <v>2022</v>
      </c>
      <c r="C1318" t="s">
        <v>73</v>
      </c>
      <c r="D1318" s="8">
        <v>44782</v>
      </c>
      <c r="E1318" t="s">
        <v>19</v>
      </c>
      <c r="F1318" t="s">
        <v>16</v>
      </c>
      <c r="G1318" t="s">
        <v>20</v>
      </c>
      <c r="H1318" s="9">
        <v>33</v>
      </c>
      <c r="I1318" s="9">
        <v>366</v>
      </c>
      <c r="J1318" s="10">
        <v>311100</v>
      </c>
      <c r="K1318" s="10">
        <v>62220</v>
      </c>
      <c r="L1318">
        <v>33</v>
      </c>
      <c r="M1318" s="8">
        <v>44743</v>
      </c>
      <c r="N1318" s="23">
        <v>1.56708980442105E-3</v>
      </c>
      <c r="O1318" s="10" t="str">
        <f>IF(Sales_Data[[#This Row],[Total Profit]]&gt;0,"Profitable","Loss")</f>
        <v>Profitable</v>
      </c>
      <c r="P1318" s="10" t="str">
        <f>IF(Sales_Data[[#This Row],[Total Profit]]&gt;100000,"High Value",IF(Sales_Data[[#This Row],[Total Profit]]&gt;60000,"Medium","Low"))</f>
        <v>Medium</v>
      </c>
      <c r="Q1318" s="11" t="str">
        <f>PROPER(Sales_Data[[#This Row],[Month Name]])</f>
        <v>Agosto</v>
      </c>
      <c r="R1318" s="11" t="str">
        <f>PROPER(Sales_Data[[#This Row],[Sales Manager]])</f>
        <v>James Brown</v>
      </c>
    </row>
    <row r="1319" spans="1:18" x14ac:dyDescent="0.25">
      <c r="A1319">
        <v>11318</v>
      </c>
      <c r="B1319">
        <v>2022</v>
      </c>
      <c r="C1319" t="s">
        <v>73</v>
      </c>
      <c r="D1319" s="8">
        <v>44783</v>
      </c>
      <c r="E1319" t="s">
        <v>14</v>
      </c>
      <c r="F1319" t="s">
        <v>21</v>
      </c>
      <c r="G1319" t="s">
        <v>13</v>
      </c>
      <c r="H1319" s="9">
        <v>10</v>
      </c>
      <c r="I1319" s="9">
        <v>173</v>
      </c>
      <c r="J1319" s="10">
        <v>129750</v>
      </c>
      <c r="K1319" s="10">
        <v>28545</v>
      </c>
      <c r="L1319">
        <v>33</v>
      </c>
      <c r="M1319" s="8">
        <v>44743</v>
      </c>
      <c r="N1319" s="23">
        <v>6.5358374195959804E-4</v>
      </c>
      <c r="O1319" s="10" t="str">
        <f>IF(Sales_Data[[#This Row],[Total Profit]]&gt;0,"Profitable","Loss")</f>
        <v>Profitable</v>
      </c>
      <c r="P1319" s="10" t="str">
        <f>IF(Sales_Data[[#This Row],[Total Profit]]&gt;100000,"High Value",IF(Sales_Data[[#This Row],[Total Profit]]&gt;60000,"Medium","Low"))</f>
        <v>Low</v>
      </c>
      <c r="Q1319" s="11" t="str">
        <f>PROPER(Sales_Data[[#This Row],[Month Name]])</f>
        <v>Agosto</v>
      </c>
      <c r="R1319" s="11" t="str">
        <f>PROPER(Sales_Data[[#This Row],[Sales Manager]])</f>
        <v>John Smith</v>
      </c>
    </row>
    <row r="1320" spans="1:18" x14ac:dyDescent="0.25">
      <c r="A1320">
        <v>11319</v>
      </c>
      <c r="B1320">
        <v>2022</v>
      </c>
      <c r="C1320" t="s">
        <v>73</v>
      </c>
      <c r="D1320" s="8">
        <v>44784</v>
      </c>
      <c r="E1320" t="s">
        <v>22</v>
      </c>
      <c r="F1320" t="s">
        <v>12</v>
      </c>
      <c r="G1320" t="s">
        <v>20</v>
      </c>
      <c r="H1320" s="9">
        <v>19</v>
      </c>
      <c r="I1320" s="9">
        <v>290</v>
      </c>
      <c r="J1320" s="10">
        <v>246500</v>
      </c>
      <c r="K1320" s="10">
        <v>83810</v>
      </c>
      <c r="L1320">
        <v>33</v>
      </c>
      <c r="M1320" s="8">
        <v>44743</v>
      </c>
      <c r="N1320" s="23">
        <v>1.2416831783663999E-3</v>
      </c>
      <c r="O1320" s="10" t="str">
        <f>IF(Sales_Data[[#This Row],[Total Profit]]&gt;0,"Profitable","Loss")</f>
        <v>Profitable</v>
      </c>
      <c r="P1320" s="10" t="str">
        <f>IF(Sales_Data[[#This Row],[Total Profit]]&gt;100000,"High Value",IF(Sales_Data[[#This Row],[Total Profit]]&gt;60000,"Medium","Low"))</f>
        <v>Medium</v>
      </c>
      <c r="Q1320" s="11" t="str">
        <f>PROPER(Sales_Data[[#This Row],[Month Name]])</f>
        <v>Agosto</v>
      </c>
      <c r="R1320" s="11" t="str">
        <f>PROPER(Sales_Data[[#This Row],[Sales Manager]])</f>
        <v>Emily White</v>
      </c>
    </row>
    <row r="1321" spans="1:18" x14ac:dyDescent="0.25">
      <c r="A1321">
        <v>11320</v>
      </c>
      <c r="B1321">
        <v>2022</v>
      </c>
      <c r="C1321" t="s">
        <v>73</v>
      </c>
      <c r="D1321" s="8">
        <v>44785</v>
      </c>
      <c r="E1321" t="s">
        <v>19</v>
      </c>
      <c r="F1321" t="s">
        <v>21</v>
      </c>
      <c r="G1321" t="s">
        <v>20</v>
      </c>
      <c r="H1321" s="9">
        <v>8</v>
      </c>
      <c r="I1321" s="9">
        <v>257</v>
      </c>
      <c r="J1321" s="10">
        <v>218450</v>
      </c>
      <c r="K1321" s="10">
        <v>96118</v>
      </c>
      <c r="L1321">
        <v>33</v>
      </c>
      <c r="M1321" s="8">
        <v>44743</v>
      </c>
      <c r="N1321" s="23">
        <v>1.10038819600057E-3</v>
      </c>
      <c r="O1321" s="10" t="str">
        <f>IF(Sales_Data[[#This Row],[Total Profit]]&gt;0,"Profitable","Loss")</f>
        <v>Profitable</v>
      </c>
      <c r="P1321" s="10" t="str">
        <f>IF(Sales_Data[[#This Row],[Total Profit]]&gt;100000,"High Value",IF(Sales_Data[[#This Row],[Total Profit]]&gt;60000,"Medium","Low"))</f>
        <v>Medium</v>
      </c>
      <c r="Q1321" s="11" t="str">
        <f>PROPER(Sales_Data[[#This Row],[Month Name]])</f>
        <v>Agosto</v>
      </c>
      <c r="R1321" s="11" t="str">
        <f>PROPER(Sales_Data[[#This Row],[Sales Manager]])</f>
        <v>John Smith</v>
      </c>
    </row>
    <row r="1322" spans="1:18" x14ac:dyDescent="0.25">
      <c r="A1322">
        <v>11321</v>
      </c>
      <c r="B1322">
        <v>2022</v>
      </c>
      <c r="C1322" t="s">
        <v>73</v>
      </c>
      <c r="D1322" s="8">
        <v>44786</v>
      </c>
      <c r="E1322" t="s">
        <v>19</v>
      </c>
      <c r="F1322" t="s">
        <v>24</v>
      </c>
      <c r="G1322" t="s">
        <v>23</v>
      </c>
      <c r="H1322" s="9">
        <v>4</v>
      </c>
      <c r="I1322" s="9">
        <v>133</v>
      </c>
      <c r="J1322" s="10">
        <v>46550</v>
      </c>
      <c r="K1322" s="10">
        <v>16292.499999999998</v>
      </c>
      <c r="L1322">
        <v>33</v>
      </c>
      <c r="M1322" s="8">
        <v>44743</v>
      </c>
      <c r="N1322" s="23">
        <v>2.3448418642172799E-4</v>
      </c>
      <c r="O1322" s="10" t="str">
        <f>IF(Sales_Data[[#This Row],[Total Profit]]&gt;0,"Profitable","Loss")</f>
        <v>Profitable</v>
      </c>
      <c r="P1322" s="10" t="str">
        <f>IF(Sales_Data[[#This Row],[Total Profit]]&gt;100000,"High Value",IF(Sales_Data[[#This Row],[Total Profit]]&gt;60000,"Medium","Low"))</f>
        <v>Low</v>
      </c>
      <c r="Q1322" s="11" t="str">
        <f>PROPER(Sales_Data[[#This Row],[Month Name]])</f>
        <v>Agosto</v>
      </c>
      <c r="R1322" s="11" t="str">
        <f>PROPER(Sales_Data[[#This Row],[Sales Manager]])</f>
        <v>Liam Lee</v>
      </c>
    </row>
    <row r="1323" spans="1:18" x14ac:dyDescent="0.25">
      <c r="A1323">
        <v>11322</v>
      </c>
      <c r="B1323">
        <v>2022</v>
      </c>
      <c r="C1323" t="s">
        <v>73</v>
      </c>
      <c r="D1323" s="8">
        <v>44787</v>
      </c>
      <c r="E1323" t="s">
        <v>25</v>
      </c>
      <c r="F1323" t="s">
        <v>24</v>
      </c>
      <c r="G1323" t="s">
        <v>15</v>
      </c>
      <c r="H1323" s="9">
        <v>6</v>
      </c>
      <c r="I1323" s="9">
        <v>348</v>
      </c>
      <c r="J1323" s="10">
        <v>174000</v>
      </c>
      <c r="K1323" s="10">
        <v>27840</v>
      </c>
      <c r="L1323">
        <v>34</v>
      </c>
      <c r="M1323" s="8">
        <v>44743</v>
      </c>
      <c r="N1323" s="23">
        <v>8.7648224355275505E-4</v>
      </c>
      <c r="O1323" s="10" t="str">
        <f>IF(Sales_Data[[#This Row],[Total Profit]]&gt;0,"Profitable","Loss")</f>
        <v>Profitable</v>
      </c>
      <c r="P1323" s="10" t="str">
        <f>IF(Sales_Data[[#This Row],[Total Profit]]&gt;100000,"High Value",IF(Sales_Data[[#This Row],[Total Profit]]&gt;60000,"Medium","Low"))</f>
        <v>Low</v>
      </c>
      <c r="Q1323" s="11" t="str">
        <f>PROPER(Sales_Data[[#This Row],[Month Name]])</f>
        <v>Agosto</v>
      </c>
      <c r="R1323" s="11" t="str">
        <f>PROPER(Sales_Data[[#This Row],[Sales Manager]])</f>
        <v>Liam Lee</v>
      </c>
    </row>
    <row r="1324" spans="1:18" x14ac:dyDescent="0.25">
      <c r="A1324">
        <v>11323</v>
      </c>
      <c r="B1324">
        <v>2022</v>
      </c>
      <c r="C1324" t="s">
        <v>73</v>
      </c>
      <c r="D1324" s="8">
        <v>44788</v>
      </c>
      <c r="E1324" t="s">
        <v>11</v>
      </c>
      <c r="F1324" t="s">
        <v>16</v>
      </c>
      <c r="G1324" t="s">
        <v>23</v>
      </c>
      <c r="H1324" s="9">
        <v>13</v>
      </c>
      <c r="I1324" s="9">
        <v>454</v>
      </c>
      <c r="J1324" s="10">
        <v>158900</v>
      </c>
      <c r="K1324" s="10">
        <v>69916</v>
      </c>
      <c r="L1324">
        <v>34</v>
      </c>
      <c r="M1324" s="8">
        <v>44743</v>
      </c>
      <c r="N1324" s="23">
        <v>8.0041970402605102E-4</v>
      </c>
      <c r="O1324" s="10" t="str">
        <f>IF(Sales_Data[[#This Row],[Total Profit]]&gt;0,"Profitable","Loss")</f>
        <v>Profitable</v>
      </c>
      <c r="P1324" s="10" t="str">
        <f>IF(Sales_Data[[#This Row],[Total Profit]]&gt;100000,"High Value",IF(Sales_Data[[#This Row],[Total Profit]]&gt;60000,"Medium","Low"))</f>
        <v>Medium</v>
      </c>
      <c r="Q1324" s="11" t="str">
        <f>PROPER(Sales_Data[[#This Row],[Month Name]])</f>
        <v>Agosto</v>
      </c>
      <c r="R1324" s="11" t="str">
        <f>PROPER(Sales_Data[[#This Row],[Sales Manager]])</f>
        <v>James Brown</v>
      </c>
    </row>
    <row r="1325" spans="1:18" x14ac:dyDescent="0.25">
      <c r="A1325">
        <v>11324</v>
      </c>
      <c r="B1325">
        <v>2022</v>
      </c>
      <c r="C1325" t="s">
        <v>73</v>
      </c>
      <c r="D1325" s="8">
        <v>44789</v>
      </c>
      <c r="E1325" t="s">
        <v>22</v>
      </c>
      <c r="F1325" t="s">
        <v>18</v>
      </c>
      <c r="G1325" t="s">
        <v>17</v>
      </c>
      <c r="H1325" s="9">
        <v>41</v>
      </c>
      <c r="I1325" s="9">
        <v>495</v>
      </c>
      <c r="J1325" s="10">
        <v>123750</v>
      </c>
      <c r="K1325" s="10">
        <v>14850</v>
      </c>
      <c r="L1325">
        <v>34</v>
      </c>
      <c r="M1325" s="8">
        <v>44743</v>
      </c>
      <c r="N1325" s="23">
        <v>6.2336021631984799E-4</v>
      </c>
      <c r="O1325" s="10" t="str">
        <f>IF(Sales_Data[[#This Row],[Total Profit]]&gt;0,"Profitable","Loss")</f>
        <v>Profitable</v>
      </c>
      <c r="P1325" s="10" t="str">
        <f>IF(Sales_Data[[#This Row],[Total Profit]]&gt;100000,"High Value",IF(Sales_Data[[#This Row],[Total Profit]]&gt;60000,"Medium","Low"))</f>
        <v>Low</v>
      </c>
      <c r="Q1325" s="11" t="str">
        <f>PROPER(Sales_Data[[#This Row],[Month Name]])</f>
        <v>Agosto</v>
      </c>
      <c r="R1325" s="11" t="str">
        <f>PROPER(Sales_Data[[#This Row],[Sales Manager]])</f>
        <v>Jane Doe</v>
      </c>
    </row>
    <row r="1326" spans="1:18" x14ac:dyDescent="0.25">
      <c r="A1326">
        <v>11325</v>
      </c>
      <c r="B1326">
        <v>2022</v>
      </c>
      <c r="C1326" t="s">
        <v>73</v>
      </c>
      <c r="D1326" s="8">
        <v>44790</v>
      </c>
      <c r="E1326" t="s">
        <v>19</v>
      </c>
      <c r="F1326" t="s">
        <v>12</v>
      </c>
      <c r="G1326" t="s">
        <v>15</v>
      </c>
      <c r="H1326" s="9">
        <v>26</v>
      </c>
      <c r="I1326" s="9">
        <v>374</v>
      </c>
      <c r="J1326" s="10">
        <v>187000</v>
      </c>
      <c r="K1326" s="10">
        <v>26180.000000000004</v>
      </c>
      <c r="L1326">
        <v>34</v>
      </c>
      <c r="M1326" s="8">
        <v>44743</v>
      </c>
      <c r="N1326" s="23">
        <v>9.4196654910554698E-4</v>
      </c>
      <c r="O1326" s="10" t="str">
        <f>IF(Sales_Data[[#This Row],[Total Profit]]&gt;0,"Profitable","Loss")</f>
        <v>Profitable</v>
      </c>
      <c r="P1326" s="10" t="str">
        <f>IF(Sales_Data[[#This Row],[Total Profit]]&gt;100000,"High Value",IF(Sales_Data[[#This Row],[Total Profit]]&gt;60000,"Medium","Low"))</f>
        <v>Low</v>
      </c>
      <c r="Q1326" s="11" t="str">
        <f>PROPER(Sales_Data[[#This Row],[Month Name]])</f>
        <v>Agosto</v>
      </c>
      <c r="R1326" s="11" t="str">
        <f>PROPER(Sales_Data[[#This Row],[Sales Manager]])</f>
        <v>Emily White</v>
      </c>
    </row>
    <row r="1327" spans="1:18" x14ac:dyDescent="0.25">
      <c r="A1327">
        <v>11326</v>
      </c>
      <c r="B1327">
        <v>2022</v>
      </c>
      <c r="C1327" t="s">
        <v>73</v>
      </c>
      <c r="D1327" s="8">
        <v>44791</v>
      </c>
      <c r="E1327" t="s">
        <v>22</v>
      </c>
      <c r="F1327" t="s">
        <v>12</v>
      </c>
      <c r="G1327" t="s">
        <v>15</v>
      </c>
      <c r="H1327" s="9">
        <v>2</v>
      </c>
      <c r="I1327" s="9">
        <v>119</v>
      </c>
      <c r="J1327" s="10">
        <v>59500</v>
      </c>
      <c r="K1327" s="10">
        <v>20230</v>
      </c>
      <c r="L1327">
        <v>34</v>
      </c>
      <c r="M1327" s="8">
        <v>44743</v>
      </c>
      <c r="N1327" s="23">
        <v>2.9971662926085599E-4</v>
      </c>
      <c r="O1327" s="10" t="str">
        <f>IF(Sales_Data[[#This Row],[Total Profit]]&gt;0,"Profitable","Loss")</f>
        <v>Profitable</v>
      </c>
      <c r="P1327" s="10" t="str">
        <f>IF(Sales_Data[[#This Row],[Total Profit]]&gt;100000,"High Value",IF(Sales_Data[[#This Row],[Total Profit]]&gt;60000,"Medium","Low"))</f>
        <v>Low</v>
      </c>
      <c r="Q1327" s="11" t="str">
        <f>PROPER(Sales_Data[[#This Row],[Month Name]])</f>
        <v>Agosto</v>
      </c>
      <c r="R1327" s="11" t="str">
        <f>PROPER(Sales_Data[[#This Row],[Sales Manager]])</f>
        <v>Emily White</v>
      </c>
    </row>
    <row r="1328" spans="1:18" x14ac:dyDescent="0.25">
      <c r="A1328">
        <v>11327</v>
      </c>
      <c r="B1328">
        <v>2022</v>
      </c>
      <c r="C1328" t="s">
        <v>73</v>
      </c>
      <c r="D1328" s="8">
        <v>44792</v>
      </c>
      <c r="E1328" t="s">
        <v>19</v>
      </c>
      <c r="F1328" t="s">
        <v>12</v>
      </c>
      <c r="G1328" t="s">
        <v>13</v>
      </c>
      <c r="H1328" s="9">
        <v>6</v>
      </c>
      <c r="I1328" s="9">
        <v>144</v>
      </c>
      <c r="J1328" s="10">
        <v>108000</v>
      </c>
      <c r="K1328" s="10">
        <v>19440</v>
      </c>
      <c r="L1328">
        <v>34</v>
      </c>
      <c r="M1328" s="8">
        <v>44743</v>
      </c>
      <c r="N1328" s="23">
        <v>5.4402346151550304E-4</v>
      </c>
      <c r="O1328" s="10" t="str">
        <f>IF(Sales_Data[[#This Row],[Total Profit]]&gt;0,"Profitable","Loss")</f>
        <v>Profitable</v>
      </c>
      <c r="P1328" s="10" t="str">
        <f>IF(Sales_Data[[#This Row],[Total Profit]]&gt;100000,"High Value",IF(Sales_Data[[#This Row],[Total Profit]]&gt;60000,"Medium","Low"))</f>
        <v>Low</v>
      </c>
      <c r="Q1328" s="11" t="str">
        <f>PROPER(Sales_Data[[#This Row],[Month Name]])</f>
        <v>Agosto</v>
      </c>
      <c r="R1328" s="11" t="str">
        <f>PROPER(Sales_Data[[#This Row],[Sales Manager]])</f>
        <v>Emily White</v>
      </c>
    </row>
    <row r="1329" spans="1:18" x14ac:dyDescent="0.25">
      <c r="A1329">
        <v>11328</v>
      </c>
      <c r="B1329">
        <v>2022</v>
      </c>
      <c r="C1329" t="s">
        <v>73</v>
      </c>
      <c r="D1329" s="8">
        <v>44793</v>
      </c>
      <c r="E1329" t="s">
        <v>14</v>
      </c>
      <c r="F1329" t="s">
        <v>24</v>
      </c>
      <c r="G1329" t="s">
        <v>20</v>
      </c>
      <c r="H1329" s="9">
        <v>41</v>
      </c>
      <c r="I1329" s="9">
        <v>435</v>
      </c>
      <c r="J1329" s="10">
        <v>369750</v>
      </c>
      <c r="K1329" s="10">
        <v>166387.5</v>
      </c>
      <c r="L1329">
        <v>34</v>
      </c>
      <c r="M1329" s="8">
        <v>44743</v>
      </c>
      <c r="N1329" s="23">
        <v>1.8625247675496E-3</v>
      </c>
      <c r="O1329" s="10" t="str">
        <f>IF(Sales_Data[[#This Row],[Total Profit]]&gt;0,"Profitable","Loss")</f>
        <v>Profitable</v>
      </c>
      <c r="P1329" s="10" t="str">
        <f>IF(Sales_Data[[#This Row],[Total Profit]]&gt;100000,"High Value",IF(Sales_Data[[#This Row],[Total Profit]]&gt;60000,"Medium","Low"))</f>
        <v>High Value</v>
      </c>
      <c r="Q1329" s="11" t="str">
        <f>PROPER(Sales_Data[[#This Row],[Month Name]])</f>
        <v>Agosto</v>
      </c>
      <c r="R1329" s="11" t="str">
        <f>PROPER(Sales_Data[[#This Row],[Sales Manager]])</f>
        <v>Liam Lee</v>
      </c>
    </row>
    <row r="1330" spans="1:18" x14ac:dyDescent="0.25">
      <c r="A1330">
        <v>11329</v>
      </c>
      <c r="B1330">
        <v>2022</v>
      </c>
      <c r="C1330" t="s">
        <v>73</v>
      </c>
      <c r="D1330" s="8">
        <v>44794</v>
      </c>
      <c r="E1330" t="s">
        <v>22</v>
      </c>
      <c r="F1330" t="s">
        <v>21</v>
      </c>
      <c r="G1330" t="s">
        <v>13</v>
      </c>
      <c r="H1330" s="9">
        <v>10</v>
      </c>
      <c r="I1330" s="9">
        <v>159</v>
      </c>
      <c r="J1330" s="10">
        <v>119250</v>
      </c>
      <c r="K1330" s="10">
        <v>41737.5</v>
      </c>
      <c r="L1330">
        <v>35</v>
      </c>
      <c r="M1330" s="8">
        <v>44743</v>
      </c>
      <c r="N1330" s="23">
        <v>6.0069257209003496E-4</v>
      </c>
      <c r="O1330" s="10" t="str">
        <f>IF(Sales_Data[[#This Row],[Total Profit]]&gt;0,"Profitable","Loss")</f>
        <v>Profitable</v>
      </c>
      <c r="P1330" s="10" t="str">
        <f>IF(Sales_Data[[#This Row],[Total Profit]]&gt;100000,"High Value",IF(Sales_Data[[#This Row],[Total Profit]]&gt;60000,"Medium","Low"))</f>
        <v>Low</v>
      </c>
      <c r="Q1330" s="11" t="str">
        <f>PROPER(Sales_Data[[#This Row],[Month Name]])</f>
        <v>Agosto</v>
      </c>
      <c r="R1330" s="11" t="str">
        <f>PROPER(Sales_Data[[#This Row],[Sales Manager]])</f>
        <v>John Smith</v>
      </c>
    </row>
    <row r="1331" spans="1:18" x14ac:dyDescent="0.25">
      <c r="A1331">
        <v>11330</v>
      </c>
      <c r="B1331">
        <v>2022</v>
      </c>
      <c r="C1331" t="s">
        <v>73</v>
      </c>
      <c r="D1331" s="8">
        <v>44795</v>
      </c>
      <c r="E1331" t="s">
        <v>14</v>
      </c>
      <c r="F1331" t="s">
        <v>21</v>
      </c>
      <c r="G1331" t="s">
        <v>20</v>
      </c>
      <c r="H1331" s="9">
        <v>2</v>
      </c>
      <c r="I1331" s="9">
        <v>36</v>
      </c>
      <c r="J1331" s="10">
        <v>30600</v>
      </c>
      <c r="K1331" s="10">
        <v>7956</v>
      </c>
      <c r="L1331">
        <v>35</v>
      </c>
      <c r="M1331" s="8">
        <v>44743</v>
      </c>
      <c r="N1331" s="23">
        <v>1.5413998076272599E-4</v>
      </c>
      <c r="O1331" s="10" t="str">
        <f>IF(Sales_Data[[#This Row],[Total Profit]]&gt;0,"Profitable","Loss")</f>
        <v>Profitable</v>
      </c>
      <c r="P1331" s="10" t="str">
        <f>IF(Sales_Data[[#This Row],[Total Profit]]&gt;100000,"High Value",IF(Sales_Data[[#This Row],[Total Profit]]&gt;60000,"Medium","Low"))</f>
        <v>Low</v>
      </c>
      <c r="Q1331" s="11" t="str">
        <f>PROPER(Sales_Data[[#This Row],[Month Name]])</f>
        <v>Agosto</v>
      </c>
      <c r="R1331" s="11" t="str">
        <f>PROPER(Sales_Data[[#This Row],[Sales Manager]])</f>
        <v>John Smith</v>
      </c>
    </row>
    <row r="1332" spans="1:18" x14ac:dyDescent="0.25">
      <c r="A1332">
        <v>11331</v>
      </c>
      <c r="B1332">
        <v>2022</v>
      </c>
      <c r="C1332" t="s">
        <v>73</v>
      </c>
      <c r="D1332" s="8">
        <v>44796</v>
      </c>
      <c r="E1332" t="s">
        <v>11</v>
      </c>
      <c r="F1332" t="s">
        <v>16</v>
      </c>
      <c r="G1332" t="s">
        <v>20</v>
      </c>
      <c r="H1332" s="9">
        <v>33</v>
      </c>
      <c r="I1332" s="9">
        <v>402</v>
      </c>
      <c r="J1332" s="10">
        <v>341700</v>
      </c>
      <c r="K1332" s="10">
        <v>61506</v>
      </c>
      <c r="L1332">
        <v>35</v>
      </c>
      <c r="M1332" s="8">
        <v>44743</v>
      </c>
      <c r="N1332" s="23">
        <v>1.7212297851837699E-3</v>
      </c>
      <c r="O1332" s="10" t="str">
        <f>IF(Sales_Data[[#This Row],[Total Profit]]&gt;0,"Profitable","Loss")</f>
        <v>Profitable</v>
      </c>
      <c r="P1332" s="10" t="str">
        <f>IF(Sales_Data[[#This Row],[Total Profit]]&gt;100000,"High Value",IF(Sales_Data[[#This Row],[Total Profit]]&gt;60000,"Medium","Low"))</f>
        <v>Medium</v>
      </c>
      <c r="Q1332" s="11" t="str">
        <f>PROPER(Sales_Data[[#This Row],[Month Name]])</f>
        <v>Agosto</v>
      </c>
      <c r="R1332" s="11" t="str">
        <f>PROPER(Sales_Data[[#This Row],[Sales Manager]])</f>
        <v>James Brown</v>
      </c>
    </row>
    <row r="1333" spans="1:18" x14ac:dyDescent="0.25">
      <c r="A1333">
        <v>11332</v>
      </c>
      <c r="B1333">
        <v>2022</v>
      </c>
      <c r="C1333" t="s">
        <v>73</v>
      </c>
      <c r="D1333" s="8">
        <v>44797</v>
      </c>
      <c r="E1333" t="s">
        <v>11</v>
      </c>
      <c r="F1333" t="s">
        <v>24</v>
      </c>
      <c r="G1333" t="s">
        <v>23</v>
      </c>
      <c r="H1333" s="9">
        <v>42</v>
      </c>
      <c r="I1333" s="9">
        <v>452</v>
      </c>
      <c r="J1333" s="10">
        <v>158200</v>
      </c>
      <c r="K1333" s="10">
        <v>30058</v>
      </c>
      <c r="L1333">
        <v>35</v>
      </c>
      <c r="M1333" s="8">
        <v>44743</v>
      </c>
      <c r="N1333" s="23">
        <v>7.9689362603474598E-4</v>
      </c>
      <c r="O1333" s="10" t="str">
        <f>IF(Sales_Data[[#This Row],[Total Profit]]&gt;0,"Profitable","Loss")</f>
        <v>Profitable</v>
      </c>
      <c r="P1333" s="10" t="str">
        <f>IF(Sales_Data[[#This Row],[Total Profit]]&gt;100000,"High Value",IF(Sales_Data[[#This Row],[Total Profit]]&gt;60000,"Medium","Low"))</f>
        <v>Low</v>
      </c>
      <c r="Q1333" s="11" t="str">
        <f>PROPER(Sales_Data[[#This Row],[Month Name]])</f>
        <v>Agosto</v>
      </c>
      <c r="R1333" s="11" t="str">
        <f>PROPER(Sales_Data[[#This Row],[Sales Manager]])</f>
        <v>Liam Lee</v>
      </c>
    </row>
    <row r="1334" spans="1:18" x14ac:dyDescent="0.25">
      <c r="A1334">
        <v>11333</v>
      </c>
      <c r="B1334">
        <v>2022</v>
      </c>
      <c r="C1334" t="s">
        <v>73</v>
      </c>
      <c r="D1334" s="8">
        <v>44798</v>
      </c>
      <c r="E1334" t="s">
        <v>11</v>
      </c>
      <c r="F1334" t="s">
        <v>24</v>
      </c>
      <c r="G1334" t="s">
        <v>13</v>
      </c>
      <c r="H1334" s="9">
        <v>29</v>
      </c>
      <c r="I1334" s="9">
        <v>411</v>
      </c>
      <c r="J1334" s="10">
        <v>308250</v>
      </c>
      <c r="K1334" s="10">
        <v>43155.000000000007</v>
      </c>
      <c r="L1334">
        <v>35</v>
      </c>
      <c r="M1334" s="8">
        <v>44743</v>
      </c>
      <c r="N1334" s="23">
        <v>1.55273362974217E-3</v>
      </c>
      <c r="O1334" s="10" t="str">
        <f>IF(Sales_Data[[#This Row],[Total Profit]]&gt;0,"Profitable","Loss")</f>
        <v>Profitable</v>
      </c>
      <c r="P1334" s="10" t="str">
        <f>IF(Sales_Data[[#This Row],[Total Profit]]&gt;100000,"High Value",IF(Sales_Data[[#This Row],[Total Profit]]&gt;60000,"Medium","Low"))</f>
        <v>Low</v>
      </c>
      <c r="Q1334" s="11" t="str">
        <f>PROPER(Sales_Data[[#This Row],[Month Name]])</f>
        <v>Agosto</v>
      </c>
      <c r="R1334" s="11" t="str">
        <f>PROPER(Sales_Data[[#This Row],[Sales Manager]])</f>
        <v>Liam Lee</v>
      </c>
    </row>
    <row r="1335" spans="1:18" x14ac:dyDescent="0.25">
      <c r="A1335">
        <v>11334</v>
      </c>
      <c r="B1335">
        <v>2022</v>
      </c>
      <c r="C1335" t="s">
        <v>73</v>
      </c>
      <c r="D1335" s="8">
        <v>44799</v>
      </c>
      <c r="E1335" t="s">
        <v>22</v>
      </c>
      <c r="F1335" t="s">
        <v>21</v>
      </c>
      <c r="G1335" t="s">
        <v>13</v>
      </c>
      <c r="H1335" s="9">
        <v>2</v>
      </c>
      <c r="I1335" s="9">
        <v>37</v>
      </c>
      <c r="J1335" s="10">
        <v>27750</v>
      </c>
      <c r="K1335" s="10">
        <v>11655</v>
      </c>
      <c r="L1335">
        <v>35</v>
      </c>
      <c r="M1335" s="8">
        <v>44743</v>
      </c>
      <c r="N1335" s="23">
        <v>1.39783806083845E-4</v>
      </c>
      <c r="O1335" s="10" t="str">
        <f>IF(Sales_Data[[#This Row],[Total Profit]]&gt;0,"Profitable","Loss")</f>
        <v>Profitable</v>
      </c>
      <c r="P1335" s="10" t="str">
        <f>IF(Sales_Data[[#This Row],[Total Profit]]&gt;100000,"High Value",IF(Sales_Data[[#This Row],[Total Profit]]&gt;60000,"Medium","Low"))</f>
        <v>Low</v>
      </c>
      <c r="Q1335" s="11" t="str">
        <f>PROPER(Sales_Data[[#This Row],[Month Name]])</f>
        <v>Agosto</v>
      </c>
      <c r="R1335" s="11" t="str">
        <f>PROPER(Sales_Data[[#This Row],[Sales Manager]])</f>
        <v>John Smith</v>
      </c>
    </row>
    <row r="1336" spans="1:18" x14ac:dyDescent="0.25">
      <c r="A1336">
        <v>11335</v>
      </c>
      <c r="B1336">
        <v>2022</v>
      </c>
      <c r="C1336" t="s">
        <v>73</v>
      </c>
      <c r="D1336" s="8">
        <v>44800</v>
      </c>
      <c r="E1336" t="s">
        <v>22</v>
      </c>
      <c r="F1336" t="s">
        <v>21</v>
      </c>
      <c r="G1336" t="s">
        <v>20</v>
      </c>
      <c r="H1336" s="9">
        <v>7</v>
      </c>
      <c r="I1336" s="9">
        <v>75</v>
      </c>
      <c r="J1336" s="10">
        <v>63750</v>
      </c>
      <c r="K1336" s="10">
        <v>21675</v>
      </c>
      <c r="L1336">
        <v>35</v>
      </c>
      <c r="M1336" s="8">
        <v>44743</v>
      </c>
      <c r="N1336" s="23">
        <v>3.2112495992234598E-4</v>
      </c>
      <c r="O1336" s="10" t="str">
        <f>IF(Sales_Data[[#This Row],[Total Profit]]&gt;0,"Profitable","Loss")</f>
        <v>Profitable</v>
      </c>
      <c r="P1336" s="10" t="str">
        <f>IF(Sales_Data[[#This Row],[Total Profit]]&gt;100000,"High Value",IF(Sales_Data[[#This Row],[Total Profit]]&gt;60000,"Medium","Low"))</f>
        <v>Low</v>
      </c>
      <c r="Q1336" s="11" t="str">
        <f>PROPER(Sales_Data[[#This Row],[Month Name]])</f>
        <v>Agosto</v>
      </c>
      <c r="R1336" s="11" t="str">
        <f>PROPER(Sales_Data[[#This Row],[Sales Manager]])</f>
        <v>John Smith</v>
      </c>
    </row>
    <row r="1337" spans="1:18" x14ac:dyDescent="0.25">
      <c r="A1337">
        <v>11336</v>
      </c>
      <c r="B1337">
        <v>2022</v>
      </c>
      <c r="C1337" t="s">
        <v>73</v>
      </c>
      <c r="D1337" s="8">
        <v>44801</v>
      </c>
      <c r="E1337" t="s">
        <v>14</v>
      </c>
      <c r="F1337" t="s">
        <v>16</v>
      </c>
      <c r="G1337" t="s">
        <v>15</v>
      </c>
      <c r="H1337" s="9">
        <v>6</v>
      </c>
      <c r="I1337" s="9">
        <v>97</v>
      </c>
      <c r="J1337" s="10">
        <v>48500</v>
      </c>
      <c r="K1337" s="10">
        <v>21825</v>
      </c>
      <c r="L1337">
        <v>36</v>
      </c>
      <c r="M1337" s="8">
        <v>44743</v>
      </c>
      <c r="N1337" s="23">
        <v>2.44306832254647E-4</v>
      </c>
      <c r="O1337" s="10" t="str">
        <f>IF(Sales_Data[[#This Row],[Total Profit]]&gt;0,"Profitable","Loss")</f>
        <v>Profitable</v>
      </c>
      <c r="P1337" s="10" t="str">
        <f>IF(Sales_Data[[#This Row],[Total Profit]]&gt;100000,"High Value",IF(Sales_Data[[#This Row],[Total Profit]]&gt;60000,"Medium","Low"))</f>
        <v>Low</v>
      </c>
      <c r="Q1337" s="11" t="str">
        <f>PROPER(Sales_Data[[#This Row],[Month Name]])</f>
        <v>Agosto</v>
      </c>
      <c r="R1337" s="11" t="str">
        <f>PROPER(Sales_Data[[#This Row],[Sales Manager]])</f>
        <v>James Brown</v>
      </c>
    </row>
    <row r="1338" spans="1:18" x14ac:dyDescent="0.25">
      <c r="A1338">
        <v>11337</v>
      </c>
      <c r="B1338">
        <v>2022</v>
      </c>
      <c r="C1338" t="s">
        <v>73</v>
      </c>
      <c r="D1338" s="8">
        <v>44802</v>
      </c>
      <c r="E1338" t="s">
        <v>19</v>
      </c>
      <c r="F1338" t="s">
        <v>24</v>
      </c>
      <c r="G1338" t="s">
        <v>20</v>
      </c>
      <c r="H1338" s="9">
        <v>41</v>
      </c>
      <c r="I1338" s="9">
        <v>467</v>
      </c>
      <c r="J1338" s="10">
        <v>396950</v>
      </c>
      <c r="K1338" s="10">
        <v>134963</v>
      </c>
      <c r="L1338">
        <v>36</v>
      </c>
      <c r="M1338" s="8">
        <v>44743</v>
      </c>
      <c r="N1338" s="23">
        <v>1.9995380837831401E-3</v>
      </c>
      <c r="O1338" s="10" t="str">
        <f>IF(Sales_Data[[#This Row],[Total Profit]]&gt;0,"Profitable","Loss")</f>
        <v>Profitable</v>
      </c>
      <c r="P1338" s="10" t="str">
        <f>IF(Sales_Data[[#This Row],[Total Profit]]&gt;100000,"High Value",IF(Sales_Data[[#This Row],[Total Profit]]&gt;60000,"Medium","Low"))</f>
        <v>High Value</v>
      </c>
      <c r="Q1338" s="11" t="str">
        <f>PROPER(Sales_Data[[#This Row],[Month Name]])</f>
        <v>Agosto</v>
      </c>
      <c r="R1338" s="11" t="str">
        <f>PROPER(Sales_Data[[#This Row],[Sales Manager]])</f>
        <v>Liam Lee</v>
      </c>
    </row>
    <row r="1339" spans="1:18" x14ac:dyDescent="0.25">
      <c r="A1339">
        <v>11338</v>
      </c>
      <c r="B1339">
        <v>2022</v>
      </c>
      <c r="C1339" t="s">
        <v>73</v>
      </c>
      <c r="D1339" s="8">
        <v>44803</v>
      </c>
      <c r="E1339" t="s">
        <v>25</v>
      </c>
      <c r="F1339" t="s">
        <v>12</v>
      </c>
      <c r="G1339" t="s">
        <v>20</v>
      </c>
      <c r="H1339" s="9">
        <v>3</v>
      </c>
      <c r="I1339" s="9">
        <v>72</v>
      </c>
      <c r="J1339" s="10">
        <v>61200</v>
      </c>
      <c r="K1339" s="10">
        <v>15912</v>
      </c>
      <c r="L1339">
        <v>36</v>
      </c>
      <c r="M1339" s="8">
        <v>44743</v>
      </c>
      <c r="N1339" s="23">
        <v>3.0827996152545199E-4</v>
      </c>
      <c r="O1339" s="10" t="str">
        <f>IF(Sales_Data[[#This Row],[Total Profit]]&gt;0,"Profitable","Loss")</f>
        <v>Profitable</v>
      </c>
      <c r="P1339" s="10" t="str">
        <f>IF(Sales_Data[[#This Row],[Total Profit]]&gt;100000,"High Value",IF(Sales_Data[[#This Row],[Total Profit]]&gt;60000,"Medium","Low"))</f>
        <v>Low</v>
      </c>
      <c r="Q1339" s="11" t="str">
        <f>PROPER(Sales_Data[[#This Row],[Month Name]])</f>
        <v>Agosto</v>
      </c>
      <c r="R1339" s="11" t="str">
        <f>PROPER(Sales_Data[[#This Row],[Sales Manager]])</f>
        <v>Emily White</v>
      </c>
    </row>
    <row r="1340" spans="1:18" x14ac:dyDescent="0.25">
      <c r="A1340">
        <v>11339</v>
      </c>
      <c r="B1340">
        <v>2022</v>
      </c>
      <c r="C1340" t="s">
        <v>73</v>
      </c>
      <c r="D1340" s="8">
        <v>44804</v>
      </c>
      <c r="E1340" t="s">
        <v>14</v>
      </c>
      <c r="F1340" t="s">
        <v>12</v>
      </c>
      <c r="G1340" t="s">
        <v>23</v>
      </c>
      <c r="H1340" s="9">
        <v>13</v>
      </c>
      <c r="I1340" s="9">
        <v>328</v>
      </c>
      <c r="J1340" s="10">
        <v>114800</v>
      </c>
      <c r="K1340" s="10">
        <v>43624</v>
      </c>
      <c r="L1340">
        <v>36</v>
      </c>
      <c r="M1340" s="8">
        <v>44743</v>
      </c>
      <c r="N1340" s="23">
        <v>5.7827679057388703E-4</v>
      </c>
      <c r="O1340" s="10" t="str">
        <f>IF(Sales_Data[[#This Row],[Total Profit]]&gt;0,"Profitable","Loss")</f>
        <v>Profitable</v>
      </c>
      <c r="P1340" s="10" t="str">
        <f>IF(Sales_Data[[#This Row],[Total Profit]]&gt;100000,"High Value",IF(Sales_Data[[#This Row],[Total Profit]]&gt;60000,"Medium","Low"))</f>
        <v>Low</v>
      </c>
      <c r="Q1340" s="11" t="str">
        <f>PROPER(Sales_Data[[#This Row],[Month Name]])</f>
        <v>Agosto</v>
      </c>
      <c r="R1340" s="11" t="str">
        <f>PROPER(Sales_Data[[#This Row],[Sales Manager]])</f>
        <v>Emily White</v>
      </c>
    </row>
    <row r="1341" spans="1:18" x14ac:dyDescent="0.25">
      <c r="A1341">
        <v>11340</v>
      </c>
      <c r="B1341">
        <v>2022</v>
      </c>
      <c r="C1341" t="s">
        <v>74</v>
      </c>
      <c r="D1341" s="8">
        <v>44805</v>
      </c>
      <c r="E1341" t="s">
        <v>25</v>
      </c>
      <c r="F1341" t="s">
        <v>12</v>
      </c>
      <c r="G1341" t="s">
        <v>13</v>
      </c>
      <c r="H1341" s="9">
        <v>9</v>
      </c>
      <c r="I1341" s="9">
        <v>142</v>
      </c>
      <c r="J1341" s="10">
        <v>106500</v>
      </c>
      <c r="K1341" s="10">
        <v>14910.000000000002</v>
      </c>
      <c r="L1341">
        <v>36</v>
      </c>
      <c r="M1341" s="8">
        <v>44743</v>
      </c>
      <c r="N1341" s="23">
        <v>5.3646758010556601E-4</v>
      </c>
      <c r="O1341" s="10" t="str">
        <f>IF(Sales_Data[[#This Row],[Total Profit]]&gt;0,"Profitable","Loss")</f>
        <v>Profitable</v>
      </c>
      <c r="P1341" s="10" t="str">
        <f>IF(Sales_Data[[#This Row],[Total Profit]]&gt;100000,"High Value",IF(Sales_Data[[#This Row],[Total Profit]]&gt;60000,"Medium","Low"))</f>
        <v>Low</v>
      </c>
      <c r="Q1341" s="11" t="str">
        <f>PROPER(Sales_Data[[#This Row],[Month Name]])</f>
        <v>Setembro</v>
      </c>
      <c r="R1341" s="11" t="str">
        <f>PROPER(Sales_Data[[#This Row],[Sales Manager]])</f>
        <v>Emily White</v>
      </c>
    </row>
    <row r="1342" spans="1:18" x14ac:dyDescent="0.25">
      <c r="A1342">
        <v>11341</v>
      </c>
      <c r="B1342">
        <v>2022</v>
      </c>
      <c r="C1342" t="s">
        <v>74</v>
      </c>
      <c r="D1342" s="8">
        <v>44806</v>
      </c>
      <c r="E1342" t="s">
        <v>19</v>
      </c>
      <c r="F1342" t="s">
        <v>12</v>
      </c>
      <c r="G1342" t="s">
        <v>13</v>
      </c>
      <c r="H1342" s="9">
        <v>7</v>
      </c>
      <c r="I1342" s="9">
        <v>89</v>
      </c>
      <c r="J1342" s="10">
        <v>66750</v>
      </c>
      <c r="K1342" s="10">
        <v>24697.5</v>
      </c>
      <c r="L1342">
        <v>36</v>
      </c>
      <c r="M1342" s="8">
        <v>44743</v>
      </c>
      <c r="N1342" s="23">
        <v>3.3623672274222101E-4</v>
      </c>
      <c r="O1342" s="10" t="str">
        <f>IF(Sales_Data[[#This Row],[Total Profit]]&gt;0,"Profitable","Loss")</f>
        <v>Profitable</v>
      </c>
      <c r="P1342" s="10" t="str">
        <f>IF(Sales_Data[[#This Row],[Total Profit]]&gt;100000,"High Value",IF(Sales_Data[[#This Row],[Total Profit]]&gt;60000,"Medium","Low"))</f>
        <v>Low</v>
      </c>
      <c r="Q1342" s="11" t="str">
        <f>PROPER(Sales_Data[[#This Row],[Month Name]])</f>
        <v>Setembro</v>
      </c>
      <c r="R1342" s="11" t="str">
        <f>PROPER(Sales_Data[[#This Row],[Sales Manager]])</f>
        <v>Emily White</v>
      </c>
    </row>
    <row r="1343" spans="1:18" x14ac:dyDescent="0.25">
      <c r="A1343">
        <v>11342</v>
      </c>
      <c r="B1343">
        <v>2022</v>
      </c>
      <c r="C1343" t="s">
        <v>74</v>
      </c>
      <c r="D1343" s="8">
        <v>44807</v>
      </c>
      <c r="E1343" t="s">
        <v>19</v>
      </c>
      <c r="F1343" t="s">
        <v>12</v>
      </c>
      <c r="G1343" t="s">
        <v>17</v>
      </c>
      <c r="H1343" s="9">
        <v>2</v>
      </c>
      <c r="I1343" s="9">
        <v>51</v>
      </c>
      <c r="J1343" s="10">
        <v>12750</v>
      </c>
      <c r="K1343" s="10">
        <v>2550</v>
      </c>
      <c r="L1343">
        <v>36</v>
      </c>
      <c r="M1343" s="8">
        <v>44743</v>
      </c>
      <c r="N1343" s="23">
        <v>6.4224991984469096E-5</v>
      </c>
      <c r="O1343" s="10" t="str">
        <f>IF(Sales_Data[[#This Row],[Total Profit]]&gt;0,"Profitable","Loss")</f>
        <v>Profitable</v>
      </c>
      <c r="P1343" s="10" t="str">
        <f>IF(Sales_Data[[#This Row],[Total Profit]]&gt;100000,"High Value",IF(Sales_Data[[#This Row],[Total Profit]]&gt;60000,"Medium","Low"))</f>
        <v>Low</v>
      </c>
      <c r="Q1343" s="11" t="str">
        <f>PROPER(Sales_Data[[#This Row],[Month Name]])</f>
        <v>Setembro</v>
      </c>
      <c r="R1343" s="11" t="str">
        <f>PROPER(Sales_Data[[#This Row],[Sales Manager]])</f>
        <v>Emily White</v>
      </c>
    </row>
    <row r="1344" spans="1:18" x14ac:dyDescent="0.25">
      <c r="A1344">
        <v>11343</v>
      </c>
      <c r="B1344">
        <v>2022</v>
      </c>
      <c r="C1344" t="s">
        <v>74</v>
      </c>
      <c r="D1344" s="8">
        <v>44808</v>
      </c>
      <c r="E1344" t="s">
        <v>22</v>
      </c>
      <c r="F1344" t="s">
        <v>12</v>
      </c>
      <c r="G1344" t="s">
        <v>15</v>
      </c>
      <c r="H1344" s="9">
        <v>8</v>
      </c>
      <c r="I1344" s="9">
        <v>259</v>
      </c>
      <c r="J1344" s="10">
        <v>129500</v>
      </c>
      <c r="K1344" s="10">
        <v>53095</v>
      </c>
      <c r="L1344">
        <v>37</v>
      </c>
      <c r="M1344" s="8">
        <v>44743</v>
      </c>
      <c r="N1344" s="23">
        <v>6.5232442839127495E-4</v>
      </c>
      <c r="O1344" s="10" t="str">
        <f>IF(Sales_Data[[#This Row],[Total Profit]]&gt;0,"Profitable","Loss")</f>
        <v>Profitable</v>
      </c>
      <c r="P1344" s="10" t="str">
        <f>IF(Sales_Data[[#This Row],[Total Profit]]&gt;100000,"High Value",IF(Sales_Data[[#This Row],[Total Profit]]&gt;60000,"Medium","Low"))</f>
        <v>Low</v>
      </c>
      <c r="Q1344" s="11" t="str">
        <f>PROPER(Sales_Data[[#This Row],[Month Name]])</f>
        <v>Setembro</v>
      </c>
      <c r="R1344" s="11" t="str">
        <f>PROPER(Sales_Data[[#This Row],[Sales Manager]])</f>
        <v>Emily White</v>
      </c>
    </row>
    <row r="1345" spans="1:18" x14ac:dyDescent="0.25">
      <c r="A1345">
        <v>11344</v>
      </c>
      <c r="B1345">
        <v>2022</v>
      </c>
      <c r="C1345" t="s">
        <v>74</v>
      </c>
      <c r="D1345" s="8">
        <v>44809</v>
      </c>
      <c r="E1345" t="s">
        <v>22</v>
      </c>
      <c r="F1345" t="s">
        <v>24</v>
      </c>
      <c r="G1345" t="s">
        <v>13</v>
      </c>
      <c r="H1345" s="9">
        <v>2</v>
      </c>
      <c r="I1345" s="9">
        <v>64</v>
      </c>
      <c r="J1345" s="10">
        <v>48000</v>
      </c>
      <c r="K1345" s="10">
        <v>4800</v>
      </c>
      <c r="L1345">
        <v>37</v>
      </c>
      <c r="M1345" s="8">
        <v>44743</v>
      </c>
      <c r="N1345" s="23">
        <v>2.41788205118001E-4</v>
      </c>
      <c r="O1345" s="10" t="str">
        <f>IF(Sales_Data[[#This Row],[Total Profit]]&gt;0,"Profitable","Loss")</f>
        <v>Profitable</v>
      </c>
      <c r="P1345" s="10" t="str">
        <f>IF(Sales_Data[[#This Row],[Total Profit]]&gt;100000,"High Value",IF(Sales_Data[[#This Row],[Total Profit]]&gt;60000,"Medium","Low"))</f>
        <v>Low</v>
      </c>
      <c r="Q1345" s="11" t="str">
        <f>PROPER(Sales_Data[[#This Row],[Month Name]])</f>
        <v>Setembro</v>
      </c>
      <c r="R1345" s="11" t="str">
        <f>PROPER(Sales_Data[[#This Row],[Sales Manager]])</f>
        <v>Liam Lee</v>
      </c>
    </row>
    <row r="1346" spans="1:18" x14ac:dyDescent="0.25">
      <c r="A1346">
        <v>11345</v>
      </c>
      <c r="B1346">
        <v>2022</v>
      </c>
      <c r="C1346" t="s">
        <v>74</v>
      </c>
      <c r="D1346" s="8">
        <v>44810</v>
      </c>
      <c r="E1346" t="s">
        <v>14</v>
      </c>
      <c r="F1346" t="s">
        <v>21</v>
      </c>
      <c r="G1346" t="s">
        <v>13</v>
      </c>
      <c r="H1346" s="9">
        <v>4</v>
      </c>
      <c r="I1346" s="9">
        <v>126</v>
      </c>
      <c r="J1346" s="10">
        <v>94500</v>
      </c>
      <c r="K1346" s="10">
        <v>13230.000000000002</v>
      </c>
      <c r="L1346">
        <v>37</v>
      </c>
      <c r="M1346" s="8">
        <v>44743</v>
      </c>
      <c r="N1346" s="23">
        <v>4.7602052882606498E-4</v>
      </c>
      <c r="O1346" s="10" t="str">
        <f>IF(Sales_Data[[#This Row],[Total Profit]]&gt;0,"Profitable","Loss")</f>
        <v>Profitable</v>
      </c>
      <c r="P1346" s="10" t="str">
        <f>IF(Sales_Data[[#This Row],[Total Profit]]&gt;100000,"High Value",IF(Sales_Data[[#This Row],[Total Profit]]&gt;60000,"Medium","Low"))</f>
        <v>Low</v>
      </c>
      <c r="Q1346" s="11" t="str">
        <f>PROPER(Sales_Data[[#This Row],[Month Name]])</f>
        <v>Setembro</v>
      </c>
      <c r="R1346" s="11" t="str">
        <f>PROPER(Sales_Data[[#This Row],[Sales Manager]])</f>
        <v>John Smith</v>
      </c>
    </row>
    <row r="1347" spans="1:18" x14ac:dyDescent="0.25">
      <c r="A1347">
        <v>11346</v>
      </c>
      <c r="B1347">
        <v>2022</v>
      </c>
      <c r="C1347" t="s">
        <v>74</v>
      </c>
      <c r="D1347" s="8">
        <v>44811</v>
      </c>
      <c r="E1347" t="s">
        <v>25</v>
      </c>
      <c r="F1347" t="s">
        <v>21</v>
      </c>
      <c r="G1347" t="s">
        <v>20</v>
      </c>
      <c r="H1347" s="9">
        <v>4</v>
      </c>
      <c r="I1347" s="9">
        <v>95</v>
      </c>
      <c r="J1347" s="10">
        <v>80750</v>
      </c>
      <c r="K1347" s="10">
        <v>20995</v>
      </c>
      <c r="L1347">
        <v>37</v>
      </c>
      <c r="M1347" s="8">
        <v>44743</v>
      </c>
      <c r="N1347" s="23">
        <v>4.0675828256830497E-4</v>
      </c>
      <c r="O1347" s="10" t="str">
        <f>IF(Sales_Data[[#This Row],[Total Profit]]&gt;0,"Profitable","Loss")</f>
        <v>Profitable</v>
      </c>
      <c r="P1347" s="10" t="str">
        <f>IF(Sales_Data[[#This Row],[Total Profit]]&gt;100000,"High Value",IF(Sales_Data[[#This Row],[Total Profit]]&gt;60000,"Medium","Low"))</f>
        <v>Low</v>
      </c>
      <c r="Q1347" s="11" t="str">
        <f>PROPER(Sales_Data[[#This Row],[Month Name]])</f>
        <v>Setembro</v>
      </c>
      <c r="R1347" s="11" t="str">
        <f>PROPER(Sales_Data[[#This Row],[Sales Manager]])</f>
        <v>John Smith</v>
      </c>
    </row>
    <row r="1348" spans="1:18" x14ac:dyDescent="0.25">
      <c r="A1348">
        <v>11347</v>
      </c>
      <c r="B1348">
        <v>2022</v>
      </c>
      <c r="C1348" t="s">
        <v>74</v>
      </c>
      <c r="D1348" s="8">
        <v>44812</v>
      </c>
      <c r="E1348" t="s">
        <v>19</v>
      </c>
      <c r="F1348" t="s">
        <v>16</v>
      </c>
      <c r="G1348" t="s">
        <v>15</v>
      </c>
      <c r="H1348" s="9">
        <v>5</v>
      </c>
      <c r="I1348" s="9">
        <v>190</v>
      </c>
      <c r="J1348" s="10">
        <v>95000</v>
      </c>
      <c r="K1348" s="10">
        <v>18050</v>
      </c>
      <c r="L1348">
        <v>37</v>
      </c>
      <c r="M1348" s="8">
        <v>44743</v>
      </c>
      <c r="N1348" s="23">
        <v>4.78539155962711E-4</v>
      </c>
      <c r="O1348" s="10" t="str">
        <f>IF(Sales_Data[[#This Row],[Total Profit]]&gt;0,"Profitable","Loss")</f>
        <v>Profitable</v>
      </c>
      <c r="P1348" s="10" t="str">
        <f>IF(Sales_Data[[#This Row],[Total Profit]]&gt;100000,"High Value",IF(Sales_Data[[#This Row],[Total Profit]]&gt;60000,"Medium","Low"))</f>
        <v>Low</v>
      </c>
      <c r="Q1348" s="11" t="str">
        <f>PROPER(Sales_Data[[#This Row],[Month Name]])</f>
        <v>Setembro</v>
      </c>
      <c r="R1348" s="11" t="str">
        <f>PROPER(Sales_Data[[#This Row],[Sales Manager]])</f>
        <v>James Brown</v>
      </c>
    </row>
    <row r="1349" spans="1:18" x14ac:dyDescent="0.25">
      <c r="A1349">
        <v>11348</v>
      </c>
      <c r="B1349">
        <v>2022</v>
      </c>
      <c r="C1349" t="s">
        <v>74</v>
      </c>
      <c r="D1349" s="8">
        <v>44813</v>
      </c>
      <c r="E1349" t="s">
        <v>19</v>
      </c>
      <c r="F1349" t="s">
        <v>21</v>
      </c>
      <c r="G1349" t="s">
        <v>20</v>
      </c>
      <c r="H1349" s="9">
        <v>26</v>
      </c>
      <c r="I1349" s="9">
        <v>497</v>
      </c>
      <c r="J1349" s="10">
        <v>422450</v>
      </c>
      <c r="K1349" s="10">
        <v>42245</v>
      </c>
      <c r="L1349">
        <v>37</v>
      </c>
      <c r="M1349" s="8">
        <v>44743</v>
      </c>
      <c r="N1349" s="23">
        <v>2.1279880677520799E-3</v>
      </c>
      <c r="O1349" s="10" t="str">
        <f>IF(Sales_Data[[#This Row],[Total Profit]]&gt;0,"Profitable","Loss")</f>
        <v>Profitable</v>
      </c>
      <c r="P1349" s="10" t="str">
        <f>IF(Sales_Data[[#This Row],[Total Profit]]&gt;100000,"High Value",IF(Sales_Data[[#This Row],[Total Profit]]&gt;60000,"Medium","Low"))</f>
        <v>Low</v>
      </c>
      <c r="Q1349" s="11" t="str">
        <f>PROPER(Sales_Data[[#This Row],[Month Name]])</f>
        <v>Setembro</v>
      </c>
      <c r="R1349" s="11" t="str">
        <f>PROPER(Sales_Data[[#This Row],[Sales Manager]])</f>
        <v>John Smith</v>
      </c>
    </row>
    <row r="1350" spans="1:18" x14ac:dyDescent="0.25">
      <c r="A1350">
        <v>11349</v>
      </c>
      <c r="B1350">
        <v>2022</v>
      </c>
      <c r="C1350" t="s">
        <v>74</v>
      </c>
      <c r="D1350" s="8">
        <v>44814</v>
      </c>
      <c r="E1350" t="s">
        <v>25</v>
      </c>
      <c r="F1350" t="s">
        <v>12</v>
      </c>
      <c r="G1350" t="s">
        <v>15</v>
      </c>
      <c r="H1350" s="9">
        <v>12</v>
      </c>
      <c r="I1350" s="9">
        <v>257</v>
      </c>
      <c r="J1350" s="10">
        <v>128500</v>
      </c>
      <c r="K1350" s="10">
        <v>33410</v>
      </c>
      <c r="L1350">
        <v>37</v>
      </c>
      <c r="M1350" s="8">
        <v>44743</v>
      </c>
      <c r="N1350" s="23">
        <v>6.4728717411798302E-4</v>
      </c>
      <c r="O1350" s="10" t="str">
        <f>IF(Sales_Data[[#This Row],[Total Profit]]&gt;0,"Profitable","Loss")</f>
        <v>Profitable</v>
      </c>
      <c r="P1350" s="10" t="str">
        <f>IF(Sales_Data[[#This Row],[Total Profit]]&gt;100000,"High Value",IF(Sales_Data[[#This Row],[Total Profit]]&gt;60000,"Medium","Low"))</f>
        <v>Low</v>
      </c>
      <c r="Q1350" s="11" t="str">
        <f>PROPER(Sales_Data[[#This Row],[Month Name]])</f>
        <v>Setembro</v>
      </c>
      <c r="R1350" s="11" t="str">
        <f>PROPER(Sales_Data[[#This Row],[Sales Manager]])</f>
        <v>Emily White</v>
      </c>
    </row>
    <row r="1351" spans="1:18" x14ac:dyDescent="0.25">
      <c r="A1351">
        <v>11350</v>
      </c>
      <c r="B1351">
        <v>2022</v>
      </c>
      <c r="C1351" t="s">
        <v>74</v>
      </c>
      <c r="D1351" s="8">
        <v>44815</v>
      </c>
      <c r="E1351" t="s">
        <v>25</v>
      </c>
      <c r="F1351" t="s">
        <v>21</v>
      </c>
      <c r="G1351" t="s">
        <v>17</v>
      </c>
      <c r="H1351" s="9">
        <v>23</v>
      </c>
      <c r="I1351" s="9">
        <v>415</v>
      </c>
      <c r="J1351" s="10">
        <v>103750</v>
      </c>
      <c r="K1351" s="10">
        <v>25937.5</v>
      </c>
      <c r="L1351">
        <v>38</v>
      </c>
      <c r="M1351" s="8">
        <v>44743</v>
      </c>
      <c r="N1351" s="23">
        <v>5.2261513085401397E-4</v>
      </c>
      <c r="O1351" s="10" t="str">
        <f>IF(Sales_Data[[#This Row],[Total Profit]]&gt;0,"Profitable","Loss")</f>
        <v>Profitable</v>
      </c>
      <c r="P1351" s="10" t="str">
        <f>IF(Sales_Data[[#This Row],[Total Profit]]&gt;100000,"High Value",IF(Sales_Data[[#This Row],[Total Profit]]&gt;60000,"Medium","Low"))</f>
        <v>Low</v>
      </c>
      <c r="Q1351" s="11" t="str">
        <f>PROPER(Sales_Data[[#This Row],[Month Name]])</f>
        <v>Setembro</v>
      </c>
      <c r="R1351" s="11" t="str">
        <f>PROPER(Sales_Data[[#This Row],[Sales Manager]])</f>
        <v>John Smith</v>
      </c>
    </row>
    <row r="1352" spans="1:18" x14ac:dyDescent="0.25">
      <c r="A1352">
        <v>11351</v>
      </c>
      <c r="B1352">
        <v>2022</v>
      </c>
      <c r="C1352" t="s">
        <v>74</v>
      </c>
      <c r="D1352" s="8">
        <v>44816</v>
      </c>
      <c r="E1352" t="s">
        <v>22</v>
      </c>
      <c r="F1352" t="s">
        <v>12</v>
      </c>
      <c r="G1352" t="s">
        <v>13</v>
      </c>
      <c r="H1352" s="9">
        <v>29</v>
      </c>
      <c r="I1352" s="9">
        <v>362</v>
      </c>
      <c r="J1352" s="10">
        <v>271500</v>
      </c>
      <c r="K1352" s="10">
        <v>97740</v>
      </c>
      <c r="L1352">
        <v>38</v>
      </c>
      <c r="M1352" s="8">
        <v>44743</v>
      </c>
      <c r="N1352" s="23">
        <v>1.3676145351987001E-3</v>
      </c>
      <c r="O1352" s="10" t="str">
        <f>IF(Sales_Data[[#This Row],[Total Profit]]&gt;0,"Profitable","Loss")</f>
        <v>Profitable</v>
      </c>
      <c r="P1352" s="10" t="str">
        <f>IF(Sales_Data[[#This Row],[Total Profit]]&gt;100000,"High Value",IF(Sales_Data[[#This Row],[Total Profit]]&gt;60000,"Medium","Low"))</f>
        <v>Medium</v>
      </c>
      <c r="Q1352" s="11" t="str">
        <f>PROPER(Sales_Data[[#This Row],[Month Name]])</f>
        <v>Setembro</v>
      </c>
      <c r="R1352" s="11" t="str">
        <f>PROPER(Sales_Data[[#This Row],[Sales Manager]])</f>
        <v>Emily White</v>
      </c>
    </row>
    <row r="1353" spans="1:18" x14ac:dyDescent="0.25">
      <c r="A1353">
        <v>11352</v>
      </c>
      <c r="B1353">
        <v>2022</v>
      </c>
      <c r="C1353" t="s">
        <v>74</v>
      </c>
      <c r="D1353" s="8">
        <v>44817</v>
      </c>
      <c r="E1353" t="s">
        <v>25</v>
      </c>
      <c r="F1353" t="s">
        <v>12</v>
      </c>
      <c r="G1353" t="s">
        <v>13</v>
      </c>
      <c r="H1353" s="9">
        <v>2</v>
      </c>
      <c r="I1353" s="9">
        <v>150</v>
      </c>
      <c r="J1353" s="10">
        <v>112500</v>
      </c>
      <c r="K1353" s="10">
        <v>49500</v>
      </c>
      <c r="L1353">
        <v>38</v>
      </c>
      <c r="M1353" s="8">
        <v>44743</v>
      </c>
      <c r="N1353" s="23">
        <v>5.6669110574531596E-4</v>
      </c>
      <c r="O1353" s="10" t="str">
        <f>IF(Sales_Data[[#This Row],[Total Profit]]&gt;0,"Profitable","Loss")</f>
        <v>Profitable</v>
      </c>
      <c r="P1353" s="10" t="str">
        <f>IF(Sales_Data[[#This Row],[Total Profit]]&gt;100000,"High Value",IF(Sales_Data[[#This Row],[Total Profit]]&gt;60000,"Medium","Low"))</f>
        <v>Low</v>
      </c>
      <c r="Q1353" s="11" t="str">
        <f>PROPER(Sales_Data[[#This Row],[Month Name]])</f>
        <v>Setembro</v>
      </c>
      <c r="R1353" s="11" t="str">
        <f>PROPER(Sales_Data[[#This Row],[Sales Manager]])</f>
        <v>Emily White</v>
      </c>
    </row>
    <row r="1354" spans="1:18" x14ac:dyDescent="0.25">
      <c r="A1354">
        <v>11353</v>
      </c>
      <c r="B1354">
        <v>2022</v>
      </c>
      <c r="C1354" t="s">
        <v>74</v>
      </c>
      <c r="D1354" s="8">
        <v>44818</v>
      </c>
      <c r="E1354" t="s">
        <v>11</v>
      </c>
      <c r="F1354" t="s">
        <v>18</v>
      </c>
      <c r="G1354" t="s">
        <v>15</v>
      </c>
      <c r="H1354" s="9">
        <v>2</v>
      </c>
      <c r="I1354" s="9">
        <v>142</v>
      </c>
      <c r="J1354" s="10">
        <v>71000</v>
      </c>
      <c r="K1354" s="10">
        <v>29110</v>
      </c>
      <c r="L1354">
        <v>38</v>
      </c>
      <c r="M1354" s="8">
        <v>44743</v>
      </c>
      <c r="N1354" s="23">
        <v>3.5764505340371002E-4</v>
      </c>
      <c r="O1354" s="10" t="str">
        <f>IF(Sales_Data[[#This Row],[Total Profit]]&gt;0,"Profitable","Loss")</f>
        <v>Profitable</v>
      </c>
      <c r="P1354" s="10" t="str">
        <f>IF(Sales_Data[[#This Row],[Total Profit]]&gt;100000,"High Value",IF(Sales_Data[[#This Row],[Total Profit]]&gt;60000,"Medium","Low"))</f>
        <v>Low</v>
      </c>
      <c r="Q1354" s="11" t="str">
        <f>PROPER(Sales_Data[[#This Row],[Month Name]])</f>
        <v>Setembro</v>
      </c>
      <c r="R1354" s="11" t="str">
        <f>PROPER(Sales_Data[[#This Row],[Sales Manager]])</f>
        <v>Jane Doe</v>
      </c>
    </row>
    <row r="1355" spans="1:18" x14ac:dyDescent="0.25">
      <c r="A1355">
        <v>11354</v>
      </c>
      <c r="B1355">
        <v>2022</v>
      </c>
      <c r="C1355" t="s">
        <v>74</v>
      </c>
      <c r="D1355" s="8">
        <v>44819</v>
      </c>
      <c r="E1355" t="s">
        <v>19</v>
      </c>
      <c r="F1355" t="s">
        <v>21</v>
      </c>
      <c r="G1355" t="s">
        <v>23</v>
      </c>
      <c r="H1355" s="9">
        <v>6</v>
      </c>
      <c r="I1355" s="9">
        <v>183</v>
      </c>
      <c r="J1355" s="10">
        <v>64050</v>
      </c>
      <c r="K1355" s="10">
        <v>14091</v>
      </c>
      <c r="L1355">
        <v>38</v>
      </c>
      <c r="M1355" s="8">
        <v>44743</v>
      </c>
      <c r="N1355" s="23">
        <v>3.2263613620433297E-4</v>
      </c>
      <c r="O1355" s="10" t="str">
        <f>IF(Sales_Data[[#This Row],[Total Profit]]&gt;0,"Profitable","Loss")</f>
        <v>Profitable</v>
      </c>
      <c r="P1355" s="10" t="str">
        <f>IF(Sales_Data[[#This Row],[Total Profit]]&gt;100000,"High Value",IF(Sales_Data[[#This Row],[Total Profit]]&gt;60000,"Medium","Low"))</f>
        <v>Low</v>
      </c>
      <c r="Q1355" s="11" t="str">
        <f>PROPER(Sales_Data[[#This Row],[Month Name]])</f>
        <v>Setembro</v>
      </c>
      <c r="R1355" s="11" t="str">
        <f>PROPER(Sales_Data[[#This Row],[Sales Manager]])</f>
        <v>John Smith</v>
      </c>
    </row>
    <row r="1356" spans="1:18" x14ac:dyDescent="0.25">
      <c r="A1356">
        <v>11355</v>
      </c>
      <c r="B1356">
        <v>2022</v>
      </c>
      <c r="C1356" t="s">
        <v>74</v>
      </c>
      <c r="D1356" s="8">
        <v>44820</v>
      </c>
      <c r="E1356" t="s">
        <v>14</v>
      </c>
      <c r="F1356" t="s">
        <v>21</v>
      </c>
      <c r="G1356" t="s">
        <v>13</v>
      </c>
      <c r="H1356" s="9">
        <v>45</v>
      </c>
      <c r="I1356" s="9">
        <v>474</v>
      </c>
      <c r="J1356" s="10">
        <v>355500</v>
      </c>
      <c r="K1356" s="10">
        <v>63990</v>
      </c>
      <c r="L1356">
        <v>38</v>
      </c>
      <c r="M1356" s="8">
        <v>44743</v>
      </c>
      <c r="N1356" s="23">
        <v>1.7907438941552E-3</v>
      </c>
      <c r="O1356" s="10" t="str">
        <f>IF(Sales_Data[[#This Row],[Total Profit]]&gt;0,"Profitable","Loss")</f>
        <v>Profitable</v>
      </c>
      <c r="P1356" s="10" t="str">
        <f>IF(Sales_Data[[#This Row],[Total Profit]]&gt;100000,"High Value",IF(Sales_Data[[#This Row],[Total Profit]]&gt;60000,"Medium","Low"))</f>
        <v>Medium</v>
      </c>
      <c r="Q1356" s="11" t="str">
        <f>PROPER(Sales_Data[[#This Row],[Month Name]])</f>
        <v>Setembro</v>
      </c>
      <c r="R1356" s="11" t="str">
        <f>PROPER(Sales_Data[[#This Row],[Sales Manager]])</f>
        <v>John Smith</v>
      </c>
    </row>
    <row r="1357" spans="1:18" x14ac:dyDescent="0.25">
      <c r="A1357">
        <v>11356</v>
      </c>
      <c r="B1357">
        <v>2022</v>
      </c>
      <c r="C1357" t="s">
        <v>74</v>
      </c>
      <c r="D1357" s="8">
        <v>44821</v>
      </c>
      <c r="E1357" t="s">
        <v>22</v>
      </c>
      <c r="F1357" t="s">
        <v>18</v>
      </c>
      <c r="G1357" t="s">
        <v>15</v>
      </c>
      <c r="H1357" s="9">
        <v>20</v>
      </c>
      <c r="I1357" s="9">
        <v>224</v>
      </c>
      <c r="J1357" s="10">
        <v>112000</v>
      </c>
      <c r="K1357" s="10">
        <v>21280</v>
      </c>
      <c r="L1357">
        <v>38</v>
      </c>
      <c r="M1357" s="8">
        <v>44743</v>
      </c>
      <c r="N1357" s="23">
        <v>5.6417247860866999E-4</v>
      </c>
      <c r="O1357" s="10" t="str">
        <f>IF(Sales_Data[[#This Row],[Total Profit]]&gt;0,"Profitable","Loss")</f>
        <v>Profitable</v>
      </c>
      <c r="P1357" s="10" t="str">
        <f>IF(Sales_Data[[#This Row],[Total Profit]]&gt;100000,"High Value",IF(Sales_Data[[#This Row],[Total Profit]]&gt;60000,"Medium","Low"))</f>
        <v>Low</v>
      </c>
      <c r="Q1357" s="11" t="str">
        <f>PROPER(Sales_Data[[#This Row],[Month Name]])</f>
        <v>Setembro</v>
      </c>
      <c r="R1357" s="11" t="str">
        <f>PROPER(Sales_Data[[#This Row],[Sales Manager]])</f>
        <v>Jane Doe</v>
      </c>
    </row>
    <row r="1358" spans="1:18" x14ac:dyDescent="0.25">
      <c r="A1358">
        <v>11357</v>
      </c>
      <c r="B1358">
        <v>2022</v>
      </c>
      <c r="C1358" t="s">
        <v>74</v>
      </c>
      <c r="D1358" s="8">
        <v>44822</v>
      </c>
      <c r="E1358" t="s">
        <v>22</v>
      </c>
      <c r="F1358" t="s">
        <v>18</v>
      </c>
      <c r="G1358" t="s">
        <v>13</v>
      </c>
      <c r="H1358" s="9">
        <v>1</v>
      </c>
      <c r="I1358" s="9">
        <v>26</v>
      </c>
      <c r="J1358" s="10">
        <v>19500</v>
      </c>
      <c r="K1358" s="10">
        <v>7994.9999999999991</v>
      </c>
      <c r="L1358">
        <v>39</v>
      </c>
      <c r="M1358" s="8">
        <v>44743</v>
      </c>
      <c r="N1358" s="23">
        <v>9.8226458329188097E-5</v>
      </c>
      <c r="O1358" s="10" t="str">
        <f>IF(Sales_Data[[#This Row],[Total Profit]]&gt;0,"Profitable","Loss")</f>
        <v>Profitable</v>
      </c>
      <c r="P1358" s="10" t="str">
        <f>IF(Sales_Data[[#This Row],[Total Profit]]&gt;100000,"High Value",IF(Sales_Data[[#This Row],[Total Profit]]&gt;60000,"Medium","Low"))</f>
        <v>Low</v>
      </c>
      <c r="Q1358" s="11" t="str">
        <f>PROPER(Sales_Data[[#This Row],[Month Name]])</f>
        <v>Setembro</v>
      </c>
      <c r="R1358" s="11" t="str">
        <f>PROPER(Sales_Data[[#This Row],[Sales Manager]])</f>
        <v>Jane Doe</v>
      </c>
    </row>
    <row r="1359" spans="1:18" x14ac:dyDescent="0.25">
      <c r="A1359">
        <v>11358</v>
      </c>
      <c r="B1359">
        <v>2022</v>
      </c>
      <c r="C1359" t="s">
        <v>74</v>
      </c>
      <c r="D1359" s="8">
        <v>44823</v>
      </c>
      <c r="E1359" t="s">
        <v>14</v>
      </c>
      <c r="F1359" t="s">
        <v>18</v>
      </c>
      <c r="G1359" t="s">
        <v>15</v>
      </c>
      <c r="H1359" s="9">
        <v>25</v>
      </c>
      <c r="I1359" s="9">
        <v>292</v>
      </c>
      <c r="J1359" s="10">
        <v>146000</v>
      </c>
      <c r="K1359" s="10">
        <v>54020</v>
      </c>
      <c r="L1359">
        <v>39</v>
      </c>
      <c r="M1359" s="8">
        <v>44743</v>
      </c>
      <c r="N1359" s="23">
        <v>7.3543912390058798E-4</v>
      </c>
      <c r="O1359" s="10" t="str">
        <f>IF(Sales_Data[[#This Row],[Total Profit]]&gt;0,"Profitable","Loss")</f>
        <v>Profitable</v>
      </c>
      <c r="P1359" s="10" t="str">
        <f>IF(Sales_Data[[#This Row],[Total Profit]]&gt;100000,"High Value",IF(Sales_Data[[#This Row],[Total Profit]]&gt;60000,"Medium","Low"))</f>
        <v>Low</v>
      </c>
      <c r="Q1359" s="11" t="str">
        <f>PROPER(Sales_Data[[#This Row],[Month Name]])</f>
        <v>Setembro</v>
      </c>
      <c r="R1359" s="11" t="str">
        <f>PROPER(Sales_Data[[#This Row],[Sales Manager]])</f>
        <v>Jane Doe</v>
      </c>
    </row>
    <row r="1360" spans="1:18" x14ac:dyDescent="0.25">
      <c r="A1360">
        <v>11359</v>
      </c>
      <c r="B1360">
        <v>2022</v>
      </c>
      <c r="C1360" t="s">
        <v>74</v>
      </c>
      <c r="D1360" s="8">
        <v>44824</v>
      </c>
      <c r="E1360" t="s">
        <v>22</v>
      </c>
      <c r="F1360" t="s">
        <v>21</v>
      </c>
      <c r="G1360" t="s">
        <v>20</v>
      </c>
      <c r="H1360" s="9">
        <v>13</v>
      </c>
      <c r="I1360" s="9">
        <v>137</v>
      </c>
      <c r="J1360" s="10">
        <v>116450</v>
      </c>
      <c r="K1360" s="10">
        <v>38428.5</v>
      </c>
      <c r="L1360">
        <v>39</v>
      </c>
      <c r="M1360" s="8">
        <v>44743</v>
      </c>
      <c r="N1360" s="23">
        <v>5.8658826012481804E-4</v>
      </c>
      <c r="O1360" s="10" t="str">
        <f>IF(Sales_Data[[#This Row],[Total Profit]]&gt;0,"Profitable","Loss")</f>
        <v>Profitable</v>
      </c>
      <c r="P1360" s="10" t="str">
        <f>IF(Sales_Data[[#This Row],[Total Profit]]&gt;100000,"High Value",IF(Sales_Data[[#This Row],[Total Profit]]&gt;60000,"Medium","Low"))</f>
        <v>Low</v>
      </c>
      <c r="Q1360" s="11" t="str">
        <f>PROPER(Sales_Data[[#This Row],[Month Name]])</f>
        <v>Setembro</v>
      </c>
      <c r="R1360" s="11" t="str">
        <f>PROPER(Sales_Data[[#This Row],[Sales Manager]])</f>
        <v>John Smith</v>
      </c>
    </row>
    <row r="1361" spans="1:18" x14ac:dyDescent="0.25">
      <c r="A1361">
        <v>11360</v>
      </c>
      <c r="B1361">
        <v>2022</v>
      </c>
      <c r="C1361" t="s">
        <v>74</v>
      </c>
      <c r="D1361" s="8">
        <v>44825</v>
      </c>
      <c r="E1361" t="s">
        <v>25</v>
      </c>
      <c r="F1361" t="s">
        <v>18</v>
      </c>
      <c r="G1361" t="s">
        <v>17</v>
      </c>
      <c r="H1361" s="9">
        <v>5</v>
      </c>
      <c r="I1361" s="9">
        <v>365</v>
      </c>
      <c r="J1361" s="10">
        <v>91250</v>
      </c>
      <c r="K1361" s="10">
        <v>38325</v>
      </c>
      <c r="L1361">
        <v>39</v>
      </c>
      <c r="M1361" s="8">
        <v>44743</v>
      </c>
      <c r="N1361" s="23">
        <v>4.5964945243786697E-4</v>
      </c>
      <c r="O1361" s="10" t="str">
        <f>IF(Sales_Data[[#This Row],[Total Profit]]&gt;0,"Profitable","Loss")</f>
        <v>Profitable</v>
      </c>
      <c r="P1361" s="10" t="str">
        <f>IF(Sales_Data[[#This Row],[Total Profit]]&gt;100000,"High Value",IF(Sales_Data[[#This Row],[Total Profit]]&gt;60000,"Medium","Low"))</f>
        <v>Low</v>
      </c>
      <c r="Q1361" s="11" t="str">
        <f>PROPER(Sales_Data[[#This Row],[Month Name]])</f>
        <v>Setembro</v>
      </c>
      <c r="R1361" s="11" t="str">
        <f>PROPER(Sales_Data[[#This Row],[Sales Manager]])</f>
        <v>Jane Doe</v>
      </c>
    </row>
    <row r="1362" spans="1:18" x14ac:dyDescent="0.25">
      <c r="A1362">
        <v>11361</v>
      </c>
      <c r="B1362">
        <v>2022</v>
      </c>
      <c r="C1362" t="s">
        <v>74</v>
      </c>
      <c r="D1362" s="8">
        <v>44826</v>
      </c>
      <c r="E1362" t="s">
        <v>22</v>
      </c>
      <c r="F1362" t="s">
        <v>18</v>
      </c>
      <c r="G1362" t="s">
        <v>15</v>
      </c>
      <c r="H1362" s="9">
        <v>18</v>
      </c>
      <c r="I1362" s="9">
        <v>239</v>
      </c>
      <c r="J1362" s="10">
        <v>119500</v>
      </c>
      <c r="K1362" s="10">
        <v>22705</v>
      </c>
      <c r="L1362">
        <v>39</v>
      </c>
      <c r="M1362" s="8">
        <v>44743</v>
      </c>
      <c r="N1362" s="23">
        <v>6.0195188565835805E-4</v>
      </c>
      <c r="O1362" s="10" t="str">
        <f>IF(Sales_Data[[#This Row],[Total Profit]]&gt;0,"Profitable","Loss")</f>
        <v>Profitable</v>
      </c>
      <c r="P1362" s="10" t="str">
        <f>IF(Sales_Data[[#This Row],[Total Profit]]&gt;100000,"High Value",IF(Sales_Data[[#This Row],[Total Profit]]&gt;60000,"Medium","Low"))</f>
        <v>Low</v>
      </c>
      <c r="Q1362" s="11" t="str">
        <f>PROPER(Sales_Data[[#This Row],[Month Name]])</f>
        <v>Setembro</v>
      </c>
      <c r="R1362" s="11" t="str">
        <f>PROPER(Sales_Data[[#This Row],[Sales Manager]])</f>
        <v>Jane Doe</v>
      </c>
    </row>
    <row r="1363" spans="1:18" x14ac:dyDescent="0.25">
      <c r="A1363">
        <v>11362</v>
      </c>
      <c r="B1363">
        <v>2022</v>
      </c>
      <c r="C1363" t="s">
        <v>74</v>
      </c>
      <c r="D1363" s="8">
        <v>44827</v>
      </c>
      <c r="E1363" t="s">
        <v>11</v>
      </c>
      <c r="F1363" t="s">
        <v>21</v>
      </c>
      <c r="G1363" t="s">
        <v>23</v>
      </c>
      <c r="H1363" s="9">
        <v>25</v>
      </c>
      <c r="I1363" s="9">
        <v>279</v>
      </c>
      <c r="J1363" s="10">
        <v>97650</v>
      </c>
      <c r="K1363" s="10">
        <v>22459.5</v>
      </c>
      <c r="L1363">
        <v>39</v>
      </c>
      <c r="M1363" s="8">
        <v>44743</v>
      </c>
      <c r="N1363" s="23">
        <v>4.9188787978693405E-4</v>
      </c>
      <c r="O1363" s="10" t="str">
        <f>IF(Sales_Data[[#This Row],[Total Profit]]&gt;0,"Profitable","Loss")</f>
        <v>Profitable</v>
      </c>
      <c r="P1363" s="10" t="str">
        <f>IF(Sales_Data[[#This Row],[Total Profit]]&gt;100000,"High Value",IF(Sales_Data[[#This Row],[Total Profit]]&gt;60000,"Medium","Low"))</f>
        <v>Low</v>
      </c>
      <c r="Q1363" s="11" t="str">
        <f>PROPER(Sales_Data[[#This Row],[Month Name]])</f>
        <v>Setembro</v>
      </c>
      <c r="R1363" s="11" t="str">
        <f>PROPER(Sales_Data[[#This Row],[Sales Manager]])</f>
        <v>John Smith</v>
      </c>
    </row>
    <row r="1364" spans="1:18" x14ac:dyDescent="0.25">
      <c r="A1364">
        <v>11363</v>
      </c>
      <c r="B1364">
        <v>2022</v>
      </c>
      <c r="C1364" t="s">
        <v>74</v>
      </c>
      <c r="D1364" s="8">
        <v>44828</v>
      </c>
      <c r="E1364" t="s">
        <v>25</v>
      </c>
      <c r="F1364" t="s">
        <v>24</v>
      </c>
      <c r="G1364" t="s">
        <v>15</v>
      </c>
      <c r="H1364" s="9">
        <v>11</v>
      </c>
      <c r="I1364" s="9">
        <v>301</v>
      </c>
      <c r="J1364" s="10">
        <v>150500</v>
      </c>
      <c r="K1364" s="10">
        <v>15050</v>
      </c>
      <c r="L1364">
        <v>39</v>
      </c>
      <c r="M1364" s="8">
        <v>44743</v>
      </c>
      <c r="N1364" s="23">
        <v>7.5810676813040003E-4</v>
      </c>
      <c r="O1364" s="10" t="str">
        <f>IF(Sales_Data[[#This Row],[Total Profit]]&gt;0,"Profitable","Loss")</f>
        <v>Profitable</v>
      </c>
      <c r="P1364" s="10" t="str">
        <f>IF(Sales_Data[[#This Row],[Total Profit]]&gt;100000,"High Value",IF(Sales_Data[[#This Row],[Total Profit]]&gt;60000,"Medium","Low"))</f>
        <v>Low</v>
      </c>
      <c r="Q1364" s="11" t="str">
        <f>PROPER(Sales_Data[[#This Row],[Month Name]])</f>
        <v>Setembro</v>
      </c>
      <c r="R1364" s="11" t="str">
        <f>PROPER(Sales_Data[[#This Row],[Sales Manager]])</f>
        <v>Liam Lee</v>
      </c>
    </row>
    <row r="1365" spans="1:18" x14ac:dyDescent="0.25">
      <c r="A1365">
        <v>11364</v>
      </c>
      <c r="B1365">
        <v>2022</v>
      </c>
      <c r="C1365" t="s">
        <v>74</v>
      </c>
      <c r="D1365" s="8">
        <v>44829</v>
      </c>
      <c r="E1365" t="s">
        <v>19</v>
      </c>
      <c r="F1365" t="s">
        <v>24</v>
      </c>
      <c r="G1365" t="s">
        <v>15</v>
      </c>
      <c r="H1365" s="9">
        <v>2</v>
      </c>
      <c r="I1365" s="9">
        <v>34</v>
      </c>
      <c r="J1365" s="10">
        <v>17000</v>
      </c>
      <c r="K1365" s="10">
        <v>1700</v>
      </c>
      <c r="L1365">
        <v>40</v>
      </c>
      <c r="M1365" s="8">
        <v>44743</v>
      </c>
      <c r="N1365" s="23">
        <v>8.5633322645958804E-5</v>
      </c>
      <c r="O1365" s="10" t="str">
        <f>IF(Sales_Data[[#This Row],[Total Profit]]&gt;0,"Profitable","Loss")</f>
        <v>Profitable</v>
      </c>
      <c r="P1365" s="10" t="str">
        <f>IF(Sales_Data[[#This Row],[Total Profit]]&gt;100000,"High Value",IF(Sales_Data[[#This Row],[Total Profit]]&gt;60000,"Medium","Low"))</f>
        <v>Low</v>
      </c>
      <c r="Q1365" s="11" t="str">
        <f>PROPER(Sales_Data[[#This Row],[Month Name]])</f>
        <v>Setembro</v>
      </c>
      <c r="R1365" s="11" t="str">
        <f>PROPER(Sales_Data[[#This Row],[Sales Manager]])</f>
        <v>Liam Lee</v>
      </c>
    </row>
    <row r="1366" spans="1:18" x14ac:dyDescent="0.25">
      <c r="A1366">
        <v>11365</v>
      </c>
      <c r="B1366">
        <v>2022</v>
      </c>
      <c r="C1366" t="s">
        <v>74</v>
      </c>
      <c r="D1366" s="8">
        <v>44830</v>
      </c>
      <c r="E1366" t="s">
        <v>22</v>
      </c>
      <c r="F1366" t="s">
        <v>12</v>
      </c>
      <c r="G1366" t="s">
        <v>17</v>
      </c>
      <c r="H1366" s="9">
        <v>25</v>
      </c>
      <c r="I1366" s="9">
        <v>451</v>
      </c>
      <c r="J1366" s="10">
        <v>112750</v>
      </c>
      <c r="K1366" s="10">
        <v>43972.5</v>
      </c>
      <c r="L1366">
        <v>40</v>
      </c>
      <c r="M1366" s="8">
        <v>44743</v>
      </c>
      <c r="N1366" s="23">
        <v>5.6795041931363905E-4</v>
      </c>
      <c r="O1366" s="10" t="str">
        <f>IF(Sales_Data[[#This Row],[Total Profit]]&gt;0,"Profitable","Loss")</f>
        <v>Profitable</v>
      </c>
      <c r="P1366" s="10" t="str">
        <f>IF(Sales_Data[[#This Row],[Total Profit]]&gt;100000,"High Value",IF(Sales_Data[[#This Row],[Total Profit]]&gt;60000,"Medium","Low"))</f>
        <v>Low</v>
      </c>
      <c r="Q1366" s="11" t="str">
        <f>PROPER(Sales_Data[[#This Row],[Month Name]])</f>
        <v>Setembro</v>
      </c>
      <c r="R1366" s="11" t="str">
        <f>PROPER(Sales_Data[[#This Row],[Sales Manager]])</f>
        <v>Emily White</v>
      </c>
    </row>
    <row r="1367" spans="1:18" x14ac:dyDescent="0.25">
      <c r="A1367">
        <v>11366</v>
      </c>
      <c r="B1367">
        <v>2022</v>
      </c>
      <c r="C1367" t="s">
        <v>74</v>
      </c>
      <c r="D1367" s="8">
        <v>44831</v>
      </c>
      <c r="E1367" t="s">
        <v>25</v>
      </c>
      <c r="F1367" t="s">
        <v>12</v>
      </c>
      <c r="G1367" t="s">
        <v>13</v>
      </c>
      <c r="H1367" s="9">
        <v>4</v>
      </c>
      <c r="I1367" s="9">
        <v>92</v>
      </c>
      <c r="J1367" s="10">
        <v>69000</v>
      </c>
      <c r="K1367" s="10">
        <v>17250</v>
      </c>
      <c r="L1367">
        <v>40</v>
      </c>
      <c r="M1367" s="8">
        <v>44743</v>
      </c>
      <c r="N1367" s="23">
        <v>3.4757054485712698E-4</v>
      </c>
      <c r="O1367" s="10" t="str">
        <f>IF(Sales_Data[[#This Row],[Total Profit]]&gt;0,"Profitable","Loss")</f>
        <v>Profitable</v>
      </c>
      <c r="P1367" s="10" t="str">
        <f>IF(Sales_Data[[#This Row],[Total Profit]]&gt;100000,"High Value",IF(Sales_Data[[#This Row],[Total Profit]]&gt;60000,"Medium","Low"))</f>
        <v>Low</v>
      </c>
      <c r="Q1367" s="11" t="str">
        <f>PROPER(Sales_Data[[#This Row],[Month Name]])</f>
        <v>Setembro</v>
      </c>
      <c r="R1367" s="11" t="str">
        <f>PROPER(Sales_Data[[#This Row],[Sales Manager]])</f>
        <v>Emily White</v>
      </c>
    </row>
    <row r="1368" spans="1:18" x14ac:dyDescent="0.25">
      <c r="A1368">
        <v>11367</v>
      </c>
      <c r="B1368">
        <v>2022</v>
      </c>
      <c r="C1368" t="s">
        <v>74</v>
      </c>
      <c r="D1368" s="8">
        <v>44832</v>
      </c>
      <c r="E1368" t="s">
        <v>25</v>
      </c>
      <c r="F1368" t="s">
        <v>16</v>
      </c>
      <c r="G1368" t="s">
        <v>13</v>
      </c>
      <c r="H1368" s="9">
        <v>15</v>
      </c>
      <c r="I1368" s="9">
        <v>185</v>
      </c>
      <c r="J1368" s="10">
        <v>138750</v>
      </c>
      <c r="K1368" s="10">
        <v>22200</v>
      </c>
      <c r="L1368">
        <v>40</v>
      </c>
      <c r="M1368" s="8">
        <v>44743</v>
      </c>
      <c r="N1368" s="23">
        <v>6.9891903041922302E-4</v>
      </c>
      <c r="O1368" s="10" t="str">
        <f>IF(Sales_Data[[#This Row],[Total Profit]]&gt;0,"Profitable","Loss")</f>
        <v>Profitable</v>
      </c>
      <c r="P1368" s="10" t="str">
        <f>IF(Sales_Data[[#This Row],[Total Profit]]&gt;100000,"High Value",IF(Sales_Data[[#This Row],[Total Profit]]&gt;60000,"Medium","Low"))</f>
        <v>Low</v>
      </c>
      <c r="Q1368" s="11" t="str">
        <f>PROPER(Sales_Data[[#This Row],[Month Name]])</f>
        <v>Setembro</v>
      </c>
      <c r="R1368" s="11" t="str">
        <f>PROPER(Sales_Data[[#This Row],[Sales Manager]])</f>
        <v>James Brown</v>
      </c>
    </row>
    <row r="1369" spans="1:18" x14ac:dyDescent="0.25">
      <c r="A1369">
        <v>11368</v>
      </c>
      <c r="B1369">
        <v>2022</v>
      </c>
      <c r="C1369" t="s">
        <v>74</v>
      </c>
      <c r="D1369" s="8">
        <v>44833</v>
      </c>
      <c r="E1369" t="s">
        <v>25</v>
      </c>
      <c r="F1369" t="s">
        <v>18</v>
      </c>
      <c r="G1369" t="s">
        <v>23</v>
      </c>
      <c r="H1369" s="9">
        <v>11</v>
      </c>
      <c r="I1369" s="9">
        <v>290</v>
      </c>
      <c r="J1369" s="10">
        <v>101500</v>
      </c>
      <c r="K1369" s="10">
        <v>33495</v>
      </c>
      <c r="L1369">
        <v>40</v>
      </c>
      <c r="M1369" s="8">
        <v>44743</v>
      </c>
      <c r="N1369" s="23">
        <v>5.1128130873910702E-4</v>
      </c>
      <c r="O1369" s="10" t="str">
        <f>IF(Sales_Data[[#This Row],[Total Profit]]&gt;0,"Profitable","Loss")</f>
        <v>Profitable</v>
      </c>
      <c r="P1369" s="10" t="str">
        <f>IF(Sales_Data[[#This Row],[Total Profit]]&gt;100000,"High Value",IF(Sales_Data[[#This Row],[Total Profit]]&gt;60000,"Medium","Low"))</f>
        <v>Low</v>
      </c>
      <c r="Q1369" s="11" t="str">
        <f>PROPER(Sales_Data[[#This Row],[Month Name]])</f>
        <v>Setembro</v>
      </c>
      <c r="R1369" s="11" t="str">
        <f>PROPER(Sales_Data[[#This Row],[Sales Manager]])</f>
        <v>Jane Doe</v>
      </c>
    </row>
    <row r="1370" spans="1:18" x14ac:dyDescent="0.25">
      <c r="A1370">
        <v>11369</v>
      </c>
      <c r="B1370">
        <v>2022</v>
      </c>
      <c r="C1370" t="s">
        <v>74</v>
      </c>
      <c r="D1370" s="8">
        <v>44834</v>
      </c>
      <c r="E1370" t="s">
        <v>22</v>
      </c>
      <c r="F1370" t="s">
        <v>12</v>
      </c>
      <c r="G1370" t="s">
        <v>20</v>
      </c>
      <c r="H1370" s="9">
        <v>2</v>
      </c>
      <c r="I1370" s="9">
        <v>20</v>
      </c>
      <c r="J1370" s="10">
        <v>17000</v>
      </c>
      <c r="K1370" s="10">
        <v>6120</v>
      </c>
      <c r="L1370">
        <v>40</v>
      </c>
      <c r="M1370" s="8">
        <v>44743</v>
      </c>
      <c r="N1370" s="23">
        <v>8.5633322645958804E-5</v>
      </c>
      <c r="O1370" s="10" t="str">
        <f>IF(Sales_Data[[#This Row],[Total Profit]]&gt;0,"Profitable","Loss")</f>
        <v>Profitable</v>
      </c>
      <c r="P1370" s="10" t="str">
        <f>IF(Sales_Data[[#This Row],[Total Profit]]&gt;100000,"High Value",IF(Sales_Data[[#This Row],[Total Profit]]&gt;60000,"Medium","Low"))</f>
        <v>Low</v>
      </c>
      <c r="Q1370" s="11" t="str">
        <f>PROPER(Sales_Data[[#This Row],[Month Name]])</f>
        <v>Setembro</v>
      </c>
      <c r="R1370" s="11" t="str">
        <f>PROPER(Sales_Data[[#This Row],[Sales Manager]])</f>
        <v>Emily White</v>
      </c>
    </row>
    <row r="1371" spans="1:18" x14ac:dyDescent="0.25">
      <c r="A1371">
        <v>11370</v>
      </c>
      <c r="B1371">
        <v>2022</v>
      </c>
      <c r="C1371" t="s">
        <v>75</v>
      </c>
      <c r="D1371" s="8">
        <v>44835</v>
      </c>
      <c r="E1371" t="s">
        <v>25</v>
      </c>
      <c r="F1371" t="s">
        <v>18</v>
      </c>
      <c r="G1371" t="s">
        <v>15</v>
      </c>
      <c r="H1371" s="9">
        <v>30</v>
      </c>
      <c r="I1371" s="9">
        <v>341</v>
      </c>
      <c r="J1371" s="10">
        <v>170500</v>
      </c>
      <c r="K1371" s="10">
        <v>57970.000000000007</v>
      </c>
      <c r="L1371">
        <v>40</v>
      </c>
      <c r="M1371" s="8">
        <v>44835</v>
      </c>
      <c r="N1371" s="23">
        <v>8.5885185359623395E-4</v>
      </c>
      <c r="O1371" s="10" t="str">
        <f>IF(Sales_Data[[#This Row],[Total Profit]]&gt;0,"Profitable","Loss")</f>
        <v>Profitable</v>
      </c>
      <c r="P1371" s="10" t="str">
        <f>IF(Sales_Data[[#This Row],[Total Profit]]&gt;100000,"High Value",IF(Sales_Data[[#This Row],[Total Profit]]&gt;60000,"Medium","Low"))</f>
        <v>Low</v>
      </c>
      <c r="Q1371" s="11" t="str">
        <f>PROPER(Sales_Data[[#This Row],[Month Name]])</f>
        <v>Outubro</v>
      </c>
      <c r="R1371" s="11" t="str">
        <f>PROPER(Sales_Data[[#This Row],[Sales Manager]])</f>
        <v>Jane Doe</v>
      </c>
    </row>
    <row r="1372" spans="1:18" x14ac:dyDescent="0.25">
      <c r="A1372">
        <v>11371</v>
      </c>
      <c r="B1372">
        <v>2022</v>
      </c>
      <c r="C1372" t="s">
        <v>75</v>
      </c>
      <c r="D1372" s="8">
        <v>44836</v>
      </c>
      <c r="E1372" t="s">
        <v>14</v>
      </c>
      <c r="F1372" t="s">
        <v>12</v>
      </c>
      <c r="G1372" t="s">
        <v>20</v>
      </c>
      <c r="H1372" s="9">
        <v>29</v>
      </c>
      <c r="I1372" s="9">
        <v>393</v>
      </c>
      <c r="J1372" s="10">
        <v>334050</v>
      </c>
      <c r="K1372" s="10">
        <v>73491</v>
      </c>
      <c r="L1372">
        <v>41</v>
      </c>
      <c r="M1372" s="8">
        <v>44835</v>
      </c>
      <c r="N1372" s="23">
        <v>1.68269478999309E-3</v>
      </c>
      <c r="O1372" s="10" t="str">
        <f>IF(Sales_Data[[#This Row],[Total Profit]]&gt;0,"Profitable","Loss")</f>
        <v>Profitable</v>
      </c>
      <c r="P1372" s="10" t="str">
        <f>IF(Sales_Data[[#This Row],[Total Profit]]&gt;100000,"High Value",IF(Sales_Data[[#This Row],[Total Profit]]&gt;60000,"Medium","Low"))</f>
        <v>Medium</v>
      </c>
      <c r="Q1372" s="11" t="str">
        <f>PROPER(Sales_Data[[#This Row],[Month Name]])</f>
        <v>Outubro</v>
      </c>
      <c r="R1372" s="11" t="str">
        <f>PROPER(Sales_Data[[#This Row],[Sales Manager]])</f>
        <v>Emily White</v>
      </c>
    </row>
    <row r="1373" spans="1:18" x14ac:dyDescent="0.25">
      <c r="A1373">
        <v>11372</v>
      </c>
      <c r="B1373">
        <v>2022</v>
      </c>
      <c r="C1373" t="s">
        <v>75</v>
      </c>
      <c r="D1373" s="8">
        <v>44837</v>
      </c>
      <c r="E1373" t="s">
        <v>19</v>
      </c>
      <c r="F1373" t="s">
        <v>24</v>
      </c>
      <c r="G1373" t="s">
        <v>17</v>
      </c>
      <c r="H1373" s="9">
        <v>9</v>
      </c>
      <c r="I1373" s="9">
        <v>464</v>
      </c>
      <c r="J1373" s="10">
        <v>116000</v>
      </c>
      <c r="K1373" s="10">
        <v>48720</v>
      </c>
      <c r="L1373">
        <v>41</v>
      </c>
      <c r="M1373" s="8">
        <v>44835</v>
      </c>
      <c r="N1373" s="23">
        <v>5.8432149570183695E-4</v>
      </c>
      <c r="O1373" s="10" t="str">
        <f>IF(Sales_Data[[#This Row],[Total Profit]]&gt;0,"Profitable","Loss")</f>
        <v>Profitable</v>
      </c>
      <c r="P1373" s="10" t="str">
        <f>IF(Sales_Data[[#This Row],[Total Profit]]&gt;100000,"High Value",IF(Sales_Data[[#This Row],[Total Profit]]&gt;60000,"Medium","Low"))</f>
        <v>Low</v>
      </c>
      <c r="Q1373" s="11" t="str">
        <f>PROPER(Sales_Data[[#This Row],[Month Name]])</f>
        <v>Outubro</v>
      </c>
      <c r="R1373" s="11" t="str">
        <f>PROPER(Sales_Data[[#This Row],[Sales Manager]])</f>
        <v>Liam Lee</v>
      </c>
    </row>
    <row r="1374" spans="1:18" x14ac:dyDescent="0.25">
      <c r="A1374">
        <v>11373</v>
      </c>
      <c r="B1374">
        <v>2022</v>
      </c>
      <c r="C1374" t="s">
        <v>75</v>
      </c>
      <c r="D1374" s="8">
        <v>44838</v>
      </c>
      <c r="E1374" t="s">
        <v>25</v>
      </c>
      <c r="F1374" t="s">
        <v>24</v>
      </c>
      <c r="G1374" t="s">
        <v>20</v>
      </c>
      <c r="H1374" s="9">
        <v>3</v>
      </c>
      <c r="I1374" s="9">
        <v>158</v>
      </c>
      <c r="J1374" s="10">
        <v>134300</v>
      </c>
      <c r="K1374" s="10">
        <v>55063</v>
      </c>
      <c r="L1374">
        <v>41</v>
      </c>
      <c r="M1374" s="8">
        <v>44835</v>
      </c>
      <c r="N1374" s="23">
        <v>6.7650324890307497E-4</v>
      </c>
      <c r="O1374" s="10" t="str">
        <f>IF(Sales_Data[[#This Row],[Total Profit]]&gt;0,"Profitable","Loss")</f>
        <v>Profitable</v>
      </c>
      <c r="P1374" s="10" t="str">
        <f>IF(Sales_Data[[#This Row],[Total Profit]]&gt;100000,"High Value",IF(Sales_Data[[#This Row],[Total Profit]]&gt;60000,"Medium","Low"))</f>
        <v>Low</v>
      </c>
      <c r="Q1374" s="11" t="str">
        <f>PROPER(Sales_Data[[#This Row],[Month Name]])</f>
        <v>Outubro</v>
      </c>
      <c r="R1374" s="11" t="str">
        <f>PROPER(Sales_Data[[#This Row],[Sales Manager]])</f>
        <v>Liam Lee</v>
      </c>
    </row>
    <row r="1375" spans="1:18" x14ac:dyDescent="0.25">
      <c r="A1375">
        <v>11374</v>
      </c>
      <c r="B1375">
        <v>2022</v>
      </c>
      <c r="C1375" t="s">
        <v>75</v>
      </c>
      <c r="D1375" s="8">
        <v>44839</v>
      </c>
      <c r="E1375" t="s">
        <v>25</v>
      </c>
      <c r="F1375" t="s">
        <v>12</v>
      </c>
      <c r="G1375" t="s">
        <v>20</v>
      </c>
      <c r="H1375" s="9">
        <v>25</v>
      </c>
      <c r="I1375" s="9">
        <v>367</v>
      </c>
      <c r="J1375" s="10">
        <v>311950</v>
      </c>
      <c r="K1375" s="10">
        <v>124780</v>
      </c>
      <c r="L1375">
        <v>41</v>
      </c>
      <c r="M1375" s="8">
        <v>44835</v>
      </c>
      <c r="N1375" s="23">
        <v>1.57137147055334E-3</v>
      </c>
      <c r="O1375" s="10" t="str">
        <f>IF(Sales_Data[[#This Row],[Total Profit]]&gt;0,"Profitable","Loss")</f>
        <v>Profitable</v>
      </c>
      <c r="P1375" s="10" t="str">
        <f>IF(Sales_Data[[#This Row],[Total Profit]]&gt;100000,"High Value",IF(Sales_Data[[#This Row],[Total Profit]]&gt;60000,"Medium","Low"))</f>
        <v>High Value</v>
      </c>
      <c r="Q1375" s="11" t="str">
        <f>PROPER(Sales_Data[[#This Row],[Month Name]])</f>
        <v>Outubro</v>
      </c>
      <c r="R1375" s="11" t="str">
        <f>PROPER(Sales_Data[[#This Row],[Sales Manager]])</f>
        <v>Emily White</v>
      </c>
    </row>
    <row r="1376" spans="1:18" x14ac:dyDescent="0.25">
      <c r="A1376">
        <v>11375</v>
      </c>
      <c r="B1376">
        <v>2022</v>
      </c>
      <c r="C1376" t="s">
        <v>75</v>
      </c>
      <c r="D1376" s="8">
        <v>44840</v>
      </c>
      <c r="E1376" t="s">
        <v>22</v>
      </c>
      <c r="F1376" t="s">
        <v>12</v>
      </c>
      <c r="G1376" t="s">
        <v>23</v>
      </c>
      <c r="H1376" s="9">
        <v>3</v>
      </c>
      <c r="I1376" s="9">
        <v>158</v>
      </c>
      <c r="J1376" s="10">
        <v>55300</v>
      </c>
      <c r="K1376" s="10">
        <v>18249</v>
      </c>
      <c r="L1376">
        <v>41</v>
      </c>
      <c r="M1376" s="8">
        <v>44835</v>
      </c>
      <c r="N1376" s="23">
        <v>2.7856016131303098E-4</v>
      </c>
      <c r="O1376" s="10" t="str">
        <f>IF(Sales_Data[[#This Row],[Total Profit]]&gt;0,"Profitable","Loss")</f>
        <v>Profitable</v>
      </c>
      <c r="P1376" s="10" t="str">
        <f>IF(Sales_Data[[#This Row],[Total Profit]]&gt;100000,"High Value",IF(Sales_Data[[#This Row],[Total Profit]]&gt;60000,"Medium","Low"))</f>
        <v>Low</v>
      </c>
      <c r="Q1376" s="11" t="str">
        <f>PROPER(Sales_Data[[#This Row],[Month Name]])</f>
        <v>Outubro</v>
      </c>
      <c r="R1376" s="11" t="str">
        <f>PROPER(Sales_Data[[#This Row],[Sales Manager]])</f>
        <v>Emily White</v>
      </c>
    </row>
    <row r="1377" spans="1:18" x14ac:dyDescent="0.25">
      <c r="A1377">
        <v>11376</v>
      </c>
      <c r="B1377">
        <v>2022</v>
      </c>
      <c r="C1377" t="s">
        <v>75</v>
      </c>
      <c r="D1377" s="8">
        <v>44841</v>
      </c>
      <c r="E1377" t="s">
        <v>22</v>
      </c>
      <c r="F1377" t="s">
        <v>12</v>
      </c>
      <c r="G1377" t="s">
        <v>17</v>
      </c>
      <c r="H1377" s="9">
        <v>19</v>
      </c>
      <c r="I1377" s="9">
        <v>329</v>
      </c>
      <c r="J1377" s="10">
        <v>82250</v>
      </c>
      <c r="K1377" s="10">
        <v>33722.5</v>
      </c>
      <c r="L1377">
        <v>41</v>
      </c>
      <c r="M1377" s="8">
        <v>44835</v>
      </c>
      <c r="N1377" s="23">
        <v>4.14314163978242E-4</v>
      </c>
      <c r="O1377" s="10" t="str">
        <f>IF(Sales_Data[[#This Row],[Total Profit]]&gt;0,"Profitable","Loss")</f>
        <v>Profitable</v>
      </c>
      <c r="P1377" s="10" t="str">
        <f>IF(Sales_Data[[#This Row],[Total Profit]]&gt;100000,"High Value",IF(Sales_Data[[#This Row],[Total Profit]]&gt;60000,"Medium","Low"))</f>
        <v>Low</v>
      </c>
      <c r="Q1377" s="11" t="str">
        <f>PROPER(Sales_Data[[#This Row],[Month Name]])</f>
        <v>Outubro</v>
      </c>
      <c r="R1377" s="11" t="str">
        <f>PROPER(Sales_Data[[#This Row],[Sales Manager]])</f>
        <v>Emily White</v>
      </c>
    </row>
    <row r="1378" spans="1:18" x14ac:dyDescent="0.25">
      <c r="A1378">
        <v>11377</v>
      </c>
      <c r="B1378">
        <v>2022</v>
      </c>
      <c r="C1378" t="s">
        <v>75</v>
      </c>
      <c r="D1378" s="8">
        <v>44842</v>
      </c>
      <c r="E1378" t="s">
        <v>11</v>
      </c>
      <c r="F1378" t="s">
        <v>18</v>
      </c>
      <c r="G1378" t="s">
        <v>13</v>
      </c>
      <c r="H1378" s="9">
        <v>24</v>
      </c>
      <c r="I1378" s="9">
        <v>265</v>
      </c>
      <c r="J1378" s="10">
        <v>198750</v>
      </c>
      <c r="K1378" s="10">
        <v>39750</v>
      </c>
      <c r="L1378">
        <v>41</v>
      </c>
      <c r="M1378" s="8">
        <v>44835</v>
      </c>
      <c r="N1378" s="23">
        <v>1.0011542868167201E-3</v>
      </c>
      <c r="O1378" s="10" t="str">
        <f>IF(Sales_Data[[#This Row],[Total Profit]]&gt;0,"Profitable","Loss")</f>
        <v>Profitable</v>
      </c>
      <c r="P1378" s="10" t="str">
        <f>IF(Sales_Data[[#This Row],[Total Profit]]&gt;100000,"High Value",IF(Sales_Data[[#This Row],[Total Profit]]&gt;60000,"Medium","Low"))</f>
        <v>Low</v>
      </c>
      <c r="Q1378" s="11" t="str">
        <f>PROPER(Sales_Data[[#This Row],[Month Name]])</f>
        <v>Outubro</v>
      </c>
      <c r="R1378" s="11" t="str">
        <f>PROPER(Sales_Data[[#This Row],[Sales Manager]])</f>
        <v>Jane Doe</v>
      </c>
    </row>
    <row r="1379" spans="1:18" x14ac:dyDescent="0.25">
      <c r="A1379">
        <v>11378</v>
      </c>
      <c r="B1379">
        <v>2022</v>
      </c>
      <c r="C1379" t="s">
        <v>75</v>
      </c>
      <c r="D1379" s="8">
        <v>44843</v>
      </c>
      <c r="E1379" t="s">
        <v>19</v>
      </c>
      <c r="F1379" t="s">
        <v>24</v>
      </c>
      <c r="G1379" t="s">
        <v>20</v>
      </c>
      <c r="H1379" s="9">
        <v>17</v>
      </c>
      <c r="I1379" s="9">
        <v>186</v>
      </c>
      <c r="J1379" s="10">
        <v>158100</v>
      </c>
      <c r="K1379" s="10">
        <v>25296</v>
      </c>
      <c r="L1379">
        <v>42</v>
      </c>
      <c r="M1379" s="8">
        <v>44835</v>
      </c>
      <c r="N1379" s="23">
        <v>7.9638990060741698E-4</v>
      </c>
      <c r="O1379" s="10" t="str">
        <f>IF(Sales_Data[[#This Row],[Total Profit]]&gt;0,"Profitable","Loss")</f>
        <v>Profitable</v>
      </c>
      <c r="P1379" s="10" t="str">
        <f>IF(Sales_Data[[#This Row],[Total Profit]]&gt;100000,"High Value",IF(Sales_Data[[#This Row],[Total Profit]]&gt;60000,"Medium","Low"))</f>
        <v>Low</v>
      </c>
      <c r="Q1379" s="11" t="str">
        <f>PROPER(Sales_Data[[#This Row],[Month Name]])</f>
        <v>Outubro</v>
      </c>
      <c r="R1379" s="11" t="str">
        <f>PROPER(Sales_Data[[#This Row],[Sales Manager]])</f>
        <v>Liam Lee</v>
      </c>
    </row>
    <row r="1380" spans="1:18" x14ac:dyDescent="0.25">
      <c r="A1380">
        <v>11379</v>
      </c>
      <c r="B1380">
        <v>2022</v>
      </c>
      <c r="C1380" t="s">
        <v>75</v>
      </c>
      <c r="D1380" s="8">
        <v>44844</v>
      </c>
      <c r="E1380" t="s">
        <v>22</v>
      </c>
      <c r="F1380" t="s">
        <v>12</v>
      </c>
      <c r="G1380" t="s">
        <v>15</v>
      </c>
      <c r="H1380" s="9">
        <v>15</v>
      </c>
      <c r="I1380" s="9">
        <v>219</v>
      </c>
      <c r="J1380" s="10">
        <v>109500</v>
      </c>
      <c r="K1380" s="10">
        <v>32850</v>
      </c>
      <c r="L1380">
        <v>42</v>
      </c>
      <c r="M1380" s="8">
        <v>44835</v>
      </c>
      <c r="N1380" s="23">
        <v>5.5157934292544104E-4</v>
      </c>
      <c r="O1380" s="10" t="str">
        <f>IF(Sales_Data[[#This Row],[Total Profit]]&gt;0,"Profitable","Loss")</f>
        <v>Profitable</v>
      </c>
      <c r="P1380" s="10" t="str">
        <f>IF(Sales_Data[[#This Row],[Total Profit]]&gt;100000,"High Value",IF(Sales_Data[[#This Row],[Total Profit]]&gt;60000,"Medium","Low"))</f>
        <v>Low</v>
      </c>
      <c r="Q1380" s="11" t="str">
        <f>PROPER(Sales_Data[[#This Row],[Month Name]])</f>
        <v>Outubro</v>
      </c>
      <c r="R1380" s="11" t="str">
        <f>PROPER(Sales_Data[[#This Row],[Sales Manager]])</f>
        <v>Emily White</v>
      </c>
    </row>
    <row r="1381" spans="1:18" x14ac:dyDescent="0.25">
      <c r="A1381">
        <v>11380</v>
      </c>
      <c r="B1381">
        <v>2022</v>
      </c>
      <c r="C1381" t="s">
        <v>75</v>
      </c>
      <c r="D1381" s="8">
        <v>44845</v>
      </c>
      <c r="E1381" t="s">
        <v>14</v>
      </c>
      <c r="F1381" t="s">
        <v>18</v>
      </c>
      <c r="G1381" t="s">
        <v>13</v>
      </c>
      <c r="H1381" s="9">
        <v>14</v>
      </c>
      <c r="I1381" s="9">
        <v>174</v>
      </c>
      <c r="J1381" s="10">
        <v>130500</v>
      </c>
      <c r="K1381" s="10">
        <v>56115</v>
      </c>
      <c r="L1381">
        <v>42</v>
      </c>
      <c r="M1381" s="8">
        <v>44835</v>
      </c>
      <c r="N1381" s="23">
        <v>6.5736168266456601E-4</v>
      </c>
      <c r="O1381" s="10" t="str">
        <f>IF(Sales_Data[[#This Row],[Total Profit]]&gt;0,"Profitable","Loss")</f>
        <v>Profitable</v>
      </c>
      <c r="P1381" s="10" t="str">
        <f>IF(Sales_Data[[#This Row],[Total Profit]]&gt;100000,"High Value",IF(Sales_Data[[#This Row],[Total Profit]]&gt;60000,"Medium","Low"))</f>
        <v>Low</v>
      </c>
      <c r="Q1381" s="11" t="str">
        <f>PROPER(Sales_Data[[#This Row],[Month Name]])</f>
        <v>Outubro</v>
      </c>
      <c r="R1381" s="11" t="str">
        <f>PROPER(Sales_Data[[#This Row],[Sales Manager]])</f>
        <v>Jane Doe</v>
      </c>
    </row>
    <row r="1382" spans="1:18" x14ac:dyDescent="0.25">
      <c r="A1382">
        <v>11381</v>
      </c>
      <c r="B1382">
        <v>2022</v>
      </c>
      <c r="C1382" t="s">
        <v>75</v>
      </c>
      <c r="D1382" s="8">
        <v>44846</v>
      </c>
      <c r="E1382" t="s">
        <v>25</v>
      </c>
      <c r="F1382" t="s">
        <v>18</v>
      </c>
      <c r="G1382" t="s">
        <v>20</v>
      </c>
      <c r="H1382" s="9">
        <v>6</v>
      </c>
      <c r="I1382" s="9">
        <v>68</v>
      </c>
      <c r="J1382" s="10">
        <v>57800</v>
      </c>
      <c r="K1382" s="10">
        <v>16184.000000000002</v>
      </c>
      <c r="L1382">
        <v>42</v>
      </c>
      <c r="M1382" s="8">
        <v>44835</v>
      </c>
      <c r="N1382" s="23">
        <v>2.9115329699625999E-4</v>
      </c>
      <c r="O1382" s="10" t="str">
        <f>IF(Sales_Data[[#This Row],[Total Profit]]&gt;0,"Profitable","Loss")</f>
        <v>Profitable</v>
      </c>
      <c r="P1382" s="10" t="str">
        <f>IF(Sales_Data[[#This Row],[Total Profit]]&gt;100000,"High Value",IF(Sales_Data[[#This Row],[Total Profit]]&gt;60000,"Medium","Low"))</f>
        <v>Low</v>
      </c>
      <c r="Q1382" s="11" t="str">
        <f>PROPER(Sales_Data[[#This Row],[Month Name]])</f>
        <v>Outubro</v>
      </c>
      <c r="R1382" s="11" t="str">
        <f>PROPER(Sales_Data[[#This Row],[Sales Manager]])</f>
        <v>Jane Doe</v>
      </c>
    </row>
    <row r="1383" spans="1:18" x14ac:dyDescent="0.25">
      <c r="A1383">
        <v>11382</v>
      </c>
      <c r="B1383">
        <v>2022</v>
      </c>
      <c r="C1383" t="s">
        <v>75</v>
      </c>
      <c r="D1383" s="8">
        <v>44847</v>
      </c>
      <c r="E1383" t="s">
        <v>25</v>
      </c>
      <c r="F1383" t="s">
        <v>21</v>
      </c>
      <c r="G1383" t="s">
        <v>23</v>
      </c>
      <c r="H1383" s="9">
        <v>19</v>
      </c>
      <c r="I1383" s="9">
        <v>395</v>
      </c>
      <c r="J1383" s="10">
        <v>138250</v>
      </c>
      <c r="K1383" s="10">
        <v>51152.5</v>
      </c>
      <c r="L1383">
        <v>42</v>
      </c>
      <c r="M1383" s="8">
        <v>44835</v>
      </c>
      <c r="N1383" s="23">
        <v>6.9640040328257705E-4</v>
      </c>
      <c r="O1383" s="10" t="str">
        <f>IF(Sales_Data[[#This Row],[Total Profit]]&gt;0,"Profitable","Loss")</f>
        <v>Profitable</v>
      </c>
      <c r="P1383" s="10" t="str">
        <f>IF(Sales_Data[[#This Row],[Total Profit]]&gt;100000,"High Value",IF(Sales_Data[[#This Row],[Total Profit]]&gt;60000,"Medium","Low"))</f>
        <v>Low</v>
      </c>
      <c r="Q1383" s="11" t="str">
        <f>PROPER(Sales_Data[[#This Row],[Month Name]])</f>
        <v>Outubro</v>
      </c>
      <c r="R1383" s="11" t="str">
        <f>PROPER(Sales_Data[[#This Row],[Sales Manager]])</f>
        <v>John Smith</v>
      </c>
    </row>
    <row r="1384" spans="1:18" x14ac:dyDescent="0.25">
      <c r="A1384">
        <v>11383</v>
      </c>
      <c r="B1384">
        <v>2022</v>
      </c>
      <c r="C1384" t="s">
        <v>75</v>
      </c>
      <c r="D1384" s="8">
        <v>44848</v>
      </c>
      <c r="E1384" t="s">
        <v>22</v>
      </c>
      <c r="F1384" t="s">
        <v>21</v>
      </c>
      <c r="G1384" t="s">
        <v>15</v>
      </c>
      <c r="H1384" s="9">
        <v>10</v>
      </c>
      <c r="I1384" s="9">
        <v>164</v>
      </c>
      <c r="J1384" s="10">
        <v>82000</v>
      </c>
      <c r="K1384" s="10">
        <v>15580</v>
      </c>
      <c r="L1384">
        <v>42</v>
      </c>
      <c r="M1384" s="8">
        <v>44835</v>
      </c>
      <c r="N1384" s="23">
        <v>4.1305485040991902E-4</v>
      </c>
      <c r="O1384" s="10" t="str">
        <f>IF(Sales_Data[[#This Row],[Total Profit]]&gt;0,"Profitable","Loss")</f>
        <v>Profitable</v>
      </c>
      <c r="P1384" s="10" t="str">
        <f>IF(Sales_Data[[#This Row],[Total Profit]]&gt;100000,"High Value",IF(Sales_Data[[#This Row],[Total Profit]]&gt;60000,"Medium","Low"))</f>
        <v>Low</v>
      </c>
      <c r="Q1384" s="11" t="str">
        <f>PROPER(Sales_Data[[#This Row],[Month Name]])</f>
        <v>Outubro</v>
      </c>
      <c r="R1384" s="11" t="str">
        <f>PROPER(Sales_Data[[#This Row],[Sales Manager]])</f>
        <v>John Smith</v>
      </c>
    </row>
    <row r="1385" spans="1:18" x14ac:dyDescent="0.25">
      <c r="A1385">
        <v>11384</v>
      </c>
      <c r="B1385">
        <v>2022</v>
      </c>
      <c r="C1385" t="s">
        <v>75</v>
      </c>
      <c r="D1385" s="8">
        <v>44849</v>
      </c>
      <c r="E1385" t="s">
        <v>25</v>
      </c>
      <c r="F1385" t="s">
        <v>18</v>
      </c>
      <c r="G1385" t="s">
        <v>17</v>
      </c>
      <c r="H1385" s="9">
        <v>19</v>
      </c>
      <c r="I1385" s="9">
        <v>212</v>
      </c>
      <c r="J1385" s="10">
        <v>53000</v>
      </c>
      <c r="K1385" s="10">
        <v>15369.999999999998</v>
      </c>
      <c r="L1385">
        <v>42</v>
      </c>
      <c r="M1385" s="8">
        <v>44835</v>
      </c>
      <c r="N1385" s="23">
        <v>2.6697447648446002E-4</v>
      </c>
      <c r="O1385" s="10" t="str">
        <f>IF(Sales_Data[[#This Row],[Total Profit]]&gt;0,"Profitable","Loss")</f>
        <v>Profitable</v>
      </c>
      <c r="P1385" s="10" t="str">
        <f>IF(Sales_Data[[#This Row],[Total Profit]]&gt;100000,"High Value",IF(Sales_Data[[#This Row],[Total Profit]]&gt;60000,"Medium","Low"))</f>
        <v>Low</v>
      </c>
      <c r="Q1385" s="11" t="str">
        <f>PROPER(Sales_Data[[#This Row],[Month Name]])</f>
        <v>Outubro</v>
      </c>
      <c r="R1385" s="11" t="str">
        <f>PROPER(Sales_Data[[#This Row],[Sales Manager]])</f>
        <v>Jane Doe</v>
      </c>
    </row>
    <row r="1386" spans="1:18" x14ac:dyDescent="0.25">
      <c r="A1386">
        <v>11385</v>
      </c>
      <c r="B1386">
        <v>2022</v>
      </c>
      <c r="C1386" t="s">
        <v>75</v>
      </c>
      <c r="D1386" s="8">
        <v>44850</v>
      </c>
      <c r="E1386" t="s">
        <v>22</v>
      </c>
      <c r="F1386" t="s">
        <v>12</v>
      </c>
      <c r="G1386" t="s">
        <v>13</v>
      </c>
      <c r="H1386" s="9">
        <v>40</v>
      </c>
      <c r="I1386" s="9">
        <v>400</v>
      </c>
      <c r="J1386" s="10">
        <v>300000</v>
      </c>
      <c r="K1386" s="10">
        <v>81000</v>
      </c>
      <c r="L1386">
        <v>43</v>
      </c>
      <c r="M1386" s="8">
        <v>44835</v>
      </c>
      <c r="N1386" s="23">
        <v>1.5111762819875101E-3</v>
      </c>
      <c r="O1386" s="10" t="str">
        <f>IF(Sales_Data[[#This Row],[Total Profit]]&gt;0,"Profitable","Loss")</f>
        <v>Profitable</v>
      </c>
      <c r="P1386" s="10" t="str">
        <f>IF(Sales_Data[[#This Row],[Total Profit]]&gt;100000,"High Value",IF(Sales_Data[[#This Row],[Total Profit]]&gt;60000,"Medium","Low"))</f>
        <v>Medium</v>
      </c>
      <c r="Q1386" s="11" t="str">
        <f>PROPER(Sales_Data[[#This Row],[Month Name]])</f>
        <v>Outubro</v>
      </c>
      <c r="R1386" s="11" t="str">
        <f>PROPER(Sales_Data[[#This Row],[Sales Manager]])</f>
        <v>Emily White</v>
      </c>
    </row>
    <row r="1387" spans="1:18" x14ac:dyDescent="0.25">
      <c r="A1387">
        <v>11386</v>
      </c>
      <c r="B1387">
        <v>2022</v>
      </c>
      <c r="C1387" t="s">
        <v>75</v>
      </c>
      <c r="D1387" s="8">
        <v>44851</v>
      </c>
      <c r="E1387" t="s">
        <v>25</v>
      </c>
      <c r="F1387" t="s">
        <v>18</v>
      </c>
      <c r="G1387" t="s">
        <v>15</v>
      </c>
      <c r="H1387" s="9">
        <v>33</v>
      </c>
      <c r="I1387" s="9">
        <v>392</v>
      </c>
      <c r="J1387" s="10">
        <v>196000</v>
      </c>
      <c r="K1387" s="10">
        <v>39200</v>
      </c>
      <c r="L1387">
        <v>43</v>
      </c>
      <c r="M1387" s="8">
        <v>44835</v>
      </c>
      <c r="N1387" s="23">
        <v>9.8730183756517292E-4</v>
      </c>
      <c r="O1387" s="10" t="str">
        <f>IF(Sales_Data[[#This Row],[Total Profit]]&gt;0,"Profitable","Loss")</f>
        <v>Profitable</v>
      </c>
      <c r="P1387" s="10" t="str">
        <f>IF(Sales_Data[[#This Row],[Total Profit]]&gt;100000,"High Value",IF(Sales_Data[[#This Row],[Total Profit]]&gt;60000,"Medium","Low"))</f>
        <v>Low</v>
      </c>
      <c r="Q1387" s="11" t="str">
        <f>PROPER(Sales_Data[[#This Row],[Month Name]])</f>
        <v>Outubro</v>
      </c>
      <c r="R1387" s="11" t="str">
        <f>PROPER(Sales_Data[[#This Row],[Sales Manager]])</f>
        <v>Jane Doe</v>
      </c>
    </row>
    <row r="1388" spans="1:18" x14ac:dyDescent="0.25">
      <c r="A1388">
        <v>11387</v>
      </c>
      <c r="B1388">
        <v>2022</v>
      </c>
      <c r="C1388" t="s">
        <v>75</v>
      </c>
      <c r="D1388" s="8">
        <v>44852</v>
      </c>
      <c r="E1388" t="s">
        <v>11</v>
      </c>
      <c r="F1388" t="s">
        <v>24</v>
      </c>
      <c r="G1388" t="s">
        <v>20</v>
      </c>
      <c r="H1388" s="9">
        <v>38</v>
      </c>
      <c r="I1388" s="9">
        <v>432</v>
      </c>
      <c r="J1388" s="10">
        <v>367200</v>
      </c>
      <c r="K1388" s="10">
        <v>143208</v>
      </c>
      <c r="L1388">
        <v>43</v>
      </c>
      <c r="M1388" s="8">
        <v>44835</v>
      </c>
      <c r="N1388" s="23">
        <v>1.84967976915271E-3</v>
      </c>
      <c r="O1388" s="10" t="str">
        <f>IF(Sales_Data[[#This Row],[Total Profit]]&gt;0,"Profitable","Loss")</f>
        <v>Profitable</v>
      </c>
      <c r="P1388" s="10" t="str">
        <f>IF(Sales_Data[[#This Row],[Total Profit]]&gt;100000,"High Value",IF(Sales_Data[[#This Row],[Total Profit]]&gt;60000,"Medium","Low"))</f>
        <v>High Value</v>
      </c>
      <c r="Q1388" s="11" t="str">
        <f>PROPER(Sales_Data[[#This Row],[Month Name]])</f>
        <v>Outubro</v>
      </c>
      <c r="R1388" s="11" t="str">
        <f>PROPER(Sales_Data[[#This Row],[Sales Manager]])</f>
        <v>Liam Lee</v>
      </c>
    </row>
    <row r="1389" spans="1:18" x14ac:dyDescent="0.25">
      <c r="A1389">
        <v>11388</v>
      </c>
      <c r="B1389">
        <v>2022</v>
      </c>
      <c r="C1389" t="s">
        <v>75</v>
      </c>
      <c r="D1389" s="8">
        <v>44853</v>
      </c>
      <c r="E1389" t="s">
        <v>22</v>
      </c>
      <c r="F1389" t="s">
        <v>24</v>
      </c>
      <c r="G1389" t="s">
        <v>15</v>
      </c>
      <c r="H1389" s="9">
        <v>13</v>
      </c>
      <c r="I1389" s="9">
        <v>384</v>
      </c>
      <c r="J1389" s="10">
        <v>192000</v>
      </c>
      <c r="K1389" s="10">
        <v>26880.000000000004</v>
      </c>
      <c r="L1389">
        <v>43</v>
      </c>
      <c r="M1389" s="8">
        <v>44835</v>
      </c>
      <c r="N1389" s="23">
        <v>9.6715282047200597E-4</v>
      </c>
      <c r="O1389" s="10" t="str">
        <f>IF(Sales_Data[[#This Row],[Total Profit]]&gt;0,"Profitable","Loss")</f>
        <v>Profitable</v>
      </c>
      <c r="P1389" s="10" t="str">
        <f>IF(Sales_Data[[#This Row],[Total Profit]]&gt;100000,"High Value",IF(Sales_Data[[#This Row],[Total Profit]]&gt;60000,"Medium","Low"))</f>
        <v>Low</v>
      </c>
      <c r="Q1389" s="11" t="str">
        <f>PROPER(Sales_Data[[#This Row],[Month Name]])</f>
        <v>Outubro</v>
      </c>
      <c r="R1389" s="11" t="str">
        <f>PROPER(Sales_Data[[#This Row],[Sales Manager]])</f>
        <v>Liam Lee</v>
      </c>
    </row>
    <row r="1390" spans="1:18" x14ac:dyDescent="0.25">
      <c r="A1390">
        <v>11389</v>
      </c>
      <c r="B1390">
        <v>2022</v>
      </c>
      <c r="C1390" t="s">
        <v>75</v>
      </c>
      <c r="D1390" s="8">
        <v>44854</v>
      </c>
      <c r="E1390" t="s">
        <v>19</v>
      </c>
      <c r="F1390" t="s">
        <v>16</v>
      </c>
      <c r="G1390" t="s">
        <v>13</v>
      </c>
      <c r="H1390" s="9">
        <v>5</v>
      </c>
      <c r="I1390" s="9">
        <v>257</v>
      </c>
      <c r="J1390" s="10">
        <v>192750</v>
      </c>
      <c r="K1390" s="10">
        <v>46260</v>
      </c>
      <c r="L1390">
        <v>43</v>
      </c>
      <c r="M1390" s="8">
        <v>44835</v>
      </c>
      <c r="N1390" s="23">
        <v>9.7093076117697502E-4</v>
      </c>
      <c r="O1390" s="10" t="str">
        <f>IF(Sales_Data[[#This Row],[Total Profit]]&gt;0,"Profitable","Loss")</f>
        <v>Profitable</v>
      </c>
      <c r="P1390" s="10" t="str">
        <f>IF(Sales_Data[[#This Row],[Total Profit]]&gt;100000,"High Value",IF(Sales_Data[[#This Row],[Total Profit]]&gt;60000,"Medium","Low"))</f>
        <v>Low</v>
      </c>
      <c r="Q1390" s="11" t="str">
        <f>PROPER(Sales_Data[[#This Row],[Month Name]])</f>
        <v>Outubro</v>
      </c>
      <c r="R1390" s="11" t="str">
        <f>PROPER(Sales_Data[[#This Row],[Sales Manager]])</f>
        <v>James Brown</v>
      </c>
    </row>
    <row r="1391" spans="1:18" x14ac:dyDescent="0.25">
      <c r="A1391">
        <v>11390</v>
      </c>
      <c r="B1391">
        <v>2022</v>
      </c>
      <c r="C1391" t="s">
        <v>75</v>
      </c>
      <c r="D1391" s="8">
        <v>44855</v>
      </c>
      <c r="E1391" t="s">
        <v>25</v>
      </c>
      <c r="F1391" t="s">
        <v>16</v>
      </c>
      <c r="G1391" t="s">
        <v>20</v>
      </c>
      <c r="H1391" s="9">
        <v>3</v>
      </c>
      <c r="I1391" s="9">
        <v>176</v>
      </c>
      <c r="J1391" s="10">
        <v>149600</v>
      </c>
      <c r="K1391" s="10">
        <v>64328</v>
      </c>
      <c r="L1391">
        <v>43</v>
      </c>
      <c r="M1391" s="8">
        <v>44835</v>
      </c>
      <c r="N1391" s="23">
        <v>7.5357323928443797E-4</v>
      </c>
      <c r="O1391" s="10" t="str">
        <f>IF(Sales_Data[[#This Row],[Total Profit]]&gt;0,"Profitable","Loss")</f>
        <v>Profitable</v>
      </c>
      <c r="P1391" s="10" t="str">
        <f>IF(Sales_Data[[#This Row],[Total Profit]]&gt;100000,"High Value",IF(Sales_Data[[#This Row],[Total Profit]]&gt;60000,"Medium","Low"))</f>
        <v>Medium</v>
      </c>
      <c r="Q1391" s="11" t="str">
        <f>PROPER(Sales_Data[[#This Row],[Month Name]])</f>
        <v>Outubro</v>
      </c>
      <c r="R1391" s="11" t="str">
        <f>PROPER(Sales_Data[[#This Row],[Sales Manager]])</f>
        <v>James Brown</v>
      </c>
    </row>
    <row r="1392" spans="1:18" x14ac:dyDescent="0.25">
      <c r="A1392">
        <v>11391</v>
      </c>
      <c r="B1392">
        <v>2022</v>
      </c>
      <c r="C1392" t="s">
        <v>75</v>
      </c>
      <c r="D1392" s="8">
        <v>44856</v>
      </c>
      <c r="E1392" t="s">
        <v>25</v>
      </c>
      <c r="F1392" t="s">
        <v>12</v>
      </c>
      <c r="G1392" t="s">
        <v>20</v>
      </c>
      <c r="H1392" s="9">
        <v>7</v>
      </c>
      <c r="I1392" s="9">
        <v>96</v>
      </c>
      <c r="J1392" s="10">
        <v>81600</v>
      </c>
      <c r="K1392" s="10">
        <v>11424.000000000002</v>
      </c>
      <c r="L1392">
        <v>43</v>
      </c>
      <c r="M1392" s="8">
        <v>44835</v>
      </c>
      <c r="N1392" s="23">
        <v>4.11039948700602E-4</v>
      </c>
      <c r="O1392" s="10" t="str">
        <f>IF(Sales_Data[[#This Row],[Total Profit]]&gt;0,"Profitable","Loss")</f>
        <v>Profitable</v>
      </c>
      <c r="P1392" s="10" t="str">
        <f>IF(Sales_Data[[#This Row],[Total Profit]]&gt;100000,"High Value",IF(Sales_Data[[#This Row],[Total Profit]]&gt;60000,"Medium","Low"))</f>
        <v>Low</v>
      </c>
      <c r="Q1392" s="11" t="str">
        <f>PROPER(Sales_Data[[#This Row],[Month Name]])</f>
        <v>Outubro</v>
      </c>
      <c r="R1392" s="11" t="str">
        <f>PROPER(Sales_Data[[#This Row],[Sales Manager]])</f>
        <v>Emily White</v>
      </c>
    </row>
    <row r="1393" spans="1:18" x14ac:dyDescent="0.25">
      <c r="A1393">
        <v>11392</v>
      </c>
      <c r="B1393">
        <v>2022</v>
      </c>
      <c r="C1393" t="s">
        <v>75</v>
      </c>
      <c r="D1393" s="8">
        <v>44857</v>
      </c>
      <c r="E1393" t="s">
        <v>25</v>
      </c>
      <c r="F1393" t="s">
        <v>18</v>
      </c>
      <c r="G1393" t="s">
        <v>17</v>
      </c>
      <c r="H1393" s="9">
        <v>1</v>
      </c>
      <c r="I1393" s="9">
        <v>26</v>
      </c>
      <c r="J1393" s="10">
        <v>6500</v>
      </c>
      <c r="K1393" s="10">
        <v>2015</v>
      </c>
      <c r="L1393">
        <v>44</v>
      </c>
      <c r="M1393" s="8">
        <v>44835</v>
      </c>
      <c r="N1393" s="23">
        <v>3.2742152776395998E-5</v>
      </c>
      <c r="O1393" s="10" t="str">
        <f>IF(Sales_Data[[#This Row],[Total Profit]]&gt;0,"Profitable","Loss")</f>
        <v>Profitable</v>
      </c>
      <c r="P1393" s="10" t="str">
        <f>IF(Sales_Data[[#This Row],[Total Profit]]&gt;100000,"High Value",IF(Sales_Data[[#This Row],[Total Profit]]&gt;60000,"Medium","Low"))</f>
        <v>Low</v>
      </c>
      <c r="Q1393" s="11" t="str">
        <f>PROPER(Sales_Data[[#This Row],[Month Name]])</f>
        <v>Outubro</v>
      </c>
      <c r="R1393" s="11" t="str">
        <f>PROPER(Sales_Data[[#This Row],[Sales Manager]])</f>
        <v>Jane Doe</v>
      </c>
    </row>
    <row r="1394" spans="1:18" x14ac:dyDescent="0.25">
      <c r="A1394">
        <v>11393</v>
      </c>
      <c r="B1394">
        <v>2022</v>
      </c>
      <c r="C1394" t="s">
        <v>75</v>
      </c>
      <c r="D1394" s="8">
        <v>44858</v>
      </c>
      <c r="E1394" t="s">
        <v>25</v>
      </c>
      <c r="F1394" t="s">
        <v>16</v>
      </c>
      <c r="G1394" t="s">
        <v>23</v>
      </c>
      <c r="H1394" s="9">
        <v>7</v>
      </c>
      <c r="I1394" s="9">
        <v>197</v>
      </c>
      <c r="J1394" s="10">
        <v>68950</v>
      </c>
      <c r="K1394" s="10">
        <v>17927</v>
      </c>
      <c r="L1394">
        <v>44</v>
      </c>
      <c r="M1394" s="8">
        <v>44835</v>
      </c>
      <c r="N1394" s="23">
        <v>3.4731868214346302E-4</v>
      </c>
      <c r="O1394" s="10" t="str">
        <f>IF(Sales_Data[[#This Row],[Total Profit]]&gt;0,"Profitable","Loss")</f>
        <v>Profitable</v>
      </c>
      <c r="P1394" s="10" t="str">
        <f>IF(Sales_Data[[#This Row],[Total Profit]]&gt;100000,"High Value",IF(Sales_Data[[#This Row],[Total Profit]]&gt;60000,"Medium","Low"))</f>
        <v>Low</v>
      </c>
      <c r="Q1394" s="11" t="str">
        <f>PROPER(Sales_Data[[#This Row],[Month Name]])</f>
        <v>Outubro</v>
      </c>
      <c r="R1394" s="11" t="str">
        <f>PROPER(Sales_Data[[#This Row],[Sales Manager]])</f>
        <v>James Brown</v>
      </c>
    </row>
    <row r="1395" spans="1:18" x14ac:dyDescent="0.25">
      <c r="A1395">
        <v>11394</v>
      </c>
      <c r="B1395">
        <v>2022</v>
      </c>
      <c r="C1395" t="s">
        <v>75</v>
      </c>
      <c r="D1395" s="8">
        <v>44859</v>
      </c>
      <c r="E1395" t="s">
        <v>14</v>
      </c>
      <c r="F1395" t="s">
        <v>24</v>
      </c>
      <c r="G1395" t="s">
        <v>13</v>
      </c>
      <c r="H1395" s="9">
        <v>13</v>
      </c>
      <c r="I1395" s="9">
        <v>312</v>
      </c>
      <c r="J1395" s="10">
        <v>234000</v>
      </c>
      <c r="K1395" s="10">
        <v>35100</v>
      </c>
      <c r="L1395">
        <v>44</v>
      </c>
      <c r="M1395" s="8">
        <v>44835</v>
      </c>
      <c r="N1395" s="23">
        <v>1.1787174999502599E-3</v>
      </c>
      <c r="O1395" s="10" t="str">
        <f>IF(Sales_Data[[#This Row],[Total Profit]]&gt;0,"Profitable","Loss")</f>
        <v>Profitable</v>
      </c>
      <c r="P1395" s="10" t="str">
        <f>IF(Sales_Data[[#This Row],[Total Profit]]&gt;100000,"High Value",IF(Sales_Data[[#This Row],[Total Profit]]&gt;60000,"Medium","Low"))</f>
        <v>Low</v>
      </c>
      <c r="Q1395" s="11" t="str">
        <f>PROPER(Sales_Data[[#This Row],[Month Name]])</f>
        <v>Outubro</v>
      </c>
      <c r="R1395" s="11" t="str">
        <f>PROPER(Sales_Data[[#This Row],[Sales Manager]])</f>
        <v>Liam Lee</v>
      </c>
    </row>
    <row r="1396" spans="1:18" x14ac:dyDescent="0.25">
      <c r="A1396">
        <v>11395</v>
      </c>
      <c r="B1396">
        <v>2022</v>
      </c>
      <c r="C1396" t="s">
        <v>75</v>
      </c>
      <c r="D1396" s="8">
        <v>44860</v>
      </c>
      <c r="E1396" t="s">
        <v>19</v>
      </c>
      <c r="F1396" t="s">
        <v>21</v>
      </c>
      <c r="G1396" t="s">
        <v>23</v>
      </c>
      <c r="H1396" s="9">
        <v>6</v>
      </c>
      <c r="I1396" s="9">
        <v>179</v>
      </c>
      <c r="J1396" s="10">
        <v>62650</v>
      </c>
      <c r="K1396" s="10">
        <v>16289</v>
      </c>
      <c r="L1396">
        <v>44</v>
      </c>
      <c r="M1396" s="8">
        <v>44835</v>
      </c>
      <c r="N1396" s="23">
        <v>3.15583980221725E-4</v>
      </c>
      <c r="O1396" s="10" t="str">
        <f>IF(Sales_Data[[#This Row],[Total Profit]]&gt;0,"Profitable","Loss")</f>
        <v>Profitable</v>
      </c>
      <c r="P1396" s="10" t="str">
        <f>IF(Sales_Data[[#This Row],[Total Profit]]&gt;100000,"High Value",IF(Sales_Data[[#This Row],[Total Profit]]&gt;60000,"Medium","Low"))</f>
        <v>Low</v>
      </c>
      <c r="Q1396" s="11" t="str">
        <f>PROPER(Sales_Data[[#This Row],[Month Name]])</f>
        <v>Outubro</v>
      </c>
      <c r="R1396" s="11" t="str">
        <f>PROPER(Sales_Data[[#This Row],[Sales Manager]])</f>
        <v>John Smith</v>
      </c>
    </row>
    <row r="1397" spans="1:18" x14ac:dyDescent="0.25">
      <c r="A1397">
        <v>11396</v>
      </c>
      <c r="B1397">
        <v>2022</v>
      </c>
      <c r="C1397" t="s">
        <v>75</v>
      </c>
      <c r="D1397" s="8">
        <v>44861</v>
      </c>
      <c r="E1397" t="s">
        <v>14</v>
      </c>
      <c r="F1397" t="s">
        <v>24</v>
      </c>
      <c r="G1397" t="s">
        <v>13</v>
      </c>
      <c r="H1397" s="9">
        <v>14</v>
      </c>
      <c r="I1397" s="9">
        <v>254</v>
      </c>
      <c r="J1397" s="10">
        <v>190500</v>
      </c>
      <c r="K1397" s="10">
        <v>30480</v>
      </c>
      <c r="L1397">
        <v>44</v>
      </c>
      <c r="M1397" s="8">
        <v>44835</v>
      </c>
      <c r="N1397" s="23">
        <v>9.5959693906206797E-4</v>
      </c>
      <c r="O1397" s="10" t="str">
        <f>IF(Sales_Data[[#This Row],[Total Profit]]&gt;0,"Profitable","Loss")</f>
        <v>Profitable</v>
      </c>
      <c r="P1397" s="10" t="str">
        <f>IF(Sales_Data[[#This Row],[Total Profit]]&gt;100000,"High Value",IF(Sales_Data[[#This Row],[Total Profit]]&gt;60000,"Medium","Low"))</f>
        <v>Low</v>
      </c>
      <c r="Q1397" s="11" t="str">
        <f>PROPER(Sales_Data[[#This Row],[Month Name]])</f>
        <v>Outubro</v>
      </c>
      <c r="R1397" s="11" t="str">
        <f>PROPER(Sales_Data[[#This Row],[Sales Manager]])</f>
        <v>Liam Lee</v>
      </c>
    </row>
    <row r="1398" spans="1:18" x14ac:dyDescent="0.25">
      <c r="A1398">
        <v>11397</v>
      </c>
      <c r="B1398">
        <v>2022</v>
      </c>
      <c r="C1398" t="s">
        <v>75</v>
      </c>
      <c r="D1398" s="8">
        <v>44862</v>
      </c>
      <c r="E1398" t="s">
        <v>22</v>
      </c>
      <c r="F1398" t="s">
        <v>18</v>
      </c>
      <c r="G1398" t="s">
        <v>23</v>
      </c>
      <c r="H1398" s="9">
        <v>13</v>
      </c>
      <c r="I1398" s="9">
        <v>242</v>
      </c>
      <c r="J1398" s="10">
        <v>84700</v>
      </c>
      <c r="K1398" s="10">
        <v>11011</v>
      </c>
      <c r="L1398">
        <v>44</v>
      </c>
      <c r="M1398" s="8">
        <v>44835</v>
      </c>
      <c r="N1398" s="23">
        <v>4.26655436947807E-4</v>
      </c>
      <c r="O1398" s="10" t="str">
        <f>IF(Sales_Data[[#This Row],[Total Profit]]&gt;0,"Profitable","Loss")</f>
        <v>Profitable</v>
      </c>
      <c r="P1398" s="10" t="str">
        <f>IF(Sales_Data[[#This Row],[Total Profit]]&gt;100000,"High Value",IF(Sales_Data[[#This Row],[Total Profit]]&gt;60000,"Medium","Low"))</f>
        <v>Low</v>
      </c>
      <c r="Q1398" s="11" t="str">
        <f>PROPER(Sales_Data[[#This Row],[Month Name]])</f>
        <v>Outubro</v>
      </c>
      <c r="R1398" s="11" t="str">
        <f>PROPER(Sales_Data[[#This Row],[Sales Manager]])</f>
        <v>Jane Doe</v>
      </c>
    </row>
    <row r="1399" spans="1:18" x14ac:dyDescent="0.25">
      <c r="A1399">
        <v>11398</v>
      </c>
      <c r="B1399">
        <v>2022</v>
      </c>
      <c r="C1399" t="s">
        <v>75</v>
      </c>
      <c r="D1399" s="8">
        <v>44863</v>
      </c>
      <c r="E1399" t="s">
        <v>11</v>
      </c>
      <c r="F1399" t="s">
        <v>24</v>
      </c>
      <c r="G1399" t="s">
        <v>17</v>
      </c>
      <c r="H1399" s="9">
        <v>5</v>
      </c>
      <c r="I1399" s="9">
        <v>96</v>
      </c>
      <c r="J1399" s="10">
        <v>24000</v>
      </c>
      <c r="K1399" s="10">
        <v>4560</v>
      </c>
      <c r="L1399">
        <v>44</v>
      </c>
      <c r="M1399" s="8">
        <v>44835</v>
      </c>
      <c r="N1399" s="23">
        <v>1.20894102559001E-4</v>
      </c>
      <c r="O1399" s="10" t="str">
        <f>IF(Sales_Data[[#This Row],[Total Profit]]&gt;0,"Profitable","Loss")</f>
        <v>Profitable</v>
      </c>
      <c r="P1399" s="10" t="str">
        <f>IF(Sales_Data[[#This Row],[Total Profit]]&gt;100000,"High Value",IF(Sales_Data[[#This Row],[Total Profit]]&gt;60000,"Medium","Low"))</f>
        <v>Low</v>
      </c>
      <c r="Q1399" s="11" t="str">
        <f>PROPER(Sales_Data[[#This Row],[Month Name]])</f>
        <v>Outubro</v>
      </c>
      <c r="R1399" s="11" t="str">
        <f>PROPER(Sales_Data[[#This Row],[Sales Manager]])</f>
        <v>Liam Lee</v>
      </c>
    </row>
    <row r="1400" spans="1:18" x14ac:dyDescent="0.25">
      <c r="A1400">
        <v>11399</v>
      </c>
      <c r="B1400">
        <v>2022</v>
      </c>
      <c r="C1400" t="s">
        <v>75</v>
      </c>
      <c r="D1400" s="8">
        <v>44864</v>
      </c>
      <c r="E1400" t="s">
        <v>14</v>
      </c>
      <c r="F1400" t="s">
        <v>12</v>
      </c>
      <c r="G1400" t="s">
        <v>17</v>
      </c>
      <c r="H1400" s="9">
        <v>23</v>
      </c>
      <c r="I1400" s="9">
        <v>337</v>
      </c>
      <c r="J1400" s="10">
        <v>84250</v>
      </c>
      <c r="K1400" s="10">
        <v>26960</v>
      </c>
      <c r="L1400">
        <v>45</v>
      </c>
      <c r="M1400" s="8">
        <v>44835</v>
      </c>
      <c r="N1400" s="23">
        <v>4.2438867252482602E-4</v>
      </c>
      <c r="O1400" s="10" t="str">
        <f>IF(Sales_Data[[#This Row],[Total Profit]]&gt;0,"Profitable","Loss")</f>
        <v>Profitable</v>
      </c>
      <c r="P1400" s="10" t="str">
        <f>IF(Sales_Data[[#This Row],[Total Profit]]&gt;100000,"High Value",IF(Sales_Data[[#This Row],[Total Profit]]&gt;60000,"Medium","Low"))</f>
        <v>Low</v>
      </c>
      <c r="Q1400" s="11" t="str">
        <f>PROPER(Sales_Data[[#This Row],[Month Name]])</f>
        <v>Outubro</v>
      </c>
      <c r="R1400" s="11" t="str">
        <f>PROPER(Sales_Data[[#This Row],[Sales Manager]])</f>
        <v>Emily White</v>
      </c>
    </row>
    <row r="1401" spans="1:18" x14ac:dyDescent="0.25">
      <c r="A1401">
        <v>11400</v>
      </c>
      <c r="B1401">
        <v>2022</v>
      </c>
      <c r="C1401" t="s">
        <v>75</v>
      </c>
      <c r="D1401" s="8">
        <v>44865</v>
      </c>
      <c r="E1401" t="s">
        <v>25</v>
      </c>
      <c r="F1401" t="s">
        <v>16</v>
      </c>
      <c r="G1401" t="s">
        <v>23</v>
      </c>
      <c r="H1401" s="9">
        <v>28</v>
      </c>
      <c r="I1401" s="9">
        <v>369</v>
      </c>
      <c r="J1401" s="10">
        <v>129150</v>
      </c>
      <c r="K1401" s="10">
        <v>50368.5</v>
      </c>
      <c r="L1401">
        <v>45</v>
      </c>
      <c r="M1401" s="8">
        <v>44835</v>
      </c>
      <c r="N1401" s="23">
        <v>6.5056138939562297E-4</v>
      </c>
      <c r="O1401" s="10" t="str">
        <f>IF(Sales_Data[[#This Row],[Total Profit]]&gt;0,"Profitable","Loss")</f>
        <v>Profitable</v>
      </c>
      <c r="P1401" s="10" t="str">
        <f>IF(Sales_Data[[#This Row],[Total Profit]]&gt;100000,"High Value",IF(Sales_Data[[#This Row],[Total Profit]]&gt;60000,"Medium","Low"))</f>
        <v>Low</v>
      </c>
      <c r="Q1401" s="11" t="str">
        <f>PROPER(Sales_Data[[#This Row],[Month Name]])</f>
        <v>Outubro</v>
      </c>
      <c r="R1401" s="11" t="str">
        <f>PROPER(Sales_Data[[#This Row],[Sales Manager]])</f>
        <v>James Brown</v>
      </c>
    </row>
    <row r="1402" spans="1:18" x14ac:dyDescent="0.25">
      <c r="A1402">
        <v>11401</v>
      </c>
      <c r="B1402">
        <v>2022</v>
      </c>
      <c r="C1402" t="s">
        <v>76</v>
      </c>
      <c r="D1402" s="8">
        <v>44866</v>
      </c>
      <c r="E1402" t="s">
        <v>14</v>
      </c>
      <c r="F1402" t="s">
        <v>24</v>
      </c>
      <c r="G1402" t="s">
        <v>13</v>
      </c>
      <c r="H1402" s="9">
        <v>10</v>
      </c>
      <c r="I1402" s="9">
        <v>277</v>
      </c>
      <c r="J1402" s="10">
        <v>207750</v>
      </c>
      <c r="K1402" s="10">
        <v>60247.499999999993</v>
      </c>
      <c r="L1402">
        <v>45</v>
      </c>
      <c r="M1402" s="8">
        <v>44835</v>
      </c>
      <c r="N1402" s="23">
        <v>1.0464895752763501E-3</v>
      </c>
      <c r="O1402" s="10" t="str">
        <f>IF(Sales_Data[[#This Row],[Total Profit]]&gt;0,"Profitable","Loss")</f>
        <v>Profitable</v>
      </c>
      <c r="P1402" s="10" t="str">
        <f>IF(Sales_Data[[#This Row],[Total Profit]]&gt;100000,"High Value",IF(Sales_Data[[#This Row],[Total Profit]]&gt;60000,"Medium","Low"))</f>
        <v>Medium</v>
      </c>
      <c r="Q1402" s="11" t="str">
        <f>PROPER(Sales_Data[[#This Row],[Month Name]])</f>
        <v>Novembro</v>
      </c>
      <c r="R1402" s="11" t="str">
        <f>PROPER(Sales_Data[[#This Row],[Sales Manager]])</f>
        <v>Liam Lee</v>
      </c>
    </row>
    <row r="1403" spans="1:18" x14ac:dyDescent="0.25">
      <c r="A1403">
        <v>11402</v>
      </c>
      <c r="B1403">
        <v>2022</v>
      </c>
      <c r="C1403" t="s">
        <v>76</v>
      </c>
      <c r="D1403" s="8">
        <v>44867</v>
      </c>
      <c r="E1403" t="s">
        <v>25</v>
      </c>
      <c r="F1403" t="s">
        <v>16</v>
      </c>
      <c r="G1403" t="s">
        <v>15</v>
      </c>
      <c r="H1403" s="9">
        <v>13</v>
      </c>
      <c r="I1403" s="9">
        <v>138</v>
      </c>
      <c r="J1403" s="10">
        <v>69000</v>
      </c>
      <c r="K1403" s="10">
        <v>8970</v>
      </c>
      <c r="L1403">
        <v>45</v>
      </c>
      <c r="M1403" s="8">
        <v>44835</v>
      </c>
      <c r="N1403" s="23">
        <v>3.4757054485712698E-4</v>
      </c>
      <c r="O1403" s="10" t="str">
        <f>IF(Sales_Data[[#This Row],[Total Profit]]&gt;0,"Profitable","Loss")</f>
        <v>Profitable</v>
      </c>
      <c r="P1403" s="10" t="str">
        <f>IF(Sales_Data[[#This Row],[Total Profit]]&gt;100000,"High Value",IF(Sales_Data[[#This Row],[Total Profit]]&gt;60000,"Medium","Low"))</f>
        <v>Low</v>
      </c>
      <c r="Q1403" s="11" t="str">
        <f>PROPER(Sales_Data[[#This Row],[Month Name]])</f>
        <v>Novembro</v>
      </c>
      <c r="R1403" s="11" t="str">
        <f>PROPER(Sales_Data[[#This Row],[Sales Manager]])</f>
        <v>James Brown</v>
      </c>
    </row>
    <row r="1404" spans="1:18" x14ac:dyDescent="0.25">
      <c r="A1404">
        <v>11403</v>
      </c>
      <c r="B1404">
        <v>2022</v>
      </c>
      <c r="C1404" t="s">
        <v>76</v>
      </c>
      <c r="D1404" s="8">
        <v>44868</v>
      </c>
      <c r="E1404" t="s">
        <v>19</v>
      </c>
      <c r="F1404" t="s">
        <v>12</v>
      </c>
      <c r="G1404" t="s">
        <v>13</v>
      </c>
      <c r="H1404" s="9">
        <v>13</v>
      </c>
      <c r="I1404" s="9">
        <v>285</v>
      </c>
      <c r="J1404" s="10">
        <v>213750</v>
      </c>
      <c r="K1404" s="10">
        <v>21375</v>
      </c>
      <c r="L1404">
        <v>45</v>
      </c>
      <c r="M1404" s="8">
        <v>44835</v>
      </c>
      <c r="N1404" s="23">
        <v>1.0767131009161001E-3</v>
      </c>
      <c r="O1404" s="10" t="str">
        <f>IF(Sales_Data[[#This Row],[Total Profit]]&gt;0,"Profitable","Loss")</f>
        <v>Profitable</v>
      </c>
      <c r="P1404" s="10" t="str">
        <f>IF(Sales_Data[[#This Row],[Total Profit]]&gt;100000,"High Value",IF(Sales_Data[[#This Row],[Total Profit]]&gt;60000,"Medium","Low"))</f>
        <v>Low</v>
      </c>
      <c r="Q1404" s="11" t="str">
        <f>PROPER(Sales_Data[[#This Row],[Month Name]])</f>
        <v>Novembro</v>
      </c>
      <c r="R1404" s="11" t="str">
        <f>PROPER(Sales_Data[[#This Row],[Sales Manager]])</f>
        <v>Emily White</v>
      </c>
    </row>
    <row r="1405" spans="1:18" x14ac:dyDescent="0.25">
      <c r="A1405">
        <v>11404</v>
      </c>
      <c r="B1405">
        <v>2022</v>
      </c>
      <c r="C1405" t="s">
        <v>76</v>
      </c>
      <c r="D1405" s="8">
        <v>44869</v>
      </c>
      <c r="E1405" t="s">
        <v>25</v>
      </c>
      <c r="F1405" t="s">
        <v>16</v>
      </c>
      <c r="G1405" t="s">
        <v>17</v>
      </c>
      <c r="H1405" s="9">
        <v>7</v>
      </c>
      <c r="I1405" s="9">
        <v>223</v>
      </c>
      <c r="J1405" s="10">
        <v>55750</v>
      </c>
      <c r="K1405" s="10">
        <v>18397.5</v>
      </c>
      <c r="L1405">
        <v>45</v>
      </c>
      <c r="M1405" s="8">
        <v>44835</v>
      </c>
      <c r="N1405" s="23">
        <v>2.8082692573601202E-4</v>
      </c>
      <c r="O1405" s="10" t="str">
        <f>IF(Sales_Data[[#This Row],[Total Profit]]&gt;0,"Profitable","Loss")</f>
        <v>Profitable</v>
      </c>
      <c r="P1405" s="10" t="str">
        <f>IF(Sales_Data[[#This Row],[Total Profit]]&gt;100000,"High Value",IF(Sales_Data[[#This Row],[Total Profit]]&gt;60000,"Medium","Low"))</f>
        <v>Low</v>
      </c>
      <c r="Q1405" s="11" t="str">
        <f>PROPER(Sales_Data[[#This Row],[Month Name]])</f>
        <v>Novembro</v>
      </c>
      <c r="R1405" s="11" t="str">
        <f>PROPER(Sales_Data[[#This Row],[Sales Manager]])</f>
        <v>James Brown</v>
      </c>
    </row>
    <row r="1406" spans="1:18" x14ac:dyDescent="0.25">
      <c r="A1406">
        <v>11405</v>
      </c>
      <c r="B1406">
        <v>2022</v>
      </c>
      <c r="C1406" t="s">
        <v>76</v>
      </c>
      <c r="D1406" s="8">
        <v>44870</v>
      </c>
      <c r="E1406" t="s">
        <v>22</v>
      </c>
      <c r="F1406" t="s">
        <v>21</v>
      </c>
      <c r="G1406" t="s">
        <v>20</v>
      </c>
      <c r="H1406" s="9">
        <v>37</v>
      </c>
      <c r="I1406" s="9">
        <v>378</v>
      </c>
      <c r="J1406" s="10">
        <v>321300</v>
      </c>
      <c r="K1406" s="10">
        <v>61047</v>
      </c>
      <c r="L1406">
        <v>45</v>
      </c>
      <c r="M1406" s="8">
        <v>44835</v>
      </c>
      <c r="N1406" s="23">
        <v>1.6184697980086201E-3</v>
      </c>
      <c r="O1406" s="10" t="str">
        <f>IF(Sales_Data[[#This Row],[Total Profit]]&gt;0,"Profitable","Loss")</f>
        <v>Profitable</v>
      </c>
      <c r="P1406" s="10" t="str">
        <f>IF(Sales_Data[[#This Row],[Total Profit]]&gt;100000,"High Value",IF(Sales_Data[[#This Row],[Total Profit]]&gt;60000,"Medium","Low"))</f>
        <v>Medium</v>
      </c>
      <c r="Q1406" s="11" t="str">
        <f>PROPER(Sales_Data[[#This Row],[Month Name]])</f>
        <v>Novembro</v>
      </c>
      <c r="R1406" s="11" t="str">
        <f>PROPER(Sales_Data[[#This Row],[Sales Manager]])</f>
        <v>John Smith</v>
      </c>
    </row>
    <row r="1407" spans="1:18" x14ac:dyDescent="0.25">
      <c r="A1407">
        <v>11406</v>
      </c>
      <c r="B1407">
        <v>2022</v>
      </c>
      <c r="C1407" t="s">
        <v>76</v>
      </c>
      <c r="D1407" s="8">
        <v>44871</v>
      </c>
      <c r="E1407" t="s">
        <v>11</v>
      </c>
      <c r="F1407" t="s">
        <v>18</v>
      </c>
      <c r="G1407" t="s">
        <v>17</v>
      </c>
      <c r="H1407" s="9">
        <v>15</v>
      </c>
      <c r="I1407" s="9">
        <v>205</v>
      </c>
      <c r="J1407" s="10">
        <v>51250</v>
      </c>
      <c r="K1407" s="10">
        <v>19475</v>
      </c>
      <c r="L1407">
        <v>46</v>
      </c>
      <c r="M1407" s="8">
        <v>44835</v>
      </c>
      <c r="N1407" s="23">
        <v>2.5815928150619899E-4</v>
      </c>
      <c r="O1407" s="10" t="str">
        <f>IF(Sales_Data[[#This Row],[Total Profit]]&gt;0,"Profitable","Loss")</f>
        <v>Profitable</v>
      </c>
      <c r="P1407" s="10" t="str">
        <f>IF(Sales_Data[[#This Row],[Total Profit]]&gt;100000,"High Value",IF(Sales_Data[[#This Row],[Total Profit]]&gt;60000,"Medium","Low"))</f>
        <v>Low</v>
      </c>
      <c r="Q1407" s="11" t="str">
        <f>PROPER(Sales_Data[[#This Row],[Month Name]])</f>
        <v>Novembro</v>
      </c>
      <c r="R1407" s="11" t="str">
        <f>PROPER(Sales_Data[[#This Row],[Sales Manager]])</f>
        <v>Jane Doe</v>
      </c>
    </row>
    <row r="1408" spans="1:18" x14ac:dyDescent="0.25">
      <c r="A1408">
        <v>11407</v>
      </c>
      <c r="B1408">
        <v>2022</v>
      </c>
      <c r="C1408" t="s">
        <v>76</v>
      </c>
      <c r="D1408" s="8">
        <v>44872</v>
      </c>
      <c r="E1408" t="s">
        <v>19</v>
      </c>
      <c r="F1408" t="s">
        <v>21</v>
      </c>
      <c r="G1408" t="s">
        <v>20</v>
      </c>
      <c r="H1408" s="9">
        <v>20</v>
      </c>
      <c r="I1408" s="9">
        <v>492</v>
      </c>
      <c r="J1408" s="10">
        <v>418200</v>
      </c>
      <c r="K1408" s="10">
        <v>41820</v>
      </c>
      <c r="L1408">
        <v>46</v>
      </c>
      <c r="M1408" s="8">
        <v>44835</v>
      </c>
      <c r="N1408" s="23">
        <v>2.1065797370905899E-3</v>
      </c>
      <c r="O1408" s="10" t="str">
        <f>IF(Sales_Data[[#This Row],[Total Profit]]&gt;0,"Profitable","Loss")</f>
        <v>Profitable</v>
      </c>
      <c r="P1408" s="10" t="str">
        <f>IF(Sales_Data[[#This Row],[Total Profit]]&gt;100000,"High Value",IF(Sales_Data[[#This Row],[Total Profit]]&gt;60000,"Medium","Low"))</f>
        <v>Low</v>
      </c>
      <c r="Q1408" s="11" t="str">
        <f>PROPER(Sales_Data[[#This Row],[Month Name]])</f>
        <v>Novembro</v>
      </c>
      <c r="R1408" s="11" t="str">
        <f>PROPER(Sales_Data[[#This Row],[Sales Manager]])</f>
        <v>John Smith</v>
      </c>
    </row>
    <row r="1409" spans="1:18" x14ac:dyDescent="0.25">
      <c r="A1409">
        <v>11408</v>
      </c>
      <c r="B1409">
        <v>2022</v>
      </c>
      <c r="C1409" t="s">
        <v>76</v>
      </c>
      <c r="D1409" s="8">
        <v>44873</v>
      </c>
      <c r="E1409" t="s">
        <v>19</v>
      </c>
      <c r="F1409" t="s">
        <v>24</v>
      </c>
      <c r="G1409" t="s">
        <v>20</v>
      </c>
      <c r="H1409" s="9">
        <v>15</v>
      </c>
      <c r="I1409" s="9">
        <v>251</v>
      </c>
      <c r="J1409" s="10">
        <v>213350</v>
      </c>
      <c r="K1409" s="10">
        <v>21335</v>
      </c>
      <c r="L1409">
        <v>46</v>
      </c>
      <c r="M1409" s="8">
        <v>44835</v>
      </c>
      <c r="N1409" s="23">
        <v>1.07469819920678E-3</v>
      </c>
      <c r="O1409" s="10" t="str">
        <f>IF(Sales_Data[[#This Row],[Total Profit]]&gt;0,"Profitable","Loss")</f>
        <v>Profitable</v>
      </c>
      <c r="P1409" s="10" t="str">
        <f>IF(Sales_Data[[#This Row],[Total Profit]]&gt;100000,"High Value",IF(Sales_Data[[#This Row],[Total Profit]]&gt;60000,"Medium","Low"))</f>
        <v>Low</v>
      </c>
      <c r="Q1409" s="11" t="str">
        <f>PROPER(Sales_Data[[#This Row],[Month Name]])</f>
        <v>Novembro</v>
      </c>
      <c r="R1409" s="11" t="str">
        <f>PROPER(Sales_Data[[#This Row],[Sales Manager]])</f>
        <v>Liam Lee</v>
      </c>
    </row>
    <row r="1410" spans="1:18" x14ac:dyDescent="0.25">
      <c r="A1410">
        <v>11409</v>
      </c>
      <c r="B1410">
        <v>2022</v>
      </c>
      <c r="C1410" t="s">
        <v>76</v>
      </c>
      <c r="D1410" s="8">
        <v>44874</v>
      </c>
      <c r="E1410" t="s">
        <v>14</v>
      </c>
      <c r="F1410" t="s">
        <v>16</v>
      </c>
      <c r="G1410" t="s">
        <v>20</v>
      </c>
      <c r="H1410" s="9">
        <v>6</v>
      </c>
      <c r="I1410" s="9">
        <v>98</v>
      </c>
      <c r="J1410" s="10">
        <v>83300</v>
      </c>
      <c r="K1410" s="10">
        <v>9163</v>
      </c>
      <c r="L1410">
        <v>46</v>
      </c>
      <c r="M1410" s="8">
        <v>44835</v>
      </c>
      <c r="N1410" s="23">
        <v>4.1960328096519799E-4</v>
      </c>
      <c r="O1410" s="10" t="str">
        <f>IF(Sales_Data[[#This Row],[Total Profit]]&gt;0,"Profitable","Loss")</f>
        <v>Profitable</v>
      </c>
      <c r="P1410" s="10" t="str">
        <f>IF(Sales_Data[[#This Row],[Total Profit]]&gt;100000,"High Value",IF(Sales_Data[[#This Row],[Total Profit]]&gt;60000,"Medium","Low"))</f>
        <v>Low</v>
      </c>
      <c r="Q1410" s="11" t="str">
        <f>PROPER(Sales_Data[[#This Row],[Month Name]])</f>
        <v>Novembro</v>
      </c>
      <c r="R1410" s="11" t="str">
        <f>PROPER(Sales_Data[[#This Row],[Sales Manager]])</f>
        <v>James Brown</v>
      </c>
    </row>
    <row r="1411" spans="1:18" x14ac:dyDescent="0.25">
      <c r="A1411">
        <v>11410</v>
      </c>
      <c r="B1411">
        <v>2022</v>
      </c>
      <c r="C1411" t="s">
        <v>76</v>
      </c>
      <c r="D1411" s="8">
        <v>44875</v>
      </c>
      <c r="E1411" t="s">
        <v>11</v>
      </c>
      <c r="F1411" t="s">
        <v>16</v>
      </c>
      <c r="G1411" t="s">
        <v>20</v>
      </c>
      <c r="H1411" s="9">
        <v>1</v>
      </c>
      <c r="I1411" s="9">
        <v>27</v>
      </c>
      <c r="J1411" s="10">
        <v>22950</v>
      </c>
      <c r="K1411" s="10">
        <v>5737.5</v>
      </c>
      <c r="L1411">
        <v>46</v>
      </c>
      <c r="M1411" s="8">
        <v>44835</v>
      </c>
      <c r="N1411" s="23">
        <v>1.1560498557204401E-4</v>
      </c>
      <c r="O1411" s="10" t="str">
        <f>IF(Sales_Data[[#This Row],[Total Profit]]&gt;0,"Profitable","Loss")</f>
        <v>Profitable</v>
      </c>
      <c r="P1411" s="10" t="str">
        <f>IF(Sales_Data[[#This Row],[Total Profit]]&gt;100000,"High Value",IF(Sales_Data[[#This Row],[Total Profit]]&gt;60000,"Medium","Low"))</f>
        <v>Low</v>
      </c>
      <c r="Q1411" s="11" t="str">
        <f>PROPER(Sales_Data[[#This Row],[Month Name]])</f>
        <v>Novembro</v>
      </c>
      <c r="R1411" s="11" t="str">
        <f>PROPER(Sales_Data[[#This Row],[Sales Manager]])</f>
        <v>James Brown</v>
      </c>
    </row>
    <row r="1412" spans="1:18" x14ac:dyDescent="0.25">
      <c r="A1412">
        <v>11411</v>
      </c>
      <c r="B1412">
        <v>2022</v>
      </c>
      <c r="C1412" t="s">
        <v>76</v>
      </c>
      <c r="D1412" s="8">
        <v>44876</v>
      </c>
      <c r="E1412" t="s">
        <v>11</v>
      </c>
      <c r="F1412" t="s">
        <v>21</v>
      </c>
      <c r="G1412" t="s">
        <v>17</v>
      </c>
      <c r="H1412" s="9">
        <v>5</v>
      </c>
      <c r="I1412" s="9">
        <v>281</v>
      </c>
      <c r="J1412" s="10">
        <v>70250</v>
      </c>
      <c r="K1412" s="10">
        <v>29505</v>
      </c>
      <c r="L1412">
        <v>46</v>
      </c>
      <c r="M1412" s="8">
        <v>44835</v>
      </c>
      <c r="N1412" s="23">
        <v>3.53867112698742E-4</v>
      </c>
      <c r="O1412" s="10" t="str">
        <f>IF(Sales_Data[[#This Row],[Total Profit]]&gt;0,"Profitable","Loss")</f>
        <v>Profitable</v>
      </c>
      <c r="P1412" s="10" t="str">
        <f>IF(Sales_Data[[#This Row],[Total Profit]]&gt;100000,"High Value",IF(Sales_Data[[#This Row],[Total Profit]]&gt;60000,"Medium","Low"))</f>
        <v>Low</v>
      </c>
      <c r="Q1412" s="11" t="str">
        <f>PROPER(Sales_Data[[#This Row],[Month Name]])</f>
        <v>Novembro</v>
      </c>
      <c r="R1412" s="11" t="str">
        <f>PROPER(Sales_Data[[#This Row],[Sales Manager]])</f>
        <v>John Smith</v>
      </c>
    </row>
    <row r="1413" spans="1:18" x14ac:dyDescent="0.25">
      <c r="A1413">
        <v>11412</v>
      </c>
      <c r="B1413">
        <v>2022</v>
      </c>
      <c r="C1413" t="s">
        <v>76</v>
      </c>
      <c r="D1413" s="8">
        <v>44877</v>
      </c>
      <c r="E1413" t="s">
        <v>19</v>
      </c>
      <c r="F1413" t="s">
        <v>21</v>
      </c>
      <c r="G1413" t="s">
        <v>17</v>
      </c>
      <c r="H1413" s="9">
        <v>19</v>
      </c>
      <c r="I1413" s="9">
        <v>371</v>
      </c>
      <c r="J1413" s="10">
        <v>92750</v>
      </c>
      <c r="K1413" s="10">
        <v>22260</v>
      </c>
      <c r="L1413">
        <v>46</v>
      </c>
      <c r="M1413" s="8">
        <v>44835</v>
      </c>
      <c r="N1413" s="23">
        <v>4.6720533384780497E-4</v>
      </c>
      <c r="O1413" s="10" t="str">
        <f>IF(Sales_Data[[#This Row],[Total Profit]]&gt;0,"Profitable","Loss")</f>
        <v>Profitable</v>
      </c>
      <c r="P1413" s="10" t="str">
        <f>IF(Sales_Data[[#This Row],[Total Profit]]&gt;100000,"High Value",IF(Sales_Data[[#This Row],[Total Profit]]&gt;60000,"Medium","Low"))</f>
        <v>Low</v>
      </c>
      <c r="Q1413" s="11" t="str">
        <f>PROPER(Sales_Data[[#This Row],[Month Name]])</f>
        <v>Novembro</v>
      </c>
      <c r="R1413" s="11" t="str">
        <f>PROPER(Sales_Data[[#This Row],[Sales Manager]])</f>
        <v>John Smith</v>
      </c>
    </row>
    <row r="1414" spans="1:18" x14ac:dyDescent="0.25">
      <c r="A1414">
        <v>11413</v>
      </c>
      <c r="B1414">
        <v>2022</v>
      </c>
      <c r="C1414" t="s">
        <v>76</v>
      </c>
      <c r="D1414" s="8">
        <v>44878</v>
      </c>
      <c r="E1414" t="s">
        <v>11</v>
      </c>
      <c r="F1414" t="s">
        <v>12</v>
      </c>
      <c r="G1414" t="s">
        <v>20</v>
      </c>
      <c r="H1414" s="9">
        <v>18</v>
      </c>
      <c r="I1414" s="9">
        <v>409</v>
      </c>
      <c r="J1414" s="10">
        <v>347650</v>
      </c>
      <c r="K1414" s="10">
        <v>104295</v>
      </c>
      <c r="L1414">
        <v>47</v>
      </c>
      <c r="M1414" s="8">
        <v>44835</v>
      </c>
      <c r="N1414" s="23">
        <v>1.75120144810986E-3</v>
      </c>
      <c r="O1414" s="10" t="str">
        <f>IF(Sales_Data[[#This Row],[Total Profit]]&gt;0,"Profitable","Loss")</f>
        <v>Profitable</v>
      </c>
      <c r="P1414" s="10" t="str">
        <f>IF(Sales_Data[[#This Row],[Total Profit]]&gt;100000,"High Value",IF(Sales_Data[[#This Row],[Total Profit]]&gt;60000,"Medium","Low"))</f>
        <v>High Value</v>
      </c>
      <c r="Q1414" s="11" t="str">
        <f>PROPER(Sales_Data[[#This Row],[Month Name]])</f>
        <v>Novembro</v>
      </c>
      <c r="R1414" s="11" t="str">
        <f>PROPER(Sales_Data[[#This Row],[Sales Manager]])</f>
        <v>Emily White</v>
      </c>
    </row>
    <row r="1415" spans="1:18" x14ac:dyDescent="0.25">
      <c r="A1415">
        <v>11414</v>
      </c>
      <c r="B1415">
        <v>2022</v>
      </c>
      <c r="C1415" t="s">
        <v>76</v>
      </c>
      <c r="D1415" s="8">
        <v>44879</v>
      </c>
      <c r="E1415" t="s">
        <v>25</v>
      </c>
      <c r="F1415" t="s">
        <v>21</v>
      </c>
      <c r="G1415" t="s">
        <v>23</v>
      </c>
      <c r="H1415" s="9">
        <v>1</v>
      </c>
      <c r="I1415" s="9">
        <v>28</v>
      </c>
      <c r="J1415" s="10">
        <v>9800</v>
      </c>
      <c r="K1415" s="10">
        <v>2058</v>
      </c>
      <c r="L1415">
        <v>47</v>
      </c>
      <c r="M1415" s="8">
        <v>44835</v>
      </c>
      <c r="N1415" s="23">
        <v>4.9365091878258601E-5</v>
      </c>
      <c r="O1415" s="10" t="str">
        <f>IF(Sales_Data[[#This Row],[Total Profit]]&gt;0,"Profitable","Loss")</f>
        <v>Profitable</v>
      </c>
      <c r="P1415" s="10" t="str">
        <f>IF(Sales_Data[[#This Row],[Total Profit]]&gt;100000,"High Value",IF(Sales_Data[[#This Row],[Total Profit]]&gt;60000,"Medium","Low"))</f>
        <v>Low</v>
      </c>
      <c r="Q1415" s="11" t="str">
        <f>PROPER(Sales_Data[[#This Row],[Month Name]])</f>
        <v>Novembro</v>
      </c>
      <c r="R1415" s="11" t="str">
        <f>PROPER(Sales_Data[[#This Row],[Sales Manager]])</f>
        <v>John Smith</v>
      </c>
    </row>
    <row r="1416" spans="1:18" x14ac:dyDescent="0.25">
      <c r="A1416">
        <v>11415</v>
      </c>
      <c r="B1416">
        <v>2022</v>
      </c>
      <c r="C1416" t="s">
        <v>76</v>
      </c>
      <c r="D1416" s="8">
        <v>44880</v>
      </c>
      <c r="E1416" t="s">
        <v>22</v>
      </c>
      <c r="F1416" t="s">
        <v>12</v>
      </c>
      <c r="G1416" t="s">
        <v>17</v>
      </c>
      <c r="H1416" s="9">
        <v>12</v>
      </c>
      <c r="I1416" s="9">
        <v>402</v>
      </c>
      <c r="J1416" s="10">
        <v>100500</v>
      </c>
      <c r="K1416" s="10">
        <v>10050</v>
      </c>
      <c r="L1416">
        <v>47</v>
      </c>
      <c r="M1416" s="8">
        <v>44835</v>
      </c>
      <c r="N1416" s="23">
        <v>5.0624405446581596E-4</v>
      </c>
      <c r="O1416" s="10" t="str">
        <f>IF(Sales_Data[[#This Row],[Total Profit]]&gt;0,"Profitable","Loss")</f>
        <v>Profitable</v>
      </c>
      <c r="P1416" s="10" t="str">
        <f>IF(Sales_Data[[#This Row],[Total Profit]]&gt;100000,"High Value",IF(Sales_Data[[#This Row],[Total Profit]]&gt;60000,"Medium","Low"))</f>
        <v>Low</v>
      </c>
      <c r="Q1416" s="11" t="str">
        <f>PROPER(Sales_Data[[#This Row],[Month Name]])</f>
        <v>Novembro</v>
      </c>
      <c r="R1416" s="11" t="str">
        <f>PROPER(Sales_Data[[#This Row],[Sales Manager]])</f>
        <v>Emily White</v>
      </c>
    </row>
    <row r="1417" spans="1:18" x14ac:dyDescent="0.25">
      <c r="A1417">
        <v>11416</v>
      </c>
      <c r="B1417">
        <v>2022</v>
      </c>
      <c r="C1417" t="s">
        <v>76</v>
      </c>
      <c r="D1417" s="8">
        <v>44881</v>
      </c>
      <c r="E1417" t="s">
        <v>11</v>
      </c>
      <c r="F1417" t="s">
        <v>21</v>
      </c>
      <c r="G1417" t="s">
        <v>15</v>
      </c>
      <c r="H1417" s="9">
        <v>10</v>
      </c>
      <c r="I1417" s="9">
        <v>137</v>
      </c>
      <c r="J1417" s="10">
        <v>68500</v>
      </c>
      <c r="K1417" s="10">
        <v>15755</v>
      </c>
      <c r="L1417">
        <v>47</v>
      </c>
      <c r="M1417" s="8">
        <v>44835</v>
      </c>
      <c r="N1417" s="23">
        <v>3.4505191772048102E-4</v>
      </c>
      <c r="O1417" s="10" t="str">
        <f>IF(Sales_Data[[#This Row],[Total Profit]]&gt;0,"Profitable","Loss")</f>
        <v>Profitable</v>
      </c>
      <c r="P1417" s="10" t="str">
        <f>IF(Sales_Data[[#This Row],[Total Profit]]&gt;100000,"High Value",IF(Sales_Data[[#This Row],[Total Profit]]&gt;60000,"Medium","Low"))</f>
        <v>Low</v>
      </c>
      <c r="Q1417" s="11" t="str">
        <f>PROPER(Sales_Data[[#This Row],[Month Name]])</f>
        <v>Novembro</v>
      </c>
      <c r="R1417" s="11" t="str">
        <f>PROPER(Sales_Data[[#This Row],[Sales Manager]])</f>
        <v>John Smith</v>
      </c>
    </row>
    <row r="1418" spans="1:18" x14ac:dyDescent="0.25">
      <c r="A1418">
        <v>11417</v>
      </c>
      <c r="B1418">
        <v>2022</v>
      </c>
      <c r="C1418" t="s">
        <v>76</v>
      </c>
      <c r="D1418" s="8">
        <v>44882</v>
      </c>
      <c r="E1418" t="s">
        <v>19</v>
      </c>
      <c r="F1418" t="s">
        <v>12</v>
      </c>
      <c r="G1418" t="s">
        <v>17</v>
      </c>
      <c r="H1418" s="9">
        <v>12</v>
      </c>
      <c r="I1418" s="9">
        <v>290</v>
      </c>
      <c r="J1418" s="10">
        <v>72500</v>
      </c>
      <c r="K1418" s="10">
        <v>31900</v>
      </c>
      <c r="L1418">
        <v>47</v>
      </c>
      <c r="M1418" s="8">
        <v>44835</v>
      </c>
      <c r="N1418" s="23">
        <v>3.6520093481364803E-4</v>
      </c>
      <c r="O1418" s="10" t="str">
        <f>IF(Sales_Data[[#This Row],[Total Profit]]&gt;0,"Profitable","Loss")</f>
        <v>Profitable</v>
      </c>
      <c r="P1418" s="10" t="str">
        <f>IF(Sales_Data[[#This Row],[Total Profit]]&gt;100000,"High Value",IF(Sales_Data[[#This Row],[Total Profit]]&gt;60000,"Medium","Low"))</f>
        <v>Low</v>
      </c>
      <c r="Q1418" s="11" t="str">
        <f>PROPER(Sales_Data[[#This Row],[Month Name]])</f>
        <v>Novembro</v>
      </c>
      <c r="R1418" s="11" t="str">
        <f>PROPER(Sales_Data[[#This Row],[Sales Manager]])</f>
        <v>Emily White</v>
      </c>
    </row>
    <row r="1419" spans="1:18" x14ac:dyDescent="0.25">
      <c r="A1419">
        <v>11418</v>
      </c>
      <c r="B1419">
        <v>2022</v>
      </c>
      <c r="C1419" t="s">
        <v>76</v>
      </c>
      <c r="D1419" s="8">
        <v>44883</v>
      </c>
      <c r="E1419" t="s">
        <v>14</v>
      </c>
      <c r="F1419" t="s">
        <v>18</v>
      </c>
      <c r="G1419" t="s">
        <v>20</v>
      </c>
      <c r="H1419" s="9">
        <v>32</v>
      </c>
      <c r="I1419" s="9">
        <v>442</v>
      </c>
      <c r="J1419" s="10">
        <v>375700</v>
      </c>
      <c r="K1419" s="10">
        <v>131495</v>
      </c>
      <c r="L1419">
        <v>47</v>
      </c>
      <c r="M1419" s="8">
        <v>44835</v>
      </c>
      <c r="N1419" s="23">
        <v>1.8924964304756901E-3</v>
      </c>
      <c r="O1419" s="10" t="str">
        <f>IF(Sales_Data[[#This Row],[Total Profit]]&gt;0,"Profitable","Loss")</f>
        <v>Profitable</v>
      </c>
      <c r="P1419" s="10" t="str">
        <f>IF(Sales_Data[[#This Row],[Total Profit]]&gt;100000,"High Value",IF(Sales_Data[[#This Row],[Total Profit]]&gt;60000,"Medium","Low"))</f>
        <v>High Value</v>
      </c>
      <c r="Q1419" s="11" t="str">
        <f>PROPER(Sales_Data[[#This Row],[Month Name]])</f>
        <v>Novembro</v>
      </c>
      <c r="R1419" s="11" t="str">
        <f>PROPER(Sales_Data[[#This Row],[Sales Manager]])</f>
        <v>Jane Doe</v>
      </c>
    </row>
    <row r="1420" spans="1:18" x14ac:dyDescent="0.25">
      <c r="A1420">
        <v>11419</v>
      </c>
      <c r="B1420">
        <v>2022</v>
      </c>
      <c r="C1420" t="s">
        <v>76</v>
      </c>
      <c r="D1420" s="8">
        <v>44884</v>
      </c>
      <c r="E1420" t="s">
        <v>14</v>
      </c>
      <c r="F1420" t="s">
        <v>24</v>
      </c>
      <c r="G1420" t="s">
        <v>17</v>
      </c>
      <c r="H1420" s="9">
        <v>31</v>
      </c>
      <c r="I1420" s="9">
        <v>360</v>
      </c>
      <c r="J1420" s="10">
        <v>90000</v>
      </c>
      <c r="K1420" s="10">
        <v>29700</v>
      </c>
      <c r="L1420">
        <v>47</v>
      </c>
      <c r="M1420" s="8">
        <v>44835</v>
      </c>
      <c r="N1420" s="23">
        <v>4.5335288459625298E-4</v>
      </c>
      <c r="O1420" s="10" t="str">
        <f>IF(Sales_Data[[#This Row],[Total Profit]]&gt;0,"Profitable","Loss")</f>
        <v>Profitable</v>
      </c>
      <c r="P1420" s="10" t="str">
        <f>IF(Sales_Data[[#This Row],[Total Profit]]&gt;100000,"High Value",IF(Sales_Data[[#This Row],[Total Profit]]&gt;60000,"Medium","Low"))</f>
        <v>Low</v>
      </c>
      <c r="Q1420" s="11" t="str">
        <f>PROPER(Sales_Data[[#This Row],[Month Name]])</f>
        <v>Novembro</v>
      </c>
      <c r="R1420" s="11" t="str">
        <f>PROPER(Sales_Data[[#This Row],[Sales Manager]])</f>
        <v>Liam Lee</v>
      </c>
    </row>
    <row r="1421" spans="1:18" x14ac:dyDescent="0.25">
      <c r="A1421">
        <v>11420</v>
      </c>
      <c r="B1421">
        <v>2022</v>
      </c>
      <c r="C1421" t="s">
        <v>76</v>
      </c>
      <c r="D1421" s="8">
        <v>44885</v>
      </c>
      <c r="E1421" t="s">
        <v>19</v>
      </c>
      <c r="F1421" t="s">
        <v>16</v>
      </c>
      <c r="G1421" t="s">
        <v>20</v>
      </c>
      <c r="H1421" s="9">
        <v>1</v>
      </c>
      <c r="I1421" s="9">
        <v>21</v>
      </c>
      <c r="J1421" s="10">
        <v>17850</v>
      </c>
      <c r="K1421" s="10">
        <v>4641</v>
      </c>
      <c r="L1421">
        <v>48</v>
      </c>
      <c r="M1421" s="8">
        <v>44835</v>
      </c>
      <c r="N1421" s="23">
        <v>8.9914988778256802E-5</v>
      </c>
      <c r="O1421" s="10" t="str">
        <f>IF(Sales_Data[[#This Row],[Total Profit]]&gt;0,"Profitable","Loss")</f>
        <v>Profitable</v>
      </c>
      <c r="P1421" s="10" t="str">
        <f>IF(Sales_Data[[#This Row],[Total Profit]]&gt;100000,"High Value",IF(Sales_Data[[#This Row],[Total Profit]]&gt;60000,"Medium","Low"))</f>
        <v>Low</v>
      </c>
      <c r="Q1421" s="11" t="str">
        <f>PROPER(Sales_Data[[#This Row],[Month Name]])</f>
        <v>Novembro</v>
      </c>
      <c r="R1421" s="11" t="str">
        <f>PROPER(Sales_Data[[#This Row],[Sales Manager]])</f>
        <v>James Brown</v>
      </c>
    </row>
    <row r="1422" spans="1:18" x14ac:dyDescent="0.25">
      <c r="A1422">
        <v>11421</v>
      </c>
      <c r="B1422">
        <v>2022</v>
      </c>
      <c r="C1422" t="s">
        <v>76</v>
      </c>
      <c r="D1422" s="8">
        <v>44886</v>
      </c>
      <c r="E1422" t="s">
        <v>19</v>
      </c>
      <c r="F1422" t="s">
        <v>16</v>
      </c>
      <c r="G1422" t="s">
        <v>23</v>
      </c>
      <c r="H1422" s="9">
        <v>7</v>
      </c>
      <c r="I1422" s="9">
        <v>107</v>
      </c>
      <c r="J1422" s="10">
        <v>37450</v>
      </c>
      <c r="K1422" s="10">
        <v>16103.5</v>
      </c>
      <c r="L1422">
        <v>48</v>
      </c>
      <c r="M1422" s="8">
        <v>44835</v>
      </c>
      <c r="N1422" s="23">
        <v>1.8864517253477399E-4</v>
      </c>
      <c r="O1422" s="10" t="str">
        <f>IF(Sales_Data[[#This Row],[Total Profit]]&gt;0,"Profitable","Loss")</f>
        <v>Profitable</v>
      </c>
      <c r="P1422" s="10" t="str">
        <f>IF(Sales_Data[[#This Row],[Total Profit]]&gt;100000,"High Value",IF(Sales_Data[[#This Row],[Total Profit]]&gt;60000,"Medium","Low"))</f>
        <v>Low</v>
      </c>
      <c r="Q1422" s="11" t="str">
        <f>PROPER(Sales_Data[[#This Row],[Month Name]])</f>
        <v>Novembro</v>
      </c>
      <c r="R1422" s="11" t="str">
        <f>PROPER(Sales_Data[[#This Row],[Sales Manager]])</f>
        <v>James Brown</v>
      </c>
    </row>
    <row r="1423" spans="1:18" x14ac:dyDescent="0.25">
      <c r="A1423">
        <v>11422</v>
      </c>
      <c r="B1423">
        <v>2022</v>
      </c>
      <c r="C1423" t="s">
        <v>76</v>
      </c>
      <c r="D1423" s="8">
        <v>44887</v>
      </c>
      <c r="E1423" t="s">
        <v>22</v>
      </c>
      <c r="F1423" t="s">
        <v>21</v>
      </c>
      <c r="G1423" t="s">
        <v>17</v>
      </c>
      <c r="H1423" s="9">
        <v>38</v>
      </c>
      <c r="I1423" s="9">
        <v>490</v>
      </c>
      <c r="J1423" s="10">
        <v>122500</v>
      </c>
      <c r="K1423" s="10">
        <v>47775</v>
      </c>
      <c r="L1423">
        <v>48</v>
      </c>
      <c r="M1423" s="8">
        <v>44835</v>
      </c>
      <c r="N1423" s="23">
        <v>6.1706364847823297E-4</v>
      </c>
      <c r="O1423" s="10" t="str">
        <f>IF(Sales_Data[[#This Row],[Total Profit]]&gt;0,"Profitable","Loss")</f>
        <v>Profitable</v>
      </c>
      <c r="P1423" s="10" t="str">
        <f>IF(Sales_Data[[#This Row],[Total Profit]]&gt;100000,"High Value",IF(Sales_Data[[#This Row],[Total Profit]]&gt;60000,"Medium","Low"))</f>
        <v>Low</v>
      </c>
      <c r="Q1423" s="11" t="str">
        <f>PROPER(Sales_Data[[#This Row],[Month Name]])</f>
        <v>Novembro</v>
      </c>
      <c r="R1423" s="11" t="str">
        <f>PROPER(Sales_Data[[#This Row],[Sales Manager]])</f>
        <v>John Smith</v>
      </c>
    </row>
    <row r="1424" spans="1:18" x14ac:dyDescent="0.25">
      <c r="A1424">
        <v>11423</v>
      </c>
      <c r="B1424">
        <v>2022</v>
      </c>
      <c r="C1424" t="s">
        <v>76</v>
      </c>
      <c r="D1424" s="8">
        <v>44888</v>
      </c>
      <c r="E1424" t="s">
        <v>19</v>
      </c>
      <c r="F1424" t="s">
        <v>24</v>
      </c>
      <c r="G1424" t="s">
        <v>20</v>
      </c>
      <c r="H1424" s="9">
        <v>15</v>
      </c>
      <c r="I1424" s="9">
        <v>499</v>
      </c>
      <c r="J1424" s="10">
        <v>424150</v>
      </c>
      <c r="K1424" s="10">
        <v>123003.49999999999</v>
      </c>
      <c r="L1424">
        <v>48</v>
      </c>
      <c r="M1424" s="8">
        <v>44835</v>
      </c>
      <c r="N1424" s="23">
        <v>2.13655140001667E-3</v>
      </c>
      <c r="O1424" s="10" t="str">
        <f>IF(Sales_Data[[#This Row],[Total Profit]]&gt;0,"Profitable","Loss")</f>
        <v>Profitable</v>
      </c>
      <c r="P1424" s="10" t="str">
        <f>IF(Sales_Data[[#This Row],[Total Profit]]&gt;100000,"High Value",IF(Sales_Data[[#This Row],[Total Profit]]&gt;60000,"Medium","Low"))</f>
        <v>High Value</v>
      </c>
      <c r="Q1424" s="11" t="str">
        <f>PROPER(Sales_Data[[#This Row],[Month Name]])</f>
        <v>Novembro</v>
      </c>
      <c r="R1424" s="11" t="str">
        <f>PROPER(Sales_Data[[#This Row],[Sales Manager]])</f>
        <v>Liam Lee</v>
      </c>
    </row>
    <row r="1425" spans="1:18" x14ac:dyDescent="0.25">
      <c r="A1425">
        <v>11424</v>
      </c>
      <c r="B1425">
        <v>2022</v>
      </c>
      <c r="C1425" t="s">
        <v>76</v>
      </c>
      <c r="D1425" s="8">
        <v>44889</v>
      </c>
      <c r="E1425" t="s">
        <v>14</v>
      </c>
      <c r="F1425" t="s">
        <v>16</v>
      </c>
      <c r="G1425" t="s">
        <v>17</v>
      </c>
      <c r="H1425" s="9">
        <v>1</v>
      </c>
      <c r="I1425" s="9">
        <v>88</v>
      </c>
      <c r="J1425" s="10">
        <v>22000</v>
      </c>
      <c r="K1425" s="10">
        <v>5500</v>
      </c>
      <c r="L1425">
        <v>48</v>
      </c>
      <c r="M1425" s="8">
        <v>44835</v>
      </c>
      <c r="N1425" s="23">
        <v>1.10819594012417E-4</v>
      </c>
      <c r="O1425" s="10" t="str">
        <f>IF(Sales_Data[[#This Row],[Total Profit]]&gt;0,"Profitable","Loss")</f>
        <v>Profitable</v>
      </c>
      <c r="P1425" s="10" t="str">
        <f>IF(Sales_Data[[#This Row],[Total Profit]]&gt;100000,"High Value",IF(Sales_Data[[#This Row],[Total Profit]]&gt;60000,"Medium","Low"))</f>
        <v>Low</v>
      </c>
      <c r="Q1425" s="11" t="str">
        <f>PROPER(Sales_Data[[#This Row],[Month Name]])</f>
        <v>Novembro</v>
      </c>
      <c r="R1425" s="11" t="str">
        <f>PROPER(Sales_Data[[#This Row],[Sales Manager]])</f>
        <v>James Brown</v>
      </c>
    </row>
    <row r="1426" spans="1:18" x14ac:dyDescent="0.25">
      <c r="A1426">
        <v>11425</v>
      </c>
      <c r="B1426">
        <v>2022</v>
      </c>
      <c r="C1426" t="s">
        <v>76</v>
      </c>
      <c r="D1426" s="8">
        <v>44890</v>
      </c>
      <c r="E1426" t="s">
        <v>22</v>
      </c>
      <c r="F1426" t="s">
        <v>24</v>
      </c>
      <c r="G1426" t="s">
        <v>20</v>
      </c>
      <c r="H1426" s="9">
        <v>3</v>
      </c>
      <c r="I1426" s="9">
        <v>57</v>
      </c>
      <c r="J1426" s="10">
        <v>48450</v>
      </c>
      <c r="K1426" s="10">
        <v>10174.5</v>
      </c>
      <c r="L1426">
        <v>48</v>
      </c>
      <c r="M1426" s="8">
        <v>44835</v>
      </c>
      <c r="N1426" s="23">
        <v>2.4405496954098301E-4</v>
      </c>
      <c r="O1426" s="10" t="str">
        <f>IF(Sales_Data[[#This Row],[Total Profit]]&gt;0,"Profitable","Loss")</f>
        <v>Profitable</v>
      </c>
      <c r="P1426" s="10" t="str">
        <f>IF(Sales_Data[[#This Row],[Total Profit]]&gt;100000,"High Value",IF(Sales_Data[[#This Row],[Total Profit]]&gt;60000,"Medium","Low"))</f>
        <v>Low</v>
      </c>
      <c r="Q1426" s="11" t="str">
        <f>PROPER(Sales_Data[[#This Row],[Month Name]])</f>
        <v>Novembro</v>
      </c>
      <c r="R1426" s="11" t="str">
        <f>PROPER(Sales_Data[[#This Row],[Sales Manager]])</f>
        <v>Liam Lee</v>
      </c>
    </row>
    <row r="1427" spans="1:18" x14ac:dyDescent="0.25">
      <c r="A1427">
        <v>11426</v>
      </c>
      <c r="B1427">
        <v>2022</v>
      </c>
      <c r="C1427" t="s">
        <v>76</v>
      </c>
      <c r="D1427" s="8">
        <v>44891</v>
      </c>
      <c r="E1427" t="s">
        <v>14</v>
      </c>
      <c r="F1427" t="s">
        <v>21</v>
      </c>
      <c r="G1427" t="s">
        <v>17</v>
      </c>
      <c r="H1427" s="9">
        <v>4</v>
      </c>
      <c r="I1427" s="9">
        <v>90</v>
      </c>
      <c r="J1427" s="10">
        <v>22500</v>
      </c>
      <c r="K1427" s="10">
        <v>9225</v>
      </c>
      <c r="L1427">
        <v>48</v>
      </c>
      <c r="M1427" s="8">
        <v>44835</v>
      </c>
      <c r="N1427" s="23">
        <v>1.13338221149063E-4</v>
      </c>
      <c r="O1427" s="10" t="str">
        <f>IF(Sales_Data[[#This Row],[Total Profit]]&gt;0,"Profitable","Loss")</f>
        <v>Profitable</v>
      </c>
      <c r="P1427" s="10" t="str">
        <f>IF(Sales_Data[[#This Row],[Total Profit]]&gt;100000,"High Value",IF(Sales_Data[[#This Row],[Total Profit]]&gt;60000,"Medium","Low"))</f>
        <v>Low</v>
      </c>
      <c r="Q1427" s="11" t="str">
        <f>PROPER(Sales_Data[[#This Row],[Month Name]])</f>
        <v>Novembro</v>
      </c>
      <c r="R1427" s="11" t="str">
        <f>PROPER(Sales_Data[[#This Row],[Sales Manager]])</f>
        <v>John Smith</v>
      </c>
    </row>
    <row r="1428" spans="1:18" x14ac:dyDescent="0.25">
      <c r="A1428">
        <v>11427</v>
      </c>
      <c r="B1428">
        <v>2022</v>
      </c>
      <c r="C1428" t="s">
        <v>76</v>
      </c>
      <c r="D1428" s="8">
        <v>44892</v>
      </c>
      <c r="E1428" t="s">
        <v>22</v>
      </c>
      <c r="F1428" t="s">
        <v>24</v>
      </c>
      <c r="G1428" t="s">
        <v>15</v>
      </c>
      <c r="H1428" s="9">
        <v>10</v>
      </c>
      <c r="I1428" s="9">
        <v>115</v>
      </c>
      <c r="J1428" s="10">
        <v>57500</v>
      </c>
      <c r="K1428" s="10">
        <v>9200</v>
      </c>
      <c r="L1428">
        <v>49</v>
      </c>
      <c r="M1428" s="8">
        <v>44835</v>
      </c>
      <c r="N1428" s="23">
        <v>2.89642120714273E-4</v>
      </c>
      <c r="O1428" s="10" t="str">
        <f>IF(Sales_Data[[#This Row],[Total Profit]]&gt;0,"Profitable","Loss")</f>
        <v>Profitable</v>
      </c>
      <c r="P1428" s="10" t="str">
        <f>IF(Sales_Data[[#This Row],[Total Profit]]&gt;100000,"High Value",IF(Sales_Data[[#This Row],[Total Profit]]&gt;60000,"Medium","Low"))</f>
        <v>Low</v>
      </c>
      <c r="Q1428" s="11" t="str">
        <f>PROPER(Sales_Data[[#This Row],[Month Name]])</f>
        <v>Novembro</v>
      </c>
      <c r="R1428" s="11" t="str">
        <f>PROPER(Sales_Data[[#This Row],[Sales Manager]])</f>
        <v>Liam Lee</v>
      </c>
    </row>
    <row r="1429" spans="1:18" x14ac:dyDescent="0.25">
      <c r="A1429">
        <v>11428</v>
      </c>
      <c r="B1429">
        <v>2022</v>
      </c>
      <c r="C1429" t="s">
        <v>76</v>
      </c>
      <c r="D1429" s="8">
        <v>44893</v>
      </c>
      <c r="E1429" t="s">
        <v>22</v>
      </c>
      <c r="F1429" t="s">
        <v>12</v>
      </c>
      <c r="G1429" t="s">
        <v>13</v>
      </c>
      <c r="H1429" s="9">
        <v>6</v>
      </c>
      <c r="I1429" s="9">
        <v>457</v>
      </c>
      <c r="J1429" s="10">
        <v>342750</v>
      </c>
      <c r="K1429" s="10">
        <v>147382.5</v>
      </c>
      <c r="L1429">
        <v>49</v>
      </c>
      <c r="M1429" s="8">
        <v>44835</v>
      </c>
      <c r="N1429" s="23">
        <v>1.7265189021707301E-3</v>
      </c>
      <c r="O1429" s="10" t="str">
        <f>IF(Sales_Data[[#This Row],[Total Profit]]&gt;0,"Profitable","Loss")</f>
        <v>Profitable</v>
      </c>
      <c r="P1429" s="10" t="str">
        <f>IF(Sales_Data[[#This Row],[Total Profit]]&gt;100000,"High Value",IF(Sales_Data[[#This Row],[Total Profit]]&gt;60000,"Medium","Low"))</f>
        <v>High Value</v>
      </c>
      <c r="Q1429" s="11" t="str">
        <f>PROPER(Sales_Data[[#This Row],[Month Name]])</f>
        <v>Novembro</v>
      </c>
      <c r="R1429" s="11" t="str">
        <f>PROPER(Sales_Data[[#This Row],[Sales Manager]])</f>
        <v>Emily White</v>
      </c>
    </row>
    <row r="1430" spans="1:18" x14ac:dyDescent="0.25">
      <c r="A1430">
        <v>11429</v>
      </c>
      <c r="B1430">
        <v>2022</v>
      </c>
      <c r="C1430" t="s">
        <v>76</v>
      </c>
      <c r="D1430" s="8">
        <v>44894</v>
      </c>
      <c r="E1430" t="s">
        <v>14</v>
      </c>
      <c r="F1430" t="s">
        <v>21</v>
      </c>
      <c r="G1430" t="s">
        <v>15</v>
      </c>
      <c r="H1430" s="9">
        <v>5</v>
      </c>
      <c r="I1430" s="9">
        <v>70</v>
      </c>
      <c r="J1430" s="10">
        <v>35000</v>
      </c>
      <c r="K1430" s="10">
        <v>12950</v>
      </c>
      <c r="L1430">
        <v>49</v>
      </c>
      <c r="M1430" s="8">
        <v>44835</v>
      </c>
      <c r="N1430" s="23">
        <v>1.7630389956520899E-4</v>
      </c>
      <c r="O1430" s="10" t="str">
        <f>IF(Sales_Data[[#This Row],[Total Profit]]&gt;0,"Profitable","Loss")</f>
        <v>Profitable</v>
      </c>
      <c r="P1430" s="10" t="str">
        <f>IF(Sales_Data[[#This Row],[Total Profit]]&gt;100000,"High Value",IF(Sales_Data[[#This Row],[Total Profit]]&gt;60000,"Medium","Low"))</f>
        <v>Low</v>
      </c>
      <c r="Q1430" s="11" t="str">
        <f>PROPER(Sales_Data[[#This Row],[Month Name]])</f>
        <v>Novembro</v>
      </c>
      <c r="R1430" s="11" t="str">
        <f>PROPER(Sales_Data[[#This Row],[Sales Manager]])</f>
        <v>John Smith</v>
      </c>
    </row>
    <row r="1431" spans="1:18" x14ac:dyDescent="0.25">
      <c r="A1431">
        <v>11430</v>
      </c>
      <c r="B1431">
        <v>2022</v>
      </c>
      <c r="C1431" t="s">
        <v>76</v>
      </c>
      <c r="D1431" s="8">
        <v>44895</v>
      </c>
      <c r="E1431" t="s">
        <v>11</v>
      </c>
      <c r="F1431" t="s">
        <v>18</v>
      </c>
      <c r="G1431" t="s">
        <v>23</v>
      </c>
      <c r="H1431" s="9">
        <v>16</v>
      </c>
      <c r="I1431" s="9">
        <v>344</v>
      </c>
      <c r="J1431" s="10">
        <v>120400</v>
      </c>
      <c r="K1431" s="10">
        <v>19264</v>
      </c>
      <c r="L1431">
        <v>49</v>
      </c>
      <c r="M1431" s="8">
        <v>44835</v>
      </c>
      <c r="N1431" s="23">
        <v>6.0648541450432001E-4</v>
      </c>
      <c r="O1431" s="10" t="str">
        <f>IF(Sales_Data[[#This Row],[Total Profit]]&gt;0,"Profitable","Loss")</f>
        <v>Profitable</v>
      </c>
      <c r="P1431" s="10" t="str">
        <f>IF(Sales_Data[[#This Row],[Total Profit]]&gt;100000,"High Value",IF(Sales_Data[[#This Row],[Total Profit]]&gt;60000,"Medium","Low"))</f>
        <v>Low</v>
      </c>
      <c r="Q1431" s="11" t="str">
        <f>PROPER(Sales_Data[[#This Row],[Month Name]])</f>
        <v>Novembro</v>
      </c>
      <c r="R1431" s="11" t="str">
        <f>PROPER(Sales_Data[[#This Row],[Sales Manager]])</f>
        <v>Jane Doe</v>
      </c>
    </row>
    <row r="1432" spans="1:18" x14ac:dyDescent="0.25">
      <c r="A1432">
        <v>11431</v>
      </c>
      <c r="B1432">
        <v>2022</v>
      </c>
      <c r="C1432" t="s">
        <v>77</v>
      </c>
      <c r="D1432" s="8">
        <v>44896</v>
      </c>
      <c r="E1432" t="s">
        <v>19</v>
      </c>
      <c r="F1432" t="s">
        <v>18</v>
      </c>
      <c r="G1432" t="s">
        <v>13</v>
      </c>
      <c r="H1432" s="9">
        <v>5</v>
      </c>
      <c r="I1432" s="9">
        <v>88</v>
      </c>
      <c r="J1432" s="10">
        <v>66000</v>
      </c>
      <c r="K1432" s="10">
        <v>12540</v>
      </c>
      <c r="L1432">
        <v>49</v>
      </c>
      <c r="M1432" s="8">
        <v>44835</v>
      </c>
      <c r="N1432" s="23">
        <v>3.3245878203725201E-4</v>
      </c>
      <c r="O1432" s="10" t="str">
        <f>IF(Sales_Data[[#This Row],[Total Profit]]&gt;0,"Profitable","Loss")</f>
        <v>Profitable</v>
      </c>
      <c r="P1432" s="10" t="str">
        <f>IF(Sales_Data[[#This Row],[Total Profit]]&gt;100000,"High Value",IF(Sales_Data[[#This Row],[Total Profit]]&gt;60000,"Medium","Low"))</f>
        <v>Low</v>
      </c>
      <c r="Q1432" s="11" t="str">
        <f>PROPER(Sales_Data[[#This Row],[Month Name]])</f>
        <v>Dezembro</v>
      </c>
      <c r="R1432" s="11" t="str">
        <f>PROPER(Sales_Data[[#This Row],[Sales Manager]])</f>
        <v>Jane Doe</v>
      </c>
    </row>
    <row r="1433" spans="1:18" x14ac:dyDescent="0.25">
      <c r="A1433">
        <v>11432</v>
      </c>
      <c r="B1433">
        <v>2022</v>
      </c>
      <c r="C1433" t="s">
        <v>77</v>
      </c>
      <c r="D1433" s="8">
        <v>44897</v>
      </c>
      <c r="E1433" t="s">
        <v>25</v>
      </c>
      <c r="F1433" t="s">
        <v>16</v>
      </c>
      <c r="G1433" t="s">
        <v>15</v>
      </c>
      <c r="H1433" s="9">
        <v>4</v>
      </c>
      <c r="I1433" s="9">
        <v>294</v>
      </c>
      <c r="J1433" s="10">
        <v>147000</v>
      </c>
      <c r="K1433" s="10">
        <v>42630</v>
      </c>
      <c r="L1433">
        <v>49</v>
      </c>
      <c r="M1433" s="8">
        <v>44835</v>
      </c>
      <c r="N1433" s="23">
        <v>7.4047637817388002E-4</v>
      </c>
      <c r="O1433" s="10" t="str">
        <f>IF(Sales_Data[[#This Row],[Total Profit]]&gt;0,"Profitable","Loss")</f>
        <v>Profitable</v>
      </c>
      <c r="P1433" s="10" t="str">
        <f>IF(Sales_Data[[#This Row],[Total Profit]]&gt;100000,"High Value",IF(Sales_Data[[#This Row],[Total Profit]]&gt;60000,"Medium","Low"))</f>
        <v>Low</v>
      </c>
      <c r="Q1433" s="11" t="str">
        <f>PROPER(Sales_Data[[#This Row],[Month Name]])</f>
        <v>Dezembro</v>
      </c>
      <c r="R1433" s="11" t="str">
        <f>PROPER(Sales_Data[[#This Row],[Sales Manager]])</f>
        <v>James Brown</v>
      </c>
    </row>
    <row r="1434" spans="1:18" x14ac:dyDescent="0.25">
      <c r="A1434">
        <v>11433</v>
      </c>
      <c r="B1434">
        <v>2022</v>
      </c>
      <c r="C1434" t="s">
        <v>77</v>
      </c>
      <c r="D1434" s="8">
        <v>44898</v>
      </c>
      <c r="E1434" t="s">
        <v>19</v>
      </c>
      <c r="F1434" t="s">
        <v>12</v>
      </c>
      <c r="G1434" t="s">
        <v>13</v>
      </c>
      <c r="H1434" s="9">
        <v>10</v>
      </c>
      <c r="I1434" s="9">
        <v>336</v>
      </c>
      <c r="J1434" s="10">
        <v>252000</v>
      </c>
      <c r="K1434" s="10">
        <v>75600</v>
      </c>
      <c r="L1434">
        <v>49</v>
      </c>
      <c r="M1434" s="8">
        <v>44835</v>
      </c>
      <c r="N1434" s="23">
        <v>1.2693880768695101E-3</v>
      </c>
      <c r="O1434" s="10" t="str">
        <f>IF(Sales_Data[[#This Row],[Total Profit]]&gt;0,"Profitable","Loss")</f>
        <v>Profitable</v>
      </c>
      <c r="P1434" s="10" t="str">
        <f>IF(Sales_Data[[#This Row],[Total Profit]]&gt;100000,"High Value",IF(Sales_Data[[#This Row],[Total Profit]]&gt;60000,"Medium","Low"))</f>
        <v>Medium</v>
      </c>
      <c r="Q1434" s="11" t="str">
        <f>PROPER(Sales_Data[[#This Row],[Month Name]])</f>
        <v>Dezembro</v>
      </c>
      <c r="R1434" s="11" t="str">
        <f>PROPER(Sales_Data[[#This Row],[Sales Manager]])</f>
        <v>Emily White</v>
      </c>
    </row>
    <row r="1435" spans="1:18" x14ac:dyDescent="0.25">
      <c r="A1435">
        <v>11434</v>
      </c>
      <c r="B1435">
        <v>2022</v>
      </c>
      <c r="C1435" t="s">
        <v>77</v>
      </c>
      <c r="D1435" s="8">
        <v>44899</v>
      </c>
      <c r="E1435" t="s">
        <v>19</v>
      </c>
      <c r="F1435" t="s">
        <v>16</v>
      </c>
      <c r="G1435" t="s">
        <v>17</v>
      </c>
      <c r="H1435" s="9">
        <v>26</v>
      </c>
      <c r="I1435" s="9">
        <v>271</v>
      </c>
      <c r="J1435" s="10">
        <v>67750</v>
      </c>
      <c r="K1435" s="10">
        <v>25745</v>
      </c>
      <c r="L1435">
        <v>50</v>
      </c>
      <c r="M1435" s="8">
        <v>44835</v>
      </c>
      <c r="N1435" s="23">
        <v>3.4127397701551202E-4</v>
      </c>
      <c r="O1435" s="10" t="str">
        <f>IF(Sales_Data[[#This Row],[Total Profit]]&gt;0,"Profitable","Loss")</f>
        <v>Profitable</v>
      </c>
      <c r="P1435" s="10" t="str">
        <f>IF(Sales_Data[[#This Row],[Total Profit]]&gt;100000,"High Value",IF(Sales_Data[[#This Row],[Total Profit]]&gt;60000,"Medium","Low"))</f>
        <v>Low</v>
      </c>
      <c r="Q1435" s="11" t="str">
        <f>PROPER(Sales_Data[[#This Row],[Month Name]])</f>
        <v>Dezembro</v>
      </c>
      <c r="R1435" s="11" t="str">
        <f>PROPER(Sales_Data[[#This Row],[Sales Manager]])</f>
        <v>James Brown</v>
      </c>
    </row>
    <row r="1436" spans="1:18" x14ac:dyDescent="0.25">
      <c r="A1436">
        <v>11435</v>
      </c>
      <c r="B1436">
        <v>2022</v>
      </c>
      <c r="C1436" t="s">
        <v>77</v>
      </c>
      <c r="D1436" s="8">
        <v>44900</v>
      </c>
      <c r="E1436" t="s">
        <v>19</v>
      </c>
      <c r="F1436" t="s">
        <v>16</v>
      </c>
      <c r="G1436" t="s">
        <v>17</v>
      </c>
      <c r="H1436" s="9">
        <v>8</v>
      </c>
      <c r="I1436" s="9">
        <v>347</v>
      </c>
      <c r="J1436" s="10">
        <v>86750</v>
      </c>
      <c r="K1436" s="10">
        <v>13012.5</v>
      </c>
      <c r="L1436">
        <v>50</v>
      </c>
      <c r="M1436" s="8">
        <v>44835</v>
      </c>
      <c r="N1436" s="23">
        <v>4.3698180820805497E-4</v>
      </c>
      <c r="O1436" s="10" t="str">
        <f>IF(Sales_Data[[#This Row],[Total Profit]]&gt;0,"Profitable","Loss")</f>
        <v>Profitable</v>
      </c>
      <c r="P1436" s="10" t="str">
        <f>IF(Sales_Data[[#This Row],[Total Profit]]&gt;100000,"High Value",IF(Sales_Data[[#This Row],[Total Profit]]&gt;60000,"Medium","Low"))</f>
        <v>Low</v>
      </c>
      <c r="Q1436" s="11" t="str">
        <f>PROPER(Sales_Data[[#This Row],[Month Name]])</f>
        <v>Dezembro</v>
      </c>
      <c r="R1436" s="11" t="str">
        <f>PROPER(Sales_Data[[#This Row],[Sales Manager]])</f>
        <v>James Brown</v>
      </c>
    </row>
    <row r="1437" spans="1:18" x14ac:dyDescent="0.25">
      <c r="A1437">
        <v>11436</v>
      </c>
      <c r="B1437">
        <v>2022</v>
      </c>
      <c r="C1437" t="s">
        <v>77</v>
      </c>
      <c r="D1437" s="8">
        <v>44901</v>
      </c>
      <c r="E1437" t="s">
        <v>11</v>
      </c>
      <c r="F1437" t="s">
        <v>18</v>
      </c>
      <c r="G1437" t="s">
        <v>20</v>
      </c>
      <c r="H1437" s="9">
        <v>39</v>
      </c>
      <c r="I1437" s="9">
        <v>450</v>
      </c>
      <c r="J1437" s="10">
        <v>382500</v>
      </c>
      <c r="K1437" s="10">
        <v>42075</v>
      </c>
      <c r="L1437">
        <v>50</v>
      </c>
      <c r="M1437" s="8">
        <v>44835</v>
      </c>
      <c r="N1437" s="23">
        <v>1.9267497595340699E-3</v>
      </c>
      <c r="O1437" s="10" t="str">
        <f>IF(Sales_Data[[#This Row],[Total Profit]]&gt;0,"Profitable","Loss")</f>
        <v>Profitable</v>
      </c>
      <c r="P1437" s="10" t="str">
        <f>IF(Sales_Data[[#This Row],[Total Profit]]&gt;100000,"High Value",IF(Sales_Data[[#This Row],[Total Profit]]&gt;60000,"Medium","Low"))</f>
        <v>Low</v>
      </c>
      <c r="Q1437" s="11" t="str">
        <f>PROPER(Sales_Data[[#This Row],[Month Name]])</f>
        <v>Dezembro</v>
      </c>
      <c r="R1437" s="11" t="str">
        <f>PROPER(Sales_Data[[#This Row],[Sales Manager]])</f>
        <v>Jane Doe</v>
      </c>
    </row>
    <row r="1438" spans="1:18" x14ac:dyDescent="0.25">
      <c r="A1438">
        <v>11437</v>
      </c>
      <c r="B1438">
        <v>2022</v>
      </c>
      <c r="C1438" t="s">
        <v>77</v>
      </c>
      <c r="D1438" s="8">
        <v>44902</v>
      </c>
      <c r="E1438" t="s">
        <v>14</v>
      </c>
      <c r="F1438" t="s">
        <v>12</v>
      </c>
      <c r="G1438" t="s">
        <v>17</v>
      </c>
      <c r="H1438" s="9">
        <v>2</v>
      </c>
      <c r="I1438" s="9">
        <v>74</v>
      </c>
      <c r="J1438" s="10">
        <v>18500</v>
      </c>
      <c r="K1438" s="10">
        <v>7585</v>
      </c>
      <c r="L1438">
        <v>50</v>
      </c>
      <c r="M1438" s="8">
        <v>44835</v>
      </c>
      <c r="N1438" s="23">
        <v>9.3189204055896398E-5</v>
      </c>
      <c r="O1438" s="10" t="str">
        <f>IF(Sales_Data[[#This Row],[Total Profit]]&gt;0,"Profitable","Loss")</f>
        <v>Profitable</v>
      </c>
      <c r="P1438" s="10" t="str">
        <f>IF(Sales_Data[[#This Row],[Total Profit]]&gt;100000,"High Value",IF(Sales_Data[[#This Row],[Total Profit]]&gt;60000,"Medium","Low"))</f>
        <v>Low</v>
      </c>
      <c r="Q1438" s="11" t="str">
        <f>PROPER(Sales_Data[[#This Row],[Month Name]])</f>
        <v>Dezembro</v>
      </c>
      <c r="R1438" s="11" t="str">
        <f>PROPER(Sales_Data[[#This Row],[Sales Manager]])</f>
        <v>Emily White</v>
      </c>
    </row>
    <row r="1439" spans="1:18" x14ac:dyDescent="0.25">
      <c r="A1439">
        <v>11438</v>
      </c>
      <c r="B1439">
        <v>2022</v>
      </c>
      <c r="C1439" t="s">
        <v>77</v>
      </c>
      <c r="D1439" s="8">
        <v>44903</v>
      </c>
      <c r="E1439" t="s">
        <v>14</v>
      </c>
      <c r="F1439" t="s">
        <v>21</v>
      </c>
      <c r="G1439" t="s">
        <v>15</v>
      </c>
      <c r="H1439" s="9">
        <v>18</v>
      </c>
      <c r="I1439" s="9">
        <v>183</v>
      </c>
      <c r="J1439" s="10">
        <v>91500</v>
      </c>
      <c r="K1439" s="10">
        <v>29280</v>
      </c>
      <c r="L1439">
        <v>50</v>
      </c>
      <c r="M1439" s="8">
        <v>44835</v>
      </c>
      <c r="N1439" s="23">
        <v>4.6090876600619001E-4</v>
      </c>
      <c r="O1439" s="10" t="str">
        <f>IF(Sales_Data[[#This Row],[Total Profit]]&gt;0,"Profitable","Loss")</f>
        <v>Profitable</v>
      </c>
      <c r="P1439" s="10" t="str">
        <f>IF(Sales_Data[[#This Row],[Total Profit]]&gt;100000,"High Value",IF(Sales_Data[[#This Row],[Total Profit]]&gt;60000,"Medium","Low"))</f>
        <v>Low</v>
      </c>
      <c r="Q1439" s="11" t="str">
        <f>PROPER(Sales_Data[[#This Row],[Month Name]])</f>
        <v>Dezembro</v>
      </c>
      <c r="R1439" s="11" t="str">
        <f>PROPER(Sales_Data[[#This Row],[Sales Manager]])</f>
        <v>John Smith</v>
      </c>
    </row>
    <row r="1440" spans="1:18" x14ac:dyDescent="0.25">
      <c r="A1440">
        <v>11439</v>
      </c>
      <c r="B1440">
        <v>2022</v>
      </c>
      <c r="C1440" t="s">
        <v>77</v>
      </c>
      <c r="D1440" s="8">
        <v>44904</v>
      </c>
      <c r="E1440" t="s">
        <v>14</v>
      </c>
      <c r="F1440" t="s">
        <v>18</v>
      </c>
      <c r="G1440" t="s">
        <v>15</v>
      </c>
      <c r="H1440" s="9">
        <v>5</v>
      </c>
      <c r="I1440" s="9">
        <v>55</v>
      </c>
      <c r="J1440" s="10">
        <v>27500</v>
      </c>
      <c r="K1440" s="10">
        <v>4675</v>
      </c>
      <c r="L1440">
        <v>50</v>
      </c>
      <c r="M1440" s="8">
        <v>44835</v>
      </c>
      <c r="N1440" s="23">
        <v>1.38524492515522E-4</v>
      </c>
      <c r="O1440" s="10" t="str">
        <f>IF(Sales_Data[[#This Row],[Total Profit]]&gt;0,"Profitable","Loss")</f>
        <v>Profitable</v>
      </c>
      <c r="P1440" s="10" t="str">
        <f>IF(Sales_Data[[#This Row],[Total Profit]]&gt;100000,"High Value",IF(Sales_Data[[#This Row],[Total Profit]]&gt;60000,"Medium","Low"))</f>
        <v>Low</v>
      </c>
      <c r="Q1440" s="11" t="str">
        <f>PROPER(Sales_Data[[#This Row],[Month Name]])</f>
        <v>Dezembro</v>
      </c>
      <c r="R1440" s="11" t="str">
        <f>PROPER(Sales_Data[[#This Row],[Sales Manager]])</f>
        <v>Jane Doe</v>
      </c>
    </row>
    <row r="1441" spans="1:18" x14ac:dyDescent="0.25">
      <c r="A1441">
        <v>11440</v>
      </c>
      <c r="B1441">
        <v>2022</v>
      </c>
      <c r="C1441" t="s">
        <v>77</v>
      </c>
      <c r="D1441" s="8">
        <v>44905</v>
      </c>
      <c r="E1441" t="s">
        <v>19</v>
      </c>
      <c r="F1441" t="s">
        <v>18</v>
      </c>
      <c r="G1441" t="s">
        <v>20</v>
      </c>
      <c r="H1441" s="9">
        <v>37</v>
      </c>
      <c r="I1441" s="9">
        <v>479</v>
      </c>
      <c r="J1441" s="10">
        <v>407150</v>
      </c>
      <c r="K1441" s="10">
        <v>126216.5</v>
      </c>
      <c r="L1441">
        <v>50</v>
      </c>
      <c r="M1441" s="8">
        <v>44835</v>
      </c>
      <c r="N1441" s="23">
        <v>2.0509180773707102E-3</v>
      </c>
      <c r="O1441" s="10" t="str">
        <f>IF(Sales_Data[[#This Row],[Total Profit]]&gt;0,"Profitable","Loss")</f>
        <v>Profitable</v>
      </c>
      <c r="P1441" s="10" t="str">
        <f>IF(Sales_Data[[#This Row],[Total Profit]]&gt;100000,"High Value",IF(Sales_Data[[#This Row],[Total Profit]]&gt;60000,"Medium","Low"))</f>
        <v>High Value</v>
      </c>
      <c r="Q1441" s="11" t="str">
        <f>PROPER(Sales_Data[[#This Row],[Month Name]])</f>
        <v>Dezembro</v>
      </c>
      <c r="R1441" s="11" t="str">
        <f>PROPER(Sales_Data[[#This Row],[Sales Manager]])</f>
        <v>Jane Doe</v>
      </c>
    </row>
    <row r="1442" spans="1:18" x14ac:dyDescent="0.25">
      <c r="A1442">
        <v>11441</v>
      </c>
      <c r="B1442">
        <v>2022</v>
      </c>
      <c r="C1442" t="s">
        <v>77</v>
      </c>
      <c r="D1442" s="8">
        <v>44906</v>
      </c>
      <c r="E1442" t="s">
        <v>22</v>
      </c>
      <c r="F1442" t="s">
        <v>16</v>
      </c>
      <c r="G1442" t="s">
        <v>23</v>
      </c>
      <c r="H1442" s="9">
        <v>5</v>
      </c>
      <c r="I1442" s="9">
        <v>63</v>
      </c>
      <c r="J1442" s="10">
        <v>22050</v>
      </c>
      <c r="K1442" s="10">
        <v>7717.4999999999991</v>
      </c>
      <c r="L1442">
        <v>51</v>
      </c>
      <c r="M1442" s="8">
        <v>44835</v>
      </c>
      <c r="N1442" s="23">
        <v>1.11071456726082E-4</v>
      </c>
      <c r="O1442" s="10" t="str">
        <f>IF(Sales_Data[[#This Row],[Total Profit]]&gt;0,"Profitable","Loss")</f>
        <v>Profitable</v>
      </c>
      <c r="P1442" s="10" t="str">
        <f>IF(Sales_Data[[#This Row],[Total Profit]]&gt;100000,"High Value",IF(Sales_Data[[#This Row],[Total Profit]]&gt;60000,"Medium","Low"))</f>
        <v>Low</v>
      </c>
      <c r="Q1442" s="11" t="str">
        <f>PROPER(Sales_Data[[#This Row],[Month Name]])</f>
        <v>Dezembro</v>
      </c>
      <c r="R1442" s="11" t="str">
        <f>PROPER(Sales_Data[[#This Row],[Sales Manager]])</f>
        <v>James Brown</v>
      </c>
    </row>
    <row r="1443" spans="1:18" x14ac:dyDescent="0.25">
      <c r="A1443">
        <v>11442</v>
      </c>
      <c r="B1443">
        <v>2022</v>
      </c>
      <c r="C1443" t="s">
        <v>77</v>
      </c>
      <c r="D1443" s="8">
        <v>44907</v>
      </c>
      <c r="E1443" t="s">
        <v>25</v>
      </c>
      <c r="F1443" t="s">
        <v>24</v>
      </c>
      <c r="G1443" t="s">
        <v>13</v>
      </c>
      <c r="H1443" s="9">
        <v>8</v>
      </c>
      <c r="I1443" s="9">
        <v>166</v>
      </c>
      <c r="J1443" s="10">
        <v>124500</v>
      </c>
      <c r="K1443" s="10">
        <v>56025</v>
      </c>
      <c r="L1443">
        <v>51</v>
      </c>
      <c r="M1443" s="8">
        <v>44835</v>
      </c>
      <c r="N1443" s="23">
        <v>6.2713815702481596E-4</v>
      </c>
      <c r="O1443" s="10" t="str">
        <f>IF(Sales_Data[[#This Row],[Total Profit]]&gt;0,"Profitable","Loss")</f>
        <v>Profitable</v>
      </c>
      <c r="P1443" s="10" t="str">
        <f>IF(Sales_Data[[#This Row],[Total Profit]]&gt;100000,"High Value",IF(Sales_Data[[#This Row],[Total Profit]]&gt;60000,"Medium","Low"))</f>
        <v>Low</v>
      </c>
      <c r="Q1443" s="11" t="str">
        <f>PROPER(Sales_Data[[#This Row],[Month Name]])</f>
        <v>Dezembro</v>
      </c>
      <c r="R1443" s="11" t="str">
        <f>PROPER(Sales_Data[[#This Row],[Sales Manager]])</f>
        <v>Liam Lee</v>
      </c>
    </row>
    <row r="1444" spans="1:18" x14ac:dyDescent="0.25">
      <c r="A1444">
        <v>11443</v>
      </c>
      <c r="B1444">
        <v>2022</v>
      </c>
      <c r="C1444" t="s">
        <v>77</v>
      </c>
      <c r="D1444" s="8">
        <v>44908</v>
      </c>
      <c r="E1444" t="s">
        <v>14</v>
      </c>
      <c r="F1444" t="s">
        <v>18</v>
      </c>
      <c r="G1444" t="s">
        <v>15</v>
      </c>
      <c r="H1444" s="9">
        <v>1</v>
      </c>
      <c r="I1444" s="9">
        <v>70</v>
      </c>
      <c r="J1444" s="10">
        <v>35000</v>
      </c>
      <c r="K1444" s="10">
        <v>4550</v>
      </c>
      <c r="L1444">
        <v>51</v>
      </c>
      <c r="M1444" s="8">
        <v>44835</v>
      </c>
      <c r="N1444" s="23">
        <v>1.7630389956520899E-4</v>
      </c>
      <c r="O1444" s="10" t="str">
        <f>IF(Sales_Data[[#This Row],[Total Profit]]&gt;0,"Profitable","Loss")</f>
        <v>Profitable</v>
      </c>
      <c r="P1444" s="10" t="str">
        <f>IF(Sales_Data[[#This Row],[Total Profit]]&gt;100000,"High Value",IF(Sales_Data[[#This Row],[Total Profit]]&gt;60000,"Medium","Low"))</f>
        <v>Low</v>
      </c>
      <c r="Q1444" s="11" t="str">
        <f>PROPER(Sales_Data[[#This Row],[Month Name]])</f>
        <v>Dezembro</v>
      </c>
      <c r="R1444" s="11" t="str">
        <f>PROPER(Sales_Data[[#This Row],[Sales Manager]])</f>
        <v>Jane Doe</v>
      </c>
    </row>
    <row r="1445" spans="1:18" x14ac:dyDescent="0.25">
      <c r="A1445">
        <v>11444</v>
      </c>
      <c r="B1445">
        <v>2022</v>
      </c>
      <c r="C1445" t="s">
        <v>77</v>
      </c>
      <c r="D1445" s="8">
        <v>44909</v>
      </c>
      <c r="E1445" t="s">
        <v>25</v>
      </c>
      <c r="F1445" t="s">
        <v>18</v>
      </c>
      <c r="G1445" t="s">
        <v>15</v>
      </c>
      <c r="H1445" s="9">
        <v>19</v>
      </c>
      <c r="I1445" s="9">
        <v>474</v>
      </c>
      <c r="J1445" s="10">
        <v>237000</v>
      </c>
      <c r="K1445" s="10">
        <v>92430</v>
      </c>
      <c r="L1445">
        <v>51</v>
      </c>
      <c r="M1445" s="8">
        <v>44835</v>
      </c>
      <c r="N1445" s="23">
        <v>1.1938292627701301E-3</v>
      </c>
      <c r="O1445" s="10" t="str">
        <f>IF(Sales_Data[[#This Row],[Total Profit]]&gt;0,"Profitable","Loss")</f>
        <v>Profitable</v>
      </c>
      <c r="P1445" s="10" t="str">
        <f>IF(Sales_Data[[#This Row],[Total Profit]]&gt;100000,"High Value",IF(Sales_Data[[#This Row],[Total Profit]]&gt;60000,"Medium","Low"))</f>
        <v>Medium</v>
      </c>
      <c r="Q1445" s="11" t="str">
        <f>PROPER(Sales_Data[[#This Row],[Month Name]])</f>
        <v>Dezembro</v>
      </c>
      <c r="R1445" s="11" t="str">
        <f>PROPER(Sales_Data[[#This Row],[Sales Manager]])</f>
        <v>Jane Doe</v>
      </c>
    </row>
    <row r="1446" spans="1:18" x14ac:dyDescent="0.25">
      <c r="A1446">
        <v>11445</v>
      </c>
      <c r="B1446">
        <v>2022</v>
      </c>
      <c r="C1446" t="s">
        <v>77</v>
      </c>
      <c r="D1446" s="8">
        <v>44910</v>
      </c>
      <c r="E1446" t="s">
        <v>22</v>
      </c>
      <c r="F1446" t="s">
        <v>16</v>
      </c>
      <c r="G1446" t="s">
        <v>13</v>
      </c>
      <c r="H1446" s="9">
        <v>8</v>
      </c>
      <c r="I1446" s="9">
        <v>166</v>
      </c>
      <c r="J1446" s="10">
        <v>124500</v>
      </c>
      <c r="K1446" s="10">
        <v>43575</v>
      </c>
      <c r="L1446">
        <v>51</v>
      </c>
      <c r="M1446" s="8">
        <v>44835</v>
      </c>
      <c r="N1446" s="23">
        <v>6.2713815702481596E-4</v>
      </c>
      <c r="O1446" s="10" t="str">
        <f>IF(Sales_Data[[#This Row],[Total Profit]]&gt;0,"Profitable","Loss")</f>
        <v>Profitable</v>
      </c>
      <c r="P1446" s="10" t="str">
        <f>IF(Sales_Data[[#This Row],[Total Profit]]&gt;100000,"High Value",IF(Sales_Data[[#This Row],[Total Profit]]&gt;60000,"Medium","Low"))</f>
        <v>Low</v>
      </c>
      <c r="Q1446" s="11" t="str">
        <f>PROPER(Sales_Data[[#This Row],[Month Name]])</f>
        <v>Dezembro</v>
      </c>
      <c r="R1446" s="11" t="str">
        <f>PROPER(Sales_Data[[#This Row],[Sales Manager]])</f>
        <v>James Brown</v>
      </c>
    </row>
    <row r="1447" spans="1:18" x14ac:dyDescent="0.25">
      <c r="A1447">
        <v>11446</v>
      </c>
      <c r="B1447">
        <v>2022</v>
      </c>
      <c r="C1447" t="s">
        <v>77</v>
      </c>
      <c r="D1447" s="8">
        <v>44911</v>
      </c>
      <c r="E1447" t="s">
        <v>14</v>
      </c>
      <c r="F1447" t="s">
        <v>21</v>
      </c>
      <c r="G1447" t="s">
        <v>15</v>
      </c>
      <c r="H1447" s="9">
        <v>3</v>
      </c>
      <c r="I1447" s="9">
        <v>45</v>
      </c>
      <c r="J1447" s="10">
        <v>22500</v>
      </c>
      <c r="K1447" s="10">
        <v>7200</v>
      </c>
      <c r="L1447">
        <v>51</v>
      </c>
      <c r="M1447" s="8">
        <v>44835</v>
      </c>
      <c r="N1447" s="23">
        <v>1.13338221149063E-4</v>
      </c>
      <c r="O1447" s="10" t="str">
        <f>IF(Sales_Data[[#This Row],[Total Profit]]&gt;0,"Profitable","Loss")</f>
        <v>Profitable</v>
      </c>
      <c r="P1447" s="10" t="str">
        <f>IF(Sales_Data[[#This Row],[Total Profit]]&gt;100000,"High Value",IF(Sales_Data[[#This Row],[Total Profit]]&gt;60000,"Medium","Low"))</f>
        <v>Low</v>
      </c>
      <c r="Q1447" s="11" t="str">
        <f>PROPER(Sales_Data[[#This Row],[Month Name]])</f>
        <v>Dezembro</v>
      </c>
      <c r="R1447" s="11" t="str">
        <f>PROPER(Sales_Data[[#This Row],[Sales Manager]])</f>
        <v>John Smith</v>
      </c>
    </row>
    <row r="1448" spans="1:18" x14ac:dyDescent="0.25">
      <c r="A1448">
        <v>11447</v>
      </c>
      <c r="B1448">
        <v>2022</v>
      </c>
      <c r="C1448" t="s">
        <v>77</v>
      </c>
      <c r="D1448" s="8">
        <v>44912</v>
      </c>
      <c r="E1448" t="s">
        <v>14</v>
      </c>
      <c r="F1448" t="s">
        <v>24</v>
      </c>
      <c r="G1448" t="s">
        <v>20</v>
      </c>
      <c r="H1448" s="9">
        <v>25</v>
      </c>
      <c r="I1448" s="9">
        <v>255</v>
      </c>
      <c r="J1448" s="10">
        <v>216750</v>
      </c>
      <c r="K1448" s="10">
        <v>49852.5</v>
      </c>
      <c r="L1448">
        <v>51</v>
      </c>
      <c r="M1448" s="8">
        <v>44835</v>
      </c>
      <c r="N1448" s="23">
        <v>1.09182486373598E-3</v>
      </c>
      <c r="O1448" s="10" t="str">
        <f>IF(Sales_Data[[#This Row],[Total Profit]]&gt;0,"Profitable","Loss")</f>
        <v>Profitable</v>
      </c>
      <c r="P1448" s="10" t="str">
        <f>IF(Sales_Data[[#This Row],[Total Profit]]&gt;100000,"High Value",IF(Sales_Data[[#This Row],[Total Profit]]&gt;60000,"Medium","Low"))</f>
        <v>Low</v>
      </c>
      <c r="Q1448" s="11" t="str">
        <f>PROPER(Sales_Data[[#This Row],[Month Name]])</f>
        <v>Dezembro</v>
      </c>
      <c r="R1448" s="11" t="str">
        <f>PROPER(Sales_Data[[#This Row],[Sales Manager]])</f>
        <v>Liam Lee</v>
      </c>
    </row>
    <row r="1449" spans="1:18" x14ac:dyDescent="0.25">
      <c r="A1449">
        <v>11448</v>
      </c>
      <c r="B1449">
        <v>2022</v>
      </c>
      <c r="C1449" t="s">
        <v>77</v>
      </c>
      <c r="D1449" s="8">
        <v>44913</v>
      </c>
      <c r="E1449" t="s">
        <v>22</v>
      </c>
      <c r="F1449" t="s">
        <v>24</v>
      </c>
      <c r="G1449" t="s">
        <v>13</v>
      </c>
      <c r="H1449" s="9">
        <v>7</v>
      </c>
      <c r="I1449" s="9">
        <v>288</v>
      </c>
      <c r="J1449" s="10">
        <v>216000</v>
      </c>
      <c r="K1449" s="10">
        <v>66960</v>
      </c>
      <c r="L1449">
        <v>52</v>
      </c>
      <c r="M1449" s="8">
        <v>44835</v>
      </c>
      <c r="N1449" s="23">
        <v>1.08804692303101E-3</v>
      </c>
      <c r="O1449" s="10" t="str">
        <f>IF(Sales_Data[[#This Row],[Total Profit]]&gt;0,"Profitable","Loss")</f>
        <v>Profitable</v>
      </c>
      <c r="P1449" s="10" t="str">
        <f>IF(Sales_Data[[#This Row],[Total Profit]]&gt;100000,"High Value",IF(Sales_Data[[#This Row],[Total Profit]]&gt;60000,"Medium","Low"))</f>
        <v>Medium</v>
      </c>
      <c r="Q1449" s="11" t="str">
        <f>PROPER(Sales_Data[[#This Row],[Month Name]])</f>
        <v>Dezembro</v>
      </c>
      <c r="R1449" s="11" t="str">
        <f>PROPER(Sales_Data[[#This Row],[Sales Manager]])</f>
        <v>Liam Lee</v>
      </c>
    </row>
    <row r="1450" spans="1:18" x14ac:dyDescent="0.25">
      <c r="A1450">
        <v>11449</v>
      </c>
      <c r="B1450">
        <v>2022</v>
      </c>
      <c r="C1450" t="s">
        <v>77</v>
      </c>
      <c r="D1450" s="8">
        <v>44914</v>
      </c>
      <c r="E1450" t="s">
        <v>25</v>
      </c>
      <c r="F1450" t="s">
        <v>16</v>
      </c>
      <c r="G1450" t="s">
        <v>20</v>
      </c>
      <c r="H1450" s="9">
        <v>8</v>
      </c>
      <c r="I1450" s="9">
        <v>269</v>
      </c>
      <c r="J1450" s="10">
        <v>228650</v>
      </c>
      <c r="K1450" s="10">
        <v>43443.5</v>
      </c>
      <c r="L1450">
        <v>52</v>
      </c>
      <c r="M1450" s="8">
        <v>44835</v>
      </c>
      <c r="N1450" s="23">
        <v>1.1517681895881499E-3</v>
      </c>
      <c r="O1450" s="10" t="str">
        <f>IF(Sales_Data[[#This Row],[Total Profit]]&gt;0,"Profitable","Loss")</f>
        <v>Profitable</v>
      </c>
      <c r="P1450" s="10" t="str">
        <f>IF(Sales_Data[[#This Row],[Total Profit]]&gt;100000,"High Value",IF(Sales_Data[[#This Row],[Total Profit]]&gt;60000,"Medium","Low"))</f>
        <v>Low</v>
      </c>
      <c r="Q1450" s="11" t="str">
        <f>PROPER(Sales_Data[[#This Row],[Month Name]])</f>
        <v>Dezembro</v>
      </c>
      <c r="R1450" s="11" t="str">
        <f>PROPER(Sales_Data[[#This Row],[Sales Manager]])</f>
        <v>James Brown</v>
      </c>
    </row>
    <row r="1451" spans="1:18" x14ac:dyDescent="0.25">
      <c r="A1451">
        <v>11450</v>
      </c>
      <c r="B1451">
        <v>2022</v>
      </c>
      <c r="C1451" t="s">
        <v>77</v>
      </c>
      <c r="D1451" s="8">
        <v>44915</v>
      </c>
      <c r="E1451" t="s">
        <v>25</v>
      </c>
      <c r="F1451" t="s">
        <v>18</v>
      </c>
      <c r="G1451" t="s">
        <v>23</v>
      </c>
      <c r="H1451" s="9">
        <v>7</v>
      </c>
      <c r="I1451" s="9">
        <v>295</v>
      </c>
      <c r="J1451" s="10">
        <v>103250</v>
      </c>
      <c r="K1451" s="10">
        <v>43365</v>
      </c>
      <c r="L1451">
        <v>52</v>
      </c>
      <c r="M1451" s="8">
        <v>44835</v>
      </c>
      <c r="N1451" s="23">
        <v>5.20096503717368E-4</v>
      </c>
      <c r="O1451" s="10" t="str">
        <f>IF(Sales_Data[[#This Row],[Total Profit]]&gt;0,"Profitable","Loss")</f>
        <v>Profitable</v>
      </c>
      <c r="P1451" s="10" t="str">
        <f>IF(Sales_Data[[#This Row],[Total Profit]]&gt;100000,"High Value",IF(Sales_Data[[#This Row],[Total Profit]]&gt;60000,"Medium","Low"))</f>
        <v>Low</v>
      </c>
      <c r="Q1451" s="11" t="str">
        <f>PROPER(Sales_Data[[#This Row],[Month Name]])</f>
        <v>Dezembro</v>
      </c>
      <c r="R1451" s="11" t="str">
        <f>PROPER(Sales_Data[[#This Row],[Sales Manager]])</f>
        <v>Jane Doe</v>
      </c>
    </row>
    <row r="1452" spans="1:18" x14ac:dyDescent="0.25">
      <c r="A1452">
        <v>11451</v>
      </c>
      <c r="B1452">
        <v>2022</v>
      </c>
      <c r="C1452" t="s">
        <v>77</v>
      </c>
      <c r="D1452" s="8">
        <v>44916</v>
      </c>
      <c r="E1452" t="s">
        <v>25</v>
      </c>
      <c r="F1452" t="s">
        <v>24</v>
      </c>
      <c r="G1452" t="s">
        <v>13</v>
      </c>
      <c r="H1452" s="9">
        <v>11</v>
      </c>
      <c r="I1452" s="9">
        <v>114</v>
      </c>
      <c r="J1452" s="10">
        <v>85500</v>
      </c>
      <c r="K1452" s="10">
        <v>34200</v>
      </c>
      <c r="L1452">
        <v>52</v>
      </c>
      <c r="M1452" s="8">
        <v>44835</v>
      </c>
      <c r="N1452" s="23">
        <v>4.3068524036644001E-4</v>
      </c>
      <c r="O1452" s="10" t="str">
        <f>IF(Sales_Data[[#This Row],[Total Profit]]&gt;0,"Profitable","Loss")</f>
        <v>Profitable</v>
      </c>
      <c r="P1452" s="10" t="str">
        <f>IF(Sales_Data[[#This Row],[Total Profit]]&gt;100000,"High Value",IF(Sales_Data[[#This Row],[Total Profit]]&gt;60000,"Medium","Low"))</f>
        <v>Low</v>
      </c>
      <c r="Q1452" s="11" t="str">
        <f>PROPER(Sales_Data[[#This Row],[Month Name]])</f>
        <v>Dezembro</v>
      </c>
      <c r="R1452" s="11" t="str">
        <f>PROPER(Sales_Data[[#This Row],[Sales Manager]])</f>
        <v>Liam Lee</v>
      </c>
    </row>
    <row r="1453" spans="1:18" x14ac:dyDescent="0.25">
      <c r="A1453">
        <v>11452</v>
      </c>
      <c r="B1453">
        <v>2022</v>
      </c>
      <c r="C1453" t="s">
        <v>77</v>
      </c>
      <c r="D1453" s="8">
        <v>44917</v>
      </c>
      <c r="E1453" t="s">
        <v>19</v>
      </c>
      <c r="F1453" t="s">
        <v>24</v>
      </c>
      <c r="G1453" t="s">
        <v>23</v>
      </c>
      <c r="H1453" s="9">
        <v>29</v>
      </c>
      <c r="I1453" s="9">
        <v>456</v>
      </c>
      <c r="J1453" s="10">
        <v>159600</v>
      </c>
      <c r="K1453" s="10">
        <v>35112</v>
      </c>
      <c r="L1453">
        <v>52</v>
      </c>
      <c r="M1453" s="8">
        <v>44835</v>
      </c>
      <c r="N1453" s="23">
        <v>8.0394578201735498E-4</v>
      </c>
      <c r="O1453" s="10" t="str">
        <f>IF(Sales_Data[[#This Row],[Total Profit]]&gt;0,"Profitable","Loss")</f>
        <v>Profitable</v>
      </c>
      <c r="P1453" s="10" t="str">
        <f>IF(Sales_Data[[#This Row],[Total Profit]]&gt;100000,"High Value",IF(Sales_Data[[#This Row],[Total Profit]]&gt;60000,"Medium","Low"))</f>
        <v>Low</v>
      </c>
      <c r="Q1453" s="11" t="str">
        <f>PROPER(Sales_Data[[#This Row],[Month Name]])</f>
        <v>Dezembro</v>
      </c>
      <c r="R1453" s="11" t="str">
        <f>PROPER(Sales_Data[[#This Row],[Sales Manager]])</f>
        <v>Liam Lee</v>
      </c>
    </row>
    <row r="1454" spans="1:18" x14ac:dyDescent="0.25">
      <c r="A1454">
        <v>11453</v>
      </c>
      <c r="B1454">
        <v>2022</v>
      </c>
      <c r="C1454" t="s">
        <v>77</v>
      </c>
      <c r="D1454" s="8">
        <v>44918</v>
      </c>
      <c r="E1454" t="s">
        <v>22</v>
      </c>
      <c r="F1454" t="s">
        <v>21</v>
      </c>
      <c r="G1454" t="s">
        <v>20</v>
      </c>
      <c r="H1454" s="9">
        <v>4</v>
      </c>
      <c r="I1454" s="9">
        <v>176</v>
      </c>
      <c r="J1454" s="10">
        <v>149600</v>
      </c>
      <c r="K1454" s="10">
        <v>59840</v>
      </c>
      <c r="L1454">
        <v>52</v>
      </c>
      <c r="M1454" s="8">
        <v>44835</v>
      </c>
      <c r="N1454" s="23">
        <v>7.5357323928443797E-4</v>
      </c>
      <c r="O1454" s="10" t="str">
        <f>IF(Sales_Data[[#This Row],[Total Profit]]&gt;0,"Profitable","Loss")</f>
        <v>Profitable</v>
      </c>
      <c r="P1454" s="10" t="str">
        <f>IF(Sales_Data[[#This Row],[Total Profit]]&gt;100000,"High Value",IF(Sales_Data[[#This Row],[Total Profit]]&gt;60000,"Medium","Low"))</f>
        <v>Low</v>
      </c>
      <c r="Q1454" s="11" t="str">
        <f>PROPER(Sales_Data[[#This Row],[Month Name]])</f>
        <v>Dezembro</v>
      </c>
      <c r="R1454" s="11" t="str">
        <f>PROPER(Sales_Data[[#This Row],[Sales Manager]])</f>
        <v>John Smith</v>
      </c>
    </row>
    <row r="1455" spans="1:18" x14ac:dyDescent="0.25">
      <c r="A1455">
        <v>11454</v>
      </c>
      <c r="B1455">
        <v>2022</v>
      </c>
      <c r="C1455" t="s">
        <v>77</v>
      </c>
      <c r="D1455" s="8">
        <v>44919</v>
      </c>
      <c r="E1455" t="s">
        <v>25</v>
      </c>
      <c r="F1455" t="s">
        <v>18</v>
      </c>
      <c r="G1455" t="s">
        <v>15</v>
      </c>
      <c r="H1455" s="9">
        <v>16</v>
      </c>
      <c r="I1455" s="9">
        <v>301</v>
      </c>
      <c r="J1455" s="10">
        <v>150500</v>
      </c>
      <c r="K1455" s="10">
        <v>61704.999999999993</v>
      </c>
      <c r="L1455">
        <v>52</v>
      </c>
      <c r="M1455" s="8">
        <v>44835</v>
      </c>
      <c r="N1455" s="23">
        <v>7.5810676813040003E-4</v>
      </c>
      <c r="O1455" s="10" t="str">
        <f>IF(Sales_Data[[#This Row],[Total Profit]]&gt;0,"Profitable","Loss")</f>
        <v>Profitable</v>
      </c>
      <c r="P1455" s="10" t="str">
        <f>IF(Sales_Data[[#This Row],[Total Profit]]&gt;100000,"High Value",IF(Sales_Data[[#This Row],[Total Profit]]&gt;60000,"Medium","Low"))</f>
        <v>Medium</v>
      </c>
      <c r="Q1455" s="11" t="str">
        <f>PROPER(Sales_Data[[#This Row],[Month Name]])</f>
        <v>Dezembro</v>
      </c>
      <c r="R1455" s="11" t="str">
        <f>PROPER(Sales_Data[[#This Row],[Sales Manager]])</f>
        <v>Jane Doe</v>
      </c>
    </row>
    <row r="1456" spans="1:18" x14ac:dyDescent="0.25">
      <c r="A1456">
        <v>11455</v>
      </c>
      <c r="B1456">
        <v>2022</v>
      </c>
      <c r="C1456" t="s">
        <v>77</v>
      </c>
      <c r="D1456" s="8">
        <v>44920</v>
      </c>
      <c r="E1456" t="s">
        <v>14</v>
      </c>
      <c r="F1456" t="s">
        <v>16</v>
      </c>
      <c r="G1456" t="s">
        <v>23</v>
      </c>
      <c r="H1456" s="9">
        <v>14</v>
      </c>
      <c r="I1456" s="9">
        <v>499</v>
      </c>
      <c r="J1456" s="10">
        <v>174650</v>
      </c>
      <c r="K1456" s="10">
        <v>55888</v>
      </c>
      <c r="L1456">
        <v>53</v>
      </c>
      <c r="M1456" s="8">
        <v>44835</v>
      </c>
      <c r="N1456" s="23">
        <v>8.7975645883039499E-4</v>
      </c>
      <c r="O1456" s="10" t="str">
        <f>IF(Sales_Data[[#This Row],[Total Profit]]&gt;0,"Profitable","Loss")</f>
        <v>Profitable</v>
      </c>
      <c r="P1456" s="10" t="str">
        <f>IF(Sales_Data[[#This Row],[Total Profit]]&gt;100000,"High Value",IF(Sales_Data[[#This Row],[Total Profit]]&gt;60000,"Medium","Low"))</f>
        <v>Low</v>
      </c>
      <c r="Q1456" s="11" t="str">
        <f>PROPER(Sales_Data[[#This Row],[Month Name]])</f>
        <v>Dezembro</v>
      </c>
      <c r="R1456" s="11" t="str">
        <f>PROPER(Sales_Data[[#This Row],[Sales Manager]])</f>
        <v>James Brown</v>
      </c>
    </row>
    <row r="1457" spans="1:18" x14ac:dyDescent="0.25">
      <c r="A1457">
        <v>11456</v>
      </c>
      <c r="B1457">
        <v>2022</v>
      </c>
      <c r="C1457" t="s">
        <v>77</v>
      </c>
      <c r="D1457" s="8">
        <v>44921</v>
      </c>
      <c r="E1457" t="s">
        <v>19</v>
      </c>
      <c r="F1457" t="s">
        <v>12</v>
      </c>
      <c r="G1457" t="s">
        <v>20</v>
      </c>
      <c r="H1457" s="9">
        <v>6</v>
      </c>
      <c r="I1457" s="9">
        <v>284</v>
      </c>
      <c r="J1457" s="10">
        <v>241400</v>
      </c>
      <c r="K1457" s="10">
        <v>79662</v>
      </c>
      <c r="L1457">
        <v>53</v>
      </c>
      <c r="M1457" s="8">
        <v>44835</v>
      </c>
      <c r="N1457" s="23">
        <v>1.2159931815726201E-3</v>
      </c>
      <c r="O1457" s="10" t="str">
        <f>IF(Sales_Data[[#This Row],[Total Profit]]&gt;0,"Profitable","Loss")</f>
        <v>Profitable</v>
      </c>
      <c r="P1457" s="10" t="str">
        <f>IF(Sales_Data[[#This Row],[Total Profit]]&gt;100000,"High Value",IF(Sales_Data[[#This Row],[Total Profit]]&gt;60000,"Medium","Low"))</f>
        <v>Medium</v>
      </c>
      <c r="Q1457" s="11" t="str">
        <f>PROPER(Sales_Data[[#This Row],[Month Name]])</f>
        <v>Dezembro</v>
      </c>
      <c r="R1457" s="11" t="str">
        <f>PROPER(Sales_Data[[#This Row],[Sales Manager]])</f>
        <v>Emily White</v>
      </c>
    </row>
    <row r="1458" spans="1:18" x14ac:dyDescent="0.25">
      <c r="A1458">
        <v>11457</v>
      </c>
      <c r="B1458">
        <v>2022</v>
      </c>
      <c r="C1458" t="s">
        <v>77</v>
      </c>
      <c r="D1458" s="8">
        <v>44922</v>
      </c>
      <c r="E1458" t="s">
        <v>11</v>
      </c>
      <c r="F1458" t="s">
        <v>16</v>
      </c>
      <c r="G1458" t="s">
        <v>15</v>
      </c>
      <c r="H1458" s="9">
        <v>13</v>
      </c>
      <c r="I1458" s="9">
        <v>235</v>
      </c>
      <c r="J1458" s="10">
        <v>117500</v>
      </c>
      <c r="K1458" s="10">
        <v>21150</v>
      </c>
      <c r="L1458">
        <v>53</v>
      </c>
      <c r="M1458" s="8">
        <v>44835</v>
      </c>
      <c r="N1458" s="23">
        <v>5.9187737711177398E-4</v>
      </c>
      <c r="O1458" s="10" t="str">
        <f>IF(Sales_Data[[#This Row],[Total Profit]]&gt;0,"Profitable","Loss")</f>
        <v>Profitable</v>
      </c>
      <c r="P1458" s="10" t="str">
        <f>IF(Sales_Data[[#This Row],[Total Profit]]&gt;100000,"High Value",IF(Sales_Data[[#This Row],[Total Profit]]&gt;60000,"Medium","Low"))</f>
        <v>Low</v>
      </c>
      <c r="Q1458" s="11" t="str">
        <f>PROPER(Sales_Data[[#This Row],[Month Name]])</f>
        <v>Dezembro</v>
      </c>
      <c r="R1458" s="11" t="str">
        <f>PROPER(Sales_Data[[#This Row],[Sales Manager]])</f>
        <v>James Brown</v>
      </c>
    </row>
    <row r="1459" spans="1:18" x14ac:dyDescent="0.25">
      <c r="A1459">
        <v>11458</v>
      </c>
      <c r="B1459">
        <v>2022</v>
      </c>
      <c r="C1459" t="s">
        <v>77</v>
      </c>
      <c r="D1459" s="8">
        <v>44923</v>
      </c>
      <c r="E1459" t="s">
        <v>22</v>
      </c>
      <c r="F1459" t="s">
        <v>21</v>
      </c>
      <c r="G1459" t="s">
        <v>15</v>
      </c>
      <c r="H1459" s="9">
        <v>39</v>
      </c>
      <c r="I1459" s="9">
        <v>439</v>
      </c>
      <c r="J1459" s="10">
        <v>219500</v>
      </c>
      <c r="K1459" s="10">
        <v>41705</v>
      </c>
      <c r="L1459">
        <v>53</v>
      </c>
      <c r="M1459" s="8">
        <v>44835</v>
      </c>
      <c r="N1459" s="23">
        <v>1.10567731298753E-3</v>
      </c>
      <c r="O1459" s="10" t="str">
        <f>IF(Sales_Data[[#This Row],[Total Profit]]&gt;0,"Profitable","Loss")</f>
        <v>Profitable</v>
      </c>
      <c r="P1459" s="10" t="str">
        <f>IF(Sales_Data[[#This Row],[Total Profit]]&gt;100000,"High Value",IF(Sales_Data[[#This Row],[Total Profit]]&gt;60000,"Medium","Low"))</f>
        <v>Low</v>
      </c>
      <c r="Q1459" s="11" t="str">
        <f>PROPER(Sales_Data[[#This Row],[Month Name]])</f>
        <v>Dezembro</v>
      </c>
      <c r="R1459" s="11" t="str">
        <f>PROPER(Sales_Data[[#This Row],[Sales Manager]])</f>
        <v>John Smith</v>
      </c>
    </row>
    <row r="1460" spans="1:18" x14ac:dyDescent="0.25">
      <c r="A1460">
        <v>11459</v>
      </c>
      <c r="B1460">
        <v>2022</v>
      </c>
      <c r="C1460" t="s">
        <v>77</v>
      </c>
      <c r="D1460" s="8">
        <v>44924</v>
      </c>
      <c r="E1460" t="s">
        <v>22</v>
      </c>
      <c r="F1460" t="s">
        <v>18</v>
      </c>
      <c r="G1460" t="s">
        <v>20</v>
      </c>
      <c r="H1460" s="9">
        <v>4</v>
      </c>
      <c r="I1460" s="9">
        <v>59</v>
      </c>
      <c r="J1460" s="10">
        <v>50150</v>
      </c>
      <c r="K1460" s="10">
        <v>18555.5</v>
      </c>
      <c r="L1460">
        <v>53</v>
      </c>
      <c r="M1460" s="8">
        <v>44835</v>
      </c>
      <c r="N1460" s="23">
        <v>2.5261830180557898E-4</v>
      </c>
      <c r="O1460" s="10" t="str">
        <f>IF(Sales_Data[[#This Row],[Total Profit]]&gt;0,"Profitable","Loss")</f>
        <v>Profitable</v>
      </c>
      <c r="P1460" s="10" t="str">
        <f>IF(Sales_Data[[#This Row],[Total Profit]]&gt;100000,"High Value",IF(Sales_Data[[#This Row],[Total Profit]]&gt;60000,"Medium","Low"))</f>
        <v>Low</v>
      </c>
      <c r="Q1460" s="11" t="str">
        <f>PROPER(Sales_Data[[#This Row],[Month Name]])</f>
        <v>Dezembro</v>
      </c>
      <c r="R1460" s="11" t="str">
        <f>PROPER(Sales_Data[[#This Row],[Sales Manager]])</f>
        <v>Jane Doe</v>
      </c>
    </row>
    <row r="1461" spans="1:18" x14ac:dyDescent="0.25">
      <c r="A1461">
        <v>11460</v>
      </c>
      <c r="B1461">
        <v>2022</v>
      </c>
      <c r="C1461" t="s">
        <v>77</v>
      </c>
      <c r="D1461" s="8">
        <v>44925</v>
      </c>
      <c r="E1461" t="s">
        <v>22</v>
      </c>
      <c r="F1461" t="s">
        <v>16</v>
      </c>
      <c r="G1461" t="s">
        <v>23</v>
      </c>
      <c r="H1461" s="9">
        <v>13</v>
      </c>
      <c r="I1461" s="9">
        <v>294</v>
      </c>
      <c r="J1461" s="10">
        <v>102900</v>
      </c>
      <c r="K1461" s="10">
        <v>45276</v>
      </c>
      <c r="L1461">
        <v>53</v>
      </c>
      <c r="M1461" s="8">
        <v>44835</v>
      </c>
      <c r="N1461" s="23">
        <v>5.1833346472171602E-4</v>
      </c>
      <c r="O1461" s="10" t="str">
        <f>IF(Sales_Data[[#This Row],[Total Profit]]&gt;0,"Profitable","Loss")</f>
        <v>Profitable</v>
      </c>
      <c r="P1461" s="10" t="str">
        <f>IF(Sales_Data[[#This Row],[Total Profit]]&gt;100000,"High Value",IF(Sales_Data[[#This Row],[Total Profit]]&gt;60000,"Medium","Low"))</f>
        <v>Low</v>
      </c>
      <c r="Q1461" s="11" t="str">
        <f>PROPER(Sales_Data[[#This Row],[Month Name]])</f>
        <v>Dezembro</v>
      </c>
      <c r="R1461" s="11" t="str">
        <f>PROPER(Sales_Data[[#This Row],[Sales Manager]])</f>
        <v>James Brown</v>
      </c>
    </row>
    <row r="1462" spans="1:18" x14ac:dyDescent="0.25">
      <c r="A1462">
        <v>11461</v>
      </c>
      <c r="B1462">
        <v>2022</v>
      </c>
      <c r="C1462" t="s">
        <v>77</v>
      </c>
      <c r="D1462" s="8">
        <v>44926</v>
      </c>
      <c r="E1462" t="s">
        <v>14</v>
      </c>
      <c r="F1462" t="s">
        <v>12</v>
      </c>
      <c r="G1462" t="s">
        <v>20</v>
      </c>
      <c r="H1462" s="9">
        <v>1</v>
      </c>
      <c r="I1462" s="9">
        <v>50</v>
      </c>
      <c r="J1462" s="10">
        <v>42500</v>
      </c>
      <c r="K1462" s="10">
        <v>18275</v>
      </c>
      <c r="L1462">
        <v>53</v>
      </c>
      <c r="M1462" s="8">
        <v>44835</v>
      </c>
      <c r="N1462" s="23">
        <v>2.14083306614897E-4</v>
      </c>
      <c r="O1462" s="10" t="str">
        <f>IF(Sales_Data[[#This Row],[Total Profit]]&gt;0,"Profitable","Loss")</f>
        <v>Profitable</v>
      </c>
      <c r="P1462" s="10" t="str">
        <f>IF(Sales_Data[[#This Row],[Total Profit]]&gt;100000,"High Value",IF(Sales_Data[[#This Row],[Total Profit]]&gt;60000,"Medium","Low"))</f>
        <v>Low</v>
      </c>
      <c r="Q1462" s="11" t="str">
        <f>PROPER(Sales_Data[[#This Row],[Month Name]])</f>
        <v>Dezembro</v>
      </c>
      <c r="R1462" s="11" t="str">
        <f>PROPER(Sales_Data[[#This Row],[Sales Manager]])</f>
        <v>Emily White</v>
      </c>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6B83D-B980-49EC-B8EC-903E5CD58AE7}">
  <dimension ref="A1:K1462"/>
  <sheetViews>
    <sheetView showGridLines="0" workbookViewId="0">
      <selection sqref="A1:K1462"/>
    </sheetView>
  </sheetViews>
  <sheetFormatPr defaultRowHeight="15" x14ac:dyDescent="0.25"/>
  <cols>
    <col min="1" max="1" width="12.28515625" style="7" customWidth="1"/>
    <col min="2" max="2" width="11.28515625" style="7" customWidth="1"/>
    <col min="3" max="3" width="13.28515625" style="7" customWidth="1"/>
    <col min="4" max="4" width="16.85546875" style="7" customWidth="1"/>
    <col min="5" max="5" width="12.140625" style="7" bestFit="1" customWidth="1"/>
    <col min="6" max="6" width="13.85546875" style="7" bestFit="1" customWidth="1"/>
    <col min="7" max="7" width="13.5703125" style="7" bestFit="1" customWidth="1"/>
    <col min="8" max="8" width="16.140625" style="7" bestFit="1" customWidth="1"/>
    <col min="9" max="10" width="13.140625" style="7" bestFit="1" customWidth="1"/>
    <col min="11" max="11" width="22.28515625" style="7"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2">
        <v>10001</v>
      </c>
      <c r="B2" s="2">
        <f>YEAR(C2)</f>
        <v>2019</v>
      </c>
      <c r="C2" s="3">
        <v>43466</v>
      </c>
      <c r="D2" s="4">
        <v>43466</v>
      </c>
      <c r="E2" s="2" t="s">
        <v>11</v>
      </c>
      <c r="F2" s="2" t="s">
        <v>12</v>
      </c>
      <c r="G2" s="2" t="s">
        <v>13</v>
      </c>
      <c r="H2" s="2">
        <v>34</v>
      </c>
      <c r="I2" s="2">
        <v>348</v>
      </c>
      <c r="J2" s="5">
        <v>261000</v>
      </c>
      <c r="K2" s="5">
        <v>60030</v>
      </c>
    </row>
    <row r="3" spans="1:11" x14ac:dyDescent="0.25">
      <c r="A3" s="2">
        <v>10002</v>
      </c>
      <c r="B3" s="2">
        <f t="shared" ref="B3:B66" si="0">YEAR(C3)</f>
        <v>2019</v>
      </c>
      <c r="C3" s="3">
        <v>43466</v>
      </c>
      <c r="D3" s="4">
        <v>43467</v>
      </c>
      <c r="E3" s="2" t="s">
        <v>14</v>
      </c>
      <c r="F3" s="2" t="s">
        <v>12</v>
      </c>
      <c r="G3" s="2" t="s">
        <v>15</v>
      </c>
      <c r="H3" s="2">
        <v>4</v>
      </c>
      <c r="I3" s="2">
        <v>145</v>
      </c>
      <c r="J3" s="5">
        <v>72500</v>
      </c>
      <c r="K3" s="5">
        <v>13775</v>
      </c>
    </row>
    <row r="4" spans="1:11" x14ac:dyDescent="0.25">
      <c r="A4" s="2">
        <v>10003</v>
      </c>
      <c r="B4" s="2">
        <f t="shared" si="0"/>
        <v>2019</v>
      </c>
      <c r="C4" s="3">
        <v>43466</v>
      </c>
      <c r="D4" s="4">
        <v>43468</v>
      </c>
      <c r="E4" s="2" t="s">
        <v>14</v>
      </c>
      <c r="F4" s="2" t="s">
        <v>16</v>
      </c>
      <c r="G4" s="2" t="s">
        <v>17</v>
      </c>
      <c r="H4" s="2">
        <v>11</v>
      </c>
      <c r="I4" s="2">
        <v>427</v>
      </c>
      <c r="J4" s="5">
        <v>106750</v>
      </c>
      <c r="K4" s="5">
        <v>40565</v>
      </c>
    </row>
    <row r="5" spans="1:11" x14ac:dyDescent="0.25">
      <c r="A5" s="2">
        <v>10004</v>
      </c>
      <c r="B5" s="2">
        <f t="shared" si="0"/>
        <v>2019</v>
      </c>
      <c r="C5" s="3">
        <v>43466</v>
      </c>
      <c r="D5" s="4">
        <v>43469</v>
      </c>
      <c r="E5" s="2" t="s">
        <v>11</v>
      </c>
      <c r="F5" s="2" t="s">
        <v>12</v>
      </c>
      <c r="G5" s="2" t="s">
        <v>13</v>
      </c>
      <c r="H5" s="2">
        <v>16</v>
      </c>
      <c r="I5" s="2">
        <v>388</v>
      </c>
      <c r="J5" s="5">
        <v>291000</v>
      </c>
      <c r="K5" s="5">
        <v>110580</v>
      </c>
    </row>
    <row r="6" spans="1:11" x14ac:dyDescent="0.25">
      <c r="A6" s="2">
        <v>10005</v>
      </c>
      <c r="B6" s="2">
        <f t="shared" si="0"/>
        <v>2019</v>
      </c>
      <c r="C6" s="3">
        <v>43466</v>
      </c>
      <c r="D6" s="4">
        <v>43470</v>
      </c>
      <c r="E6" s="2" t="s">
        <v>14</v>
      </c>
      <c r="F6" s="2" t="s">
        <v>18</v>
      </c>
      <c r="G6" s="2" t="s">
        <v>15</v>
      </c>
      <c r="H6" s="2">
        <v>34</v>
      </c>
      <c r="I6" s="2">
        <v>363</v>
      </c>
      <c r="J6" s="5">
        <v>181500</v>
      </c>
      <c r="K6" s="5">
        <v>39930</v>
      </c>
    </row>
    <row r="7" spans="1:11" x14ac:dyDescent="0.25">
      <c r="A7" s="2">
        <v>10006</v>
      </c>
      <c r="B7" s="2">
        <f t="shared" si="0"/>
        <v>2019</v>
      </c>
      <c r="C7" s="3">
        <v>43466</v>
      </c>
      <c r="D7" s="4">
        <v>43471</v>
      </c>
      <c r="E7" s="2" t="s">
        <v>19</v>
      </c>
      <c r="F7" s="2" t="s">
        <v>16</v>
      </c>
      <c r="G7" s="2" t="s">
        <v>20</v>
      </c>
      <c r="H7" s="2">
        <v>5</v>
      </c>
      <c r="I7" s="2">
        <v>124</v>
      </c>
      <c r="J7" s="5">
        <v>105400</v>
      </c>
      <c r="K7" s="5">
        <v>37944</v>
      </c>
    </row>
    <row r="8" spans="1:11" x14ac:dyDescent="0.25">
      <c r="A8" s="2">
        <v>10007</v>
      </c>
      <c r="B8" s="2">
        <f t="shared" si="0"/>
        <v>2019</v>
      </c>
      <c r="C8" s="3">
        <v>43466</v>
      </c>
      <c r="D8" s="4">
        <v>43472</v>
      </c>
      <c r="E8" s="2" t="s">
        <v>14</v>
      </c>
      <c r="F8" s="2" t="s">
        <v>21</v>
      </c>
      <c r="G8" s="2" t="s">
        <v>17</v>
      </c>
      <c r="H8" s="2">
        <v>13</v>
      </c>
      <c r="I8" s="2">
        <v>389</v>
      </c>
      <c r="J8" s="5">
        <v>97250</v>
      </c>
      <c r="K8" s="5">
        <v>41817.5</v>
      </c>
    </row>
    <row r="9" spans="1:11" x14ac:dyDescent="0.25">
      <c r="A9" s="2">
        <v>10008</v>
      </c>
      <c r="B9" s="2">
        <f t="shared" si="0"/>
        <v>2019</v>
      </c>
      <c r="C9" s="3">
        <v>43466</v>
      </c>
      <c r="D9" s="4">
        <v>43473</v>
      </c>
      <c r="E9" s="2" t="s">
        <v>14</v>
      </c>
      <c r="F9" s="2" t="s">
        <v>18</v>
      </c>
      <c r="G9" s="2" t="s">
        <v>15</v>
      </c>
      <c r="H9" s="2">
        <v>3</v>
      </c>
      <c r="I9" s="2">
        <v>132</v>
      </c>
      <c r="J9" s="5">
        <v>66000</v>
      </c>
      <c r="K9" s="5">
        <v>23100</v>
      </c>
    </row>
    <row r="10" spans="1:11" x14ac:dyDescent="0.25">
      <c r="A10" s="2">
        <v>10009</v>
      </c>
      <c r="B10" s="2">
        <f t="shared" si="0"/>
        <v>2019</v>
      </c>
      <c r="C10" s="3">
        <v>43466</v>
      </c>
      <c r="D10" s="4">
        <v>43474</v>
      </c>
      <c r="E10" s="2" t="s">
        <v>22</v>
      </c>
      <c r="F10" s="2" t="s">
        <v>12</v>
      </c>
      <c r="G10" s="2" t="s">
        <v>23</v>
      </c>
      <c r="H10" s="2">
        <v>4</v>
      </c>
      <c r="I10" s="2">
        <v>58</v>
      </c>
      <c r="J10" s="5">
        <v>20300</v>
      </c>
      <c r="K10" s="5">
        <v>7917</v>
      </c>
    </row>
    <row r="11" spans="1:11" x14ac:dyDescent="0.25">
      <c r="A11" s="2">
        <v>10010</v>
      </c>
      <c r="B11" s="2">
        <f t="shared" si="0"/>
        <v>2019</v>
      </c>
      <c r="C11" s="3">
        <v>43466</v>
      </c>
      <c r="D11" s="4">
        <v>43475</v>
      </c>
      <c r="E11" s="2" t="s">
        <v>19</v>
      </c>
      <c r="F11" s="2" t="s">
        <v>24</v>
      </c>
      <c r="G11" s="2" t="s">
        <v>13</v>
      </c>
      <c r="H11" s="2">
        <v>25</v>
      </c>
      <c r="I11" s="2">
        <v>261</v>
      </c>
      <c r="J11" s="5">
        <v>195750</v>
      </c>
      <c r="K11" s="5">
        <v>27405.000000000004</v>
      </c>
    </row>
    <row r="12" spans="1:11" x14ac:dyDescent="0.25">
      <c r="A12" s="2">
        <v>10011</v>
      </c>
      <c r="B12" s="2">
        <f t="shared" si="0"/>
        <v>2019</v>
      </c>
      <c r="C12" s="3">
        <v>43466</v>
      </c>
      <c r="D12" s="4">
        <v>43476</v>
      </c>
      <c r="E12" s="2" t="s">
        <v>14</v>
      </c>
      <c r="F12" s="2" t="s">
        <v>18</v>
      </c>
      <c r="G12" s="2" t="s">
        <v>13</v>
      </c>
      <c r="H12" s="2">
        <v>17</v>
      </c>
      <c r="I12" s="2">
        <v>275</v>
      </c>
      <c r="J12" s="5">
        <v>206250</v>
      </c>
      <c r="K12" s="5">
        <v>72187.5</v>
      </c>
    </row>
    <row r="13" spans="1:11" x14ac:dyDescent="0.25">
      <c r="A13" s="2">
        <v>10012</v>
      </c>
      <c r="B13" s="2">
        <f t="shared" si="0"/>
        <v>2019</v>
      </c>
      <c r="C13" s="3">
        <v>43466</v>
      </c>
      <c r="D13" s="4">
        <v>43477</v>
      </c>
      <c r="E13" s="2" t="s">
        <v>11</v>
      </c>
      <c r="F13" s="2" t="s">
        <v>16</v>
      </c>
      <c r="G13" s="2" t="s">
        <v>20</v>
      </c>
      <c r="H13" s="2">
        <v>7</v>
      </c>
      <c r="I13" s="2">
        <v>348</v>
      </c>
      <c r="J13" s="5">
        <v>295800</v>
      </c>
      <c r="K13" s="5">
        <v>68034</v>
      </c>
    </row>
    <row r="14" spans="1:11" x14ac:dyDescent="0.25">
      <c r="A14" s="2">
        <v>10013</v>
      </c>
      <c r="B14" s="2">
        <f t="shared" si="0"/>
        <v>2019</v>
      </c>
      <c r="C14" s="3">
        <v>43466</v>
      </c>
      <c r="D14" s="4">
        <v>43478</v>
      </c>
      <c r="E14" s="2" t="s">
        <v>25</v>
      </c>
      <c r="F14" s="2" t="s">
        <v>24</v>
      </c>
      <c r="G14" s="2" t="s">
        <v>17</v>
      </c>
      <c r="H14" s="2">
        <v>12</v>
      </c>
      <c r="I14" s="2">
        <v>437</v>
      </c>
      <c r="J14" s="5">
        <v>109250</v>
      </c>
      <c r="K14" s="5">
        <v>20757.5</v>
      </c>
    </row>
    <row r="15" spans="1:11" x14ac:dyDescent="0.25">
      <c r="A15" s="2">
        <v>10014</v>
      </c>
      <c r="B15" s="2">
        <f t="shared" si="0"/>
        <v>2019</v>
      </c>
      <c r="C15" s="3">
        <v>43466</v>
      </c>
      <c r="D15" s="4">
        <v>43479</v>
      </c>
      <c r="E15" s="2" t="s">
        <v>14</v>
      </c>
      <c r="F15" s="2" t="s">
        <v>16</v>
      </c>
      <c r="G15" s="2" t="s">
        <v>17</v>
      </c>
      <c r="H15" s="2">
        <v>39</v>
      </c>
      <c r="I15" s="2">
        <v>395</v>
      </c>
      <c r="J15" s="5">
        <v>98750</v>
      </c>
      <c r="K15" s="5">
        <v>17775</v>
      </c>
    </row>
    <row r="16" spans="1:11" x14ac:dyDescent="0.25">
      <c r="A16" s="2">
        <v>10015</v>
      </c>
      <c r="B16" s="2">
        <f t="shared" si="0"/>
        <v>2019</v>
      </c>
      <c r="C16" s="3">
        <v>43466</v>
      </c>
      <c r="D16" s="4">
        <v>43480</v>
      </c>
      <c r="E16" s="2" t="s">
        <v>22</v>
      </c>
      <c r="F16" s="2" t="s">
        <v>16</v>
      </c>
      <c r="G16" s="2" t="s">
        <v>20</v>
      </c>
      <c r="H16" s="2">
        <v>5</v>
      </c>
      <c r="I16" s="2">
        <v>81</v>
      </c>
      <c r="J16" s="5">
        <v>68850</v>
      </c>
      <c r="K16" s="5">
        <v>28228.5</v>
      </c>
    </row>
    <row r="17" spans="1:11" x14ac:dyDescent="0.25">
      <c r="A17" s="2">
        <v>10016</v>
      </c>
      <c r="B17" s="2">
        <f t="shared" si="0"/>
        <v>2019</v>
      </c>
      <c r="C17" s="3">
        <v>43466</v>
      </c>
      <c r="D17" s="4">
        <v>43481</v>
      </c>
      <c r="E17" s="2" t="s">
        <v>11</v>
      </c>
      <c r="F17" s="2" t="s">
        <v>21</v>
      </c>
      <c r="G17" s="2" t="s">
        <v>15</v>
      </c>
      <c r="H17" s="2">
        <v>29</v>
      </c>
      <c r="I17" s="2">
        <v>357</v>
      </c>
      <c r="J17" s="5">
        <v>178500</v>
      </c>
      <c r="K17" s="5">
        <v>23205</v>
      </c>
    </row>
    <row r="18" spans="1:11" x14ac:dyDescent="0.25">
      <c r="A18" s="2">
        <v>10017</v>
      </c>
      <c r="B18" s="2">
        <f t="shared" si="0"/>
        <v>2019</v>
      </c>
      <c r="C18" s="3">
        <v>43466</v>
      </c>
      <c r="D18" s="4">
        <v>43482</v>
      </c>
      <c r="E18" s="2" t="s">
        <v>11</v>
      </c>
      <c r="F18" s="2" t="s">
        <v>12</v>
      </c>
      <c r="G18" s="2" t="s">
        <v>17</v>
      </c>
      <c r="H18" s="2">
        <v>33</v>
      </c>
      <c r="I18" s="2">
        <v>384</v>
      </c>
      <c r="J18" s="5">
        <v>96000</v>
      </c>
      <c r="K18" s="5">
        <v>24000</v>
      </c>
    </row>
    <row r="19" spans="1:11" x14ac:dyDescent="0.25">
      <c r="A19" s="2">
        <v>10018</v>
      </c>
      <c r="B19" s="2">
        <f t="shared" si="0"/>
        <v>2019</v>
      </c>
      <c r="C19" s="3">
        <v>43466</v>
      </c>
      <c r="D19" s="4">
        <v>43483</v>
      </c>
      <c r="E19" s="2" t="s">
        <v>14</v>
      </c>
      <c r="F19" s="2" t="s">
        <v>12</v>
      </c>
      <c r="G19" s="2" t="s">
        <v>15</v>
      </c>
      <c r="H19" s="2">
        <v>9</v>
      </c>
      <c r="I19" s="2">
        <v>252</v>
      </c>
      <c r="J19" s="5">
        <v>126000</v>
      </c>
      <c r="K19" s="5">
        <v>12600</v>
      </c>
    </row>
    <row r="20" spans="1:11" x14ac:dyDescent="0.25">
      <c r="A20" s="2">
        <v>10019</v>
      </c>
      <c r="B20" s="2">
        <f t="shared" si="0"/>
        <v>2019</v>
      </c>
      <c r="C20" s="3">
        <v>43466</v>
      </c>
      <c r="D20" s="4">
        <v>43484</v>
      </c>
      <c r="E20" s="2" t="s">
        <v>14</v>
      </c>
      <c r="F20" s="2" t="s">
        <v>24</v>
      </c>
      <c r="G20" s="2" t="s">
        <v>15</v>
      </c>
      <c r="H20" s="2">
        <v>1</v>
      </c>
      <c r="I20" s="2">
        <v>44</v>
      </c>
      <c r="J20" s="5">
        <v>22000</v>
      </c>
      <c r="K20" s="5">
        <v>9460</v>
      </c>
    </row>
    <row r="21" spans="1:11" x14ac:dyDescent="0.25">
      <c r="A21" s="2">
        <v>10020</v>
      </c>
      <c r="B21" s="2">
        <f t="shared" si="0"/>
        <v>2019</v>
      </c>
      <c r="C21" s="3">
        <v>43466</v>
      </c>
      <c r="D21" s="4">
        <v>43485</v>
      </c>
      <c r="E21" s="2" t="s">
        <v>22</v>
      </c>
      <c r="F21" s="2" t="s">
        <v>21</v>
      </c>
      <c r="G21" s="2" t="s">
        <v>13</v>
      </c>
      <c r="H21" s="2">
        <v>11</v>
      </c>
      <c r="I21" s="2">
        <v>161</v>
      </c>
      <c r="J21" s="5">
        <v>120750</v>
      </c>
      <c r="K21" s="5">
        <v>36225</v>
      </c>
    </row>
    <row r="22" spans="1:11" x14ac:dyDescent="0.25">
      <c r="A22" s="2">
        <v>10021</v>
      </c>
      <c r="B22" s="2">
        <f t="shared" si="0"/>
        <v>2019</v>
      </c>
      <c r="C22" s="3">
        <v>43466</v>
      </c>
      <c r="D22" s="4">
        <v>43486</v>
      </c>
      <c r="E22" s="2" t="s">
        <v>22</v>
      </c>
      <c r="F22" s="2" t="s">
        <v>16</v>
      </c>
      <c r="G22" s="2" t="s">
        <v>20</v>
      </c>
      <c r="H22" s="2">
        <v>9</v>
      </c>
      <c r="I22" s="2">
        <v>103</v>
      </c>
      <c r="J22" s="5">
        <v>87550</v>
      </c>
      <c r="K22" s="5">
        <v>21012</v>
      </c>
    </row>
    <row r="23" spans="1:11" x14ac:dyDescent="0.25">
      <c r="A23" s="2">
        <v>10022</v>
      </c>
      <c r="B23" s="2">
        <f t="shared" si="0"/>
        <v>2019</v>
      </c>
      <c r="C23" s="3">
        <v>43466</v>
      </c>
      <c r="D23" s="4">
        <v>43487</v>
      </c>
      <c r="E23" s="2" t="s">
        <v>19</v>
      </c>
      <c r="F23" s="2" t="s">
        <v>21</v>
      </c>
      <c r="G23" s="2" t="s">
        <v>13</v>
      </c>
      <c r="H23" s="2">
        <v>1</v>
      </c>
      <c r="I23" s="2">
        <v>13</v>
      </c>
      <c r="J23" s="5">
        <v>9750</v>
      </c>
      <c r="K23" s="5">
        <v>3900</v>
      </c>
    </row>
    <row r="24" spans="1:11" x14ac:dyDescent="0.25">
      <c r="A24" s="2">
        <v>10023</v>
      </c>
      <c r="B24" s="2">
        <f t="shared" si="0"/>
        <v>2019</v>
      </c>
      <c r="C24" s="3">
        <v>43466</v>
      </c>
      <c r="D24" s="4">
        <v>43488</v>
      </c>
      <c r="E24" s="2" t="s">
        <v>22</v>
      </c>
      <c r="F24" s="2" t="s">
        <v>24</v>
      </c>
      <c r="G24" s="2" t="s">
        <v>15</v>
      </c>
      <c r="H24" s="2">
        <v>15</v>
      </c>
      <c r="I24" s="2">
        <v>358</v>
      </c>
      <c r="J24" s="5">
        <v>179000</v>
      </c>
      <c r="K24" s="5">
        <v>30430.000000000004</v>
      </c>
    </row>
    <row r="25" spans="1:11" x14ac:dyDescent="0.25">
      <c r="A25" s="2">
        <v>10024</v>
      </c>
      <c r="B25" s="2">
        <f t="shared" si="0"/>
        <v>2019</v>
      </c>
      <c r="C25" s="3">
        <v>43466</v>
      </c>
      <c r="D25" s="4">
        <v>43489</v>
      </c>
      <c r="E25" s="2" t="s">
        <v>25</v>
      </c>
      <c r="F25" s="2" t="s">
        <v>18</v>
      </c>
      <c r="G25" s="2" t="s">
        <v>13</v>
      </c>
      <c r="H25" s="2">
        <v>4</v>
      </c>
      <c r="I25" s="2">
        <v>44</v>
      </c>
      <c r="J25" s="5">
        <v>33000</v>
      </c>
      <c r="K25" s="5">
        <v>4950</v>
      </c>
    </row>
    <row r="26" spans="1:11" x14ac:dyDescent="0.25">
      <c r="A26" s="2">
        <v>10025</v>
      </c>
      <c r="B26" s="2">
        <f t="shared" si="0"/>
        <v>2019</v>
      </c>
      <c r="C26" s="3">
        <v>43466</v>
      </c>
      <c r="D26" s="4">
        <v>43490</v>
      </c>
      <c r="E26" s="2" t="s">
        <v>11</v>
      </c>
      <c r="F26" s="2" t="s">
        <v>24</v>
      </c>
      <c r="G26" s="2" t="s">
        <v>15</v>
      </c>
      <c r="H26" s="2">
        <v>4</v>
      </c>
      <c r="I26" s="2">
        <v>306</v>
      </c>
      <c r="J26" s="5">
        <v>153000</v>
      </c>
      <c r="K26" s="5">
        <v>50490</v>
      </c>
    </row>
    <row r="27" spans="1:11" x14ac:dyDescent="0.25">
      <c r="A27" s="2">
        <v>10026</v>
      </c>
      <c r="B27" s="2">
        <f t="shared" si="0"/>
        <v>2019</v>
      </c>
      <c r="C27" s="3">
        <v>43466</v>
      </c>
      <c r="D27" s="4">
        <v>43491</v>
      </c>
      <c r="E27" s="2" t="s">
        <v>14</v>
      </c>
      <c r="F27" s="2" t="s">
        <v>21</v>
      </c>
      <c r="G27" s="2" t="s">
        <v>17</v>
      </c>
      <c r="H27" s="2">
        <v>4</v>
      </c>
      <c r="I27" s="2">
        <v>293</v>
      </c>
      <c r="J27" s="5">
        <v>73250</v>
      </c>
      <c r="K27" s="5">
        <v>16847.5</v>
      </c>
    </row>
    <row r="28" spans="1:11" x14ac:dyDescent="0.25">
      <c r="A28" s="2">
        <v>10027</v>
      </c>
      <c r="B28" s="2">
        <f t="shared" si="0"/>
        <v>2019</v>
      </c>
      <c r="C28" s="3">
        <v>43466</v>
      </c>
      <c r="D28" s="4">
        <v>43492</v>
      </c>
      <c r="E28" s="2" t="s">
        <v>19</v>
      </c>
      <c r="F28" s="2" t="s">
        <v>24</v>
      </c>
      <c r="G28" s="2" t="s">
        <v>20</v>
      </c>
      <c r="H28" s="2">
        <v>4</v>
      </c>
      <c r="I28" s="2">
        <v>278</v>
      </c>
      <c r="J28" s="5">
        <v>236300</v>
      </c>
      <c r="K28" s="5">
        <v>80342</v>
      </c>
    </row>
    <row r="29" spans="1:11" x14ac:dyDescent="0.25">
      <c r="A29" s="2">
        <v>10028</v>
      </c>
      <c r="B29" s="2">
        <f t="shared" si="0"/>
        <v>2019</v>
      </c>
      <c r="C29" s="3">
        <v>43466</v>
      </c>
      <c r="D29" s="4">
        <v>43493</v>
      </c>
      <c r="E29" s="2" t="s">
        <v>19</v>
      </c>
      <c r="F29" s="2" t="s">
        <v>21</v>
      </c>
      <c r="G29" s="2" t="s">
        <v>23</v>
      </c>
      <c r="H29" s="2">
        <v>21</v>
      </c>
      <c r="I29" s="2">
        <v>295</v>
      </c>
      <c r="J29" s="5">
        <v>103250</v>
      </c>
      <c r="K29" s="5">
        <v>43365</v>
      </c>
    </row>
    <row r="30" spans="1:11" x14ac:dyDescent="0.25">
      <c r="A30" s="2">
        <v>10029</v>
      </c>
      <c r="B30" s="2">
        <f t="shared" si="0"/>
        <v>2019</v>
      </c>
      <c r="C30" s="3">
        <v>43466</v>
      </c>
      <c r="D30" s="4">
        <v>43494</v>
      </c>
      <c r="E30" s="2" t="s">
        <v>22</v>
      </c>
      <c r="F30" s="2" t="s">
        <v>24</v>
      </c>
      <c r="G30" s="2" t="s">
        <v>13</v>
      </c>
      <c r="H30" s="2">
        <v>30</v>
      </c>
      <c r="I30" s="2">
        <v>313</v>
      </c>
      <c r="J30" s="5">
        <v>234750</v>
      </c>
      <c r="K30" s="5">
        <v>42255</v>
      </c>
    </row>
    <row r="31" spans="1:11" x14ac:dyDescent="0.25">
      <c r="A31" s="2">
        <v>10030</v>
      </c>
      <c r="B31" s="2">
        <f t="shared" si="0"/>
        <v>2019</v>
      </c>
      <c r="C31" s="3">
        <v>43466</v>
      </c>
      <c r="D31" s="4">
        <v>43495</v>
      </c>
      <c r="E31" s="2" t="s">
        <v>19</v>
      </c>
      <c r="F31" s="2" t="s">
        <v>21</v>
      </c>
      <c r="G31" s="2" t="s">
        <v>15</v>
      </c>
      <c r="H31" s="2">
        <v>8</v>
      </c>
      <c r="I31" s="2">
        <v>127</v>
      </c>
      <c r="J31" s="5">
        <v>63500</v>
      </c>
      <c r="K31" s="5">
        <v>16510</v>
      </c>
    </row>
    <row r="32" spans="1:11" x14ac:dyDescent="0.25">
      <c r="A32" s="2">
        <v>10031</v>
      </c>
      <c r="B32" s="2">
        <f t="shared" si="0"/>
        <v>2019</v>
      </c>
      <c r="C32" s="3">
        <v>43466</v>
      </c>
      <c r="D32" s="4">
        <v>43496</v>
      </c>
      <c r="E32" s="2" t="s">
        <v>19</v>
      </c>
      <c r="F32" s="2" t="s">
        <v>18</v>
      </c>
      <c r="G32" s="2" t="s">
        <v>23</v>
      </c>
      <c r="H32" s="2">
        <v>4</v>
      </c>
      <c r="I32" s="2">
        <v>253</v>
      </c>
      <c r="J32" s="5">
        <v>88550</v>
      </c>
      <c r="K32" s="5">
        <v>16824.5</v>
      </c>
    </row>
    <row r="33" spans="1:11" x14ac:dyDescent="0.25">
      <c r="A33" s="2">
        <v>10032</v>
      </c>
      <c r="B33" s="2">
        <f t="shared" si="0"/>
        <v>2019</v>
      </c>
      <c r="C33" s="3">
        <v>43497</v>
      </c>
      <c r="D33" s="4">
        <v>43497</v>
      </c>
      <c r="E33" s="2" t="s">
        <v>11</v>
      </c>
      <c r="F33" s="2" t="s">
        <v>21</v>
      </c>
      <c r="G33" s="2" t="s">
        <v>17</v>
      </c>
      <c r="H33" s="2">
        <v>23</v>
      </c>
      <c r="I33" s="2">
        <v>499</v>
      </c>
      <c r="J33" s="5">
        <v>124750</v>
      </c>
      <c r="K33" s="5">
        <v>14970</v>
      </c>
    </row>
    <row r="34" spans="1:11" x14ac:dyDescent="0.25">
      <c r="A34" s="2">
        <v>10033</v>
      </c>
      <c r="B34" s="2">
        <f t="shared" si="0"/>
        <v>2019</v>
      </c>
      <c r="C34" s="3">
        <v>43497</v>
      </c>
      <c r="D34" s="4">
        <v>43498</v>
      </c>
      <c r="E34" s="2" t="s">
        <v>22</v>
      </c>
      <c r="F34" s="2" t="s">
        <v>18</v>
      </c>
      <c r="G34" s="2" t="s">
        <v>13</v>
      </c>
      <c r="H34" s="2">
        <v>1</v>
      </c>
      <c r="I34" s="2">
        <v>25</v>
      </c>
      <c r="J34" s="5">
        <v>18750</v>
      </c>
      <c r="K34" s="5">
        <v>6375.0000000000009</v>
      </c>
    </row>
    <row r="35" spans="1:11" x14ac:dyDescent="0.25">
      <c r="A35" s="2">
        <v>10034</v>
      </c>
      <c r="B35" s="2">
        <f t="shared" si="0"/>
        <v>2019</v>
      </c>
      <c r="C35" s="3">
        <v>43497</v>
      </c>
      <c r="D35" s="4">
        <v>43499</v>
      </c>
      <c r="E35" s="2" t="s">
        <v>22</v>
      </c>
      <c r="F35" s="2" t="s">
        <v>18</v>
      </c>
      <c r="G35" s="2" t="s">
        <v>17</v>
      </c>
      <c r="H35" s="2">
        <v>1</v>
      </c>
      <c r="I35" s="2">
        <v>17</v>
      </c>
      <c r="J35" s="5">
        <v>4250</v>
      </c>
      <c r="K35" s="5">
        <v>1657.5</v>
      </c>
    </row>
    <row r="36" spans="1:11" x14ac:dyDescent="0.25">
      <c r="A36" s="2">
        <v>10035</v>
      </c>
      <c r="B36" s="2">
        <f t="shared" si="0"/>
        <v>2019</v>
      </c>
      <c r="C36" s="3">
        <v>43497</v>
      </c>
      <c r="D36" s="4">
        <v>43500</v>
      </c>
      <c r="E36" s="2" t="s">
        <v>25</v>
      </c>
      <c r="F36" s="2" t="s">
        <v>18</v>
      </c>
      <c r="G36" s="2" t="s">
        <v>15</v>
      </c>
      <c r="H36" s="2">
        <v>2</v>
      </c>
      <c r="I36" s="2">
        <v>21</v>
      </c>
      <c r="J36" s="5">
        <v>10500</v>
      </c>
      <c r="K36" s="5">
        <v>3360</v>
      </c>
    </row>
    <row r="37" spans="1:11" x14ac:dyDescent="0.25">
      <c r="A37" s="2">
        <v>10036</v>
      </c>
      <c r="B37" s="2">
        <f t="shared" si="0"/>
        <v>2019</v>
      </c>
      <c r="C37" s="3">
        <v>43497</v>
      </c>
      <c r="D37" s="4">
        <v>43501</v>
      </c>
      <c r="E37" s="2" t="s">
        <v>25</v>
      </c>
      <c r="F37" s="2" t="s">
        <v>24</v>
      </c>
      <c r="G37" s="2" t="s">
        <v>20</v>
      </c>
      <c r="H37" s="2">
        <v>13</v>
      </c>
      <c r="I37" s="2">
        <v>264</v>
      </c>
      <c r="J37" s="5">
        <v>224400</v>
      </c>
      <c r="K37" s="5">
        <v>53856</v>
      </c>
    </row>
    <row r="38" spans="1:11" x14ac:dyDescent="0.25">
      <c r="A38" s="2">
        <v>10037</v>
      </c>
      <c r="B38" s="2">
        <f t="shared" si="0"/>
        <v>2019</v>
      </c>
      <c r="C38" s="3">
        <v>43497</v>
      </c>
      <c r="D38" s="4">
        <v>43502</v>
      </c>
      <c r="E38" s="2" t="s">
        <v>14</v>
      </c>
      <c r="F38" s="2" t="s">
        <v>18</v>
      </c>
      <c r="G38" s="2" t="s">
        <v>23</v>
      </c>
      <c r="H38" s="2">
        <v>41</v>
      </c>
      <c r="I38" s="2">
        <v>429</v>
      </c>
      <c r="J38" s="5">
        <v>150150</v>
      </c>
      <c r="K38" s="5">
        <v>66066</v>
      </c>
    </row>
    <row r="39" spans="1:11" x14ac:dyDescent="0.25">
      <c r="A39" s="2">
        <v>10038</v>
      </c>
      <c r="B39" s="2">
        <f t="shared" si="0"/>
        <v>2019</v>
      </c>
      <c r="C39" s="3">
        <v>43497</v>
      </c>
      <c r="D39" s="4">
        <v>43503</v>
      </c>
      <c r="E39" s="2" t="s">
        <v>19</v>
      </c>
      <c r="F39" s="2" t="s">
        <v>12</v>
      </c>
      <c r="G39" s="2" t="s">
        <v>13</v>
      </c>
      <c r="H39" s="2">
        <v>9</v>
      </c>
      <c r="I39" s="2">
        <v>312</v>
      </c>
      <c r="J39" s="5">
        <v>234000</v>
      </c>
      <c r="K39" s="5">
        <v>102960</v>
      </c>
    </row>
    <row r="40" spans="1:11" x14ac:dyDescent="0.25">
      <c r="A40" s="2">
        <v>10039</v>
      </c>
      <c r="B40" s="2">
        <f t="shared" si="0"/>
        <v>2019</v>
      </c>
      <c r="C40" s="3">
        <v>43497</v>
      </c>
      <c r="D40" s="4">
        <v>43504</v>
      </c>
      <c r="E40" s="2" t="s">
        <v>11</v>
      </c>
      <c r="F40" s="2" t="s">
        <v>12</v>
      </c>
      <c r="G40" s="2" t="s">
        <v>13</v>
      </c>
      <c r="H40" s="2">
        <v>31</v>
      </c>
      <c r="I40" s="2">
        <v>461</v>
      </c>
      <c r="J40" s="5">
        <v>345750</v>
      </c>
      <c r="K40" s="5">
        <v>117555.00000000001</v>
      </c>
    </row>
    <row r="41" spans="1:11" x14ac:dyDescent="0.25">
      <c r="A41" s="2">
        <v>10040</v>
      </c>
      <c r="B41" s="2">
        <f t="shared" si="0"/>
        <v>2019</v>
      </c>
      <c r="C41" s="3">
        <v>43497</v>
      </c>
      <c r="D41" s="4">
        <v>43505</v>
      </c>
      <c r="E41" s="2" t="s">
        <v>14</v>
      </c>
      <c r="F41" s="2" t="s">
        <v>18</v>
      </c>
      <c r="G41" s="2" t="s">
        <v>15</v>
      </c>
      <c r="H41" s="2">
        <v>17</v>
      </c>
      <c r="I41" s="2">
        <v>218</v>
      </c>
      <c r="J41" s="5">
        <v>109000</v>
      </c>
      <c r="K41" s="5">
        <v>13080</v>
      </c>
    </row>
    <row r="42" spans="1:11" x14ac:dyDescent="0.25">
      <c r="A42" s="2">
        <v>10041</v>
      </c>
      <c r="B42" s="2">
        <f t="shared" si="0"/>
        <v>2019</v>
      </c>
      <c r="C42" s="3">
        <v>43497</v>
      </c>
      <c r="D42" s="4">
        <v>43506</v>
      </c>
      <c r="E42" s="2" t="s">
        <v>19</v>
      </c>
      <c r="F42" s="2" t="s">
        <v>18</v>
      </c>
      <c r="G42" s="2" t="s">
        <v>17</v>
      </c>
      <c r="H42" s="2">
        <v>7</v>
      </c>
      <c r="I42" s="2">
        <v>487</v>
      </c>
      <c r="J42" s="5">
        <v>121750</v>
      </c>
      <c r="K42" s="5">
        <v>35307.5</v>
      </c>
    </row>
    <row r="43" spans="1:11" x14ac:dyDescent="0.25">
      <c r="A43" s="2">
        <v>10042</v>
      </c>
      <c r="B43" s="2">
        <f t="shared" si="0"/>
        <v>2019</v>
      </c>
      <c r="C43" s="3">
        <v>43497</v>
      </c>
      <c r="D43" s="4">
        <v>43507</v>
      </c>
      <c r="E43" s="2" t="s">
        <v>14</v>
      </c>
      <c r="F43" s="2" t="s">
        <v>16</v>
      </c>
      <c r="G43" s="2" t="s">
        <v>23</v>
      </c>
      <c r="H43" s="2">
        <v>6</v>
      </c>
      <c r="I43" s="2">
        <v>87</v>
      </c>
      <c r="J43" s="5">
        <v>30450</v>
      </c>
      <c r="K43" s="5">
        <v>10048.5</v>
      </c>
    </row>
    <row r="44" spans="1:11" x14ac:dyDescent="0.25">
      <c r="A44" s="2">
        <v>10043</v>
      </c>
      <c r="B44" s="2">
        <f t="shared" si="0"/>
        <v>2019</v>
      </c>
      <c r="C44" s="3">
        <v>43497</v>
      </c>
      <c r="D44" s="4">
        <v>43508</v>
      </c>
      <c r="E44" s="2" t="s">
        <v>14</v>
      </c>
      <c r="F44" s="2" t="s">
        <v>24</v>
      </c>
      <c r="G44" s="2" t="s">
        <v>15</v>
      </c>
      <c r="H44" s="2">
        <v>16</v>
      </c>
      <c r="I44" s="2">
        <v>174</v>
      </c>
      <c r="J44" s="5">
        <v>87000</v>
      </c>
      <c r="K44" s="5">
        <v>18270</v>
      </c>
    </row>
    <row r="45" spans="1:11" x14ac:dyDescent="0.25">
      <c r="A45" s="2">
        <v>10044</v>
      </c>
      <c r="B45" s="2">
        <f t="shared" si="0"/>
        <v>2019</v>
      </c>
      <c r="C45" s="3">
        <v>43497</v>
      </c>
      <c r="D45" s="4">
        <v>43509</v>
      </c>
      <c r="E45" s="2" t="s">
        <v>19</v>
      </c>
      <c r="F45" s="2" t="s">
        <v>16</v>
      </c>
      <c r="G45" s="2" t="s">
        <v>23</v>
      </c>
      <c r="H45" s="2">
        <v>20</v>
      </c>
      <c r="I45" s="2">
        <v>200</v>
      </c>
      <c r="J45" s="5">
        <v>70000</v>
      </c>
      <c r="K45" s="5">
        <v>11900</v>
      </c>
    </row>
    <row r="46" spans="1:11" x14ac:dyDescent="0.25">
      <c r="A46" s="2">
        <v>10045</v>
      </c>
      <c r="B46" s="2">
        <f t="shared" si="0"/>
        <v>2019</v>
      </c>
      <c r="C46" s="3">
        <v>43497</v>
      </c>
      <c r="D46" s="4">
        <v>43510</v>
      </c>
      <c r="E46" s="2" t="s">
        <v>22</v>
      </c>
      <c r="F46" s="2" t="s">
        <v>24</v>
      </c>
      <c r="G46" s="2" t="s">
        <v>20</v>
      </c>
      <c r="H46" s="2">
        <v>27</v>
      </c>
      <c r="I46" s="2">
        <v>468</v>
      </c>
      <c r="J46" s="5">
        <v>397800</v>
      </c>
      <c r="K46" s="5">
        <v>159120</v>
      </c>
    </row>
    <row r="47" spans="1:11" x14ac:dyDescent="0.25">
      <c r="A47" s="2">
        <v>10046</v>
      </c>
      <c r="B47" s="2">
        <f t="shared" si="0"/>
        <v>2019</v>
      </c>
      <c r="C47" s="3">
        <v>43497</v>
      </c>
      <c r="D47" s="4">
        <v>43511</v>
      </c>
      <c r="E47" s="2" t="s">
        <v>11</v>
      </c>
      <c r="F47" s="2" t="s">
        <v>18</v>
      </c>
      <c r="G47" s="2" t="s">
        <v>17</v>
      </c>
      <c r="H47" s="2">
        <v>1</v>
      </c>
      <c r="I47" s="2">
        <v>19</v>
      </c>
      <c r="J47" s="5">
        <v>4750</v>
      </c>
      <c r="K47" s="5">
        <v>807.50000000000011</v>
      </c>
    </row>
    <row r="48" spans="1:11" x14ac:dyDescent="0.25">
      <c r="A48" s="2">
        <v>10047</v>
      </c>
      <c r="B48" s="2">
        <f t="shared" si="0"/>
        <v>2019</v>
      </c>
      <c r="C48" s="3">
        <v>43497</v>
      </c>
      <c r="D48" s="4">
        <v>43512</v>
      </c>
      <c r="E48" s="2" t="s">
        <v>11</v>
      </c>
      <c r="F48" s="2" t="s">
        <v>12</v>
      </c>
      <c r="G48" s="2" t="s">
        <v>20</v>
      </c>
      <c r="H48" s="2">
        <v>18</v>
      </c>
      <c r="I48" s="2">
        <v>433</v>
      </c>
      <c r="J48" s="5">
        <v>368050</v>
      </c>
      <c r="K48" s="5">
        <v>40485.5</v>
      </c>
    </row>
    <row r="49" spans="1:11" x14ac:dyDescent="0.25">
      <c r="A49" s="2">
        <v>10048</v>
      </c>
      <c r="B49" s="2">
        <f t="shared" si="0"/>
        <v>2019</v>
      </c>
      <c r="C49" s="3">
        <v>43497</v>
      </c>
      <c r="D49" s="4">
        <v>43513</v>
      </c>
      <c r="E49" s="2" t="s">
        <v>22</v>
      </c>
      <c r="F49" s="2" t="s">
        <v>18</v>
      </c>
      <c r="G49" s="2" t="s">
        <v>15</v>
      </c>
      <c r="H49" s="2">
        <v>9</v>
      </c>
      <c r="I49" s="2">
        <v>133</v>
      </c>
      <c r="J49" s="5">
        <v>66500</v>
      </c>
      <c r="K49" s="5">
        <v>24605</v>
      </c>
    </row>
    <row r="50" spans="1:11" x14ac:dyDescent="0.25">
      <c r="A50" s="2">
        <v>10049</v>
      </c>
      <c r="B50" s="2">
        <f t="shared" si="0"/>
        <v>2019</v>
      </c>
      <c r="C50" s="3">
        <v>43497</v>
      </c>
      <c r="D50" s="4">
        <v>43514</v>
      </c>
      <c r="E50" s="2" t="s">
        <v>14</v>
      </c>
      <c r="F50" s="2" t="s">
        <v>21</v>
      </c>
      <c r="G50" s="2" t="s">
        <v>20</v>
      </c>
      <c r="H50" s="2">
        <v>1</v>
      </c>
      <c r="I50" s="2">
        <v>18</v>
      </c>
      <c r="J50" s="5">
        <v>15300</v>
      </c>
      <c r="K50" s="5">
        <v>2601</v>
      </c>
    </row>
    <row r="51" spans="1:11" x14ac:dyDescent="0.25">
      <c r="A51" s="2">
        <v>10050</v>
      </c>
      <c r="B51" s="2">
        <f t="shared" si="0"/>
        <v>2019</v>
      </c>
      <c r="C51" s="3">
        <v>43497</v>
      </c>
      <c r="D51" s="4">
        <v>43515</v>
      </c>
      <c r="E51" s="2" t="s">
        <v>25</v>
      </c>
      <c r="F51" s="2" t="s">
        <v>12</v>
      </c>
      <c r="G51" s="2" t="s">
        <v>23</v>
      </c>
      <c r="H51" s="2">
        <v>12</v>
      </c>
      <c r="I51" s="2">
        <v>130</v>
      </c>
      <c r="J51" s="5">
        <v>45500</v>
      </c>
      <c r="K51" s="5">
        <v>15015</v>
      </c>
    </row>
    <row r="52" spans="1:11" x14ac:dyDescent="0.25">
      <c r="A52" s="2">
        <v>10051</v>
      </c>
      <c r="B52" s="2">
        <f t="shared" si="0"/>
        <v>2019</v>
      </c>
      <c r="C52" s="3">
        <v>43497</v>
      </c>
      <c r="D52" s="4">
        <v>43516</v>
      </c>
      <c r="E52" s="2" t="s">
        <v>25</v>
      </c>
      <c r="F52" s="2" t="s">
        <v>16</v>
      </c>
      <c r="G52" s="2" t="s">
        <v>13</v>
      </c>
      <c r="H52" s="2">
        <v>33</v>
      </c>
      <c r="I52" s="2">
        <v>408</v>
      </c>
      <c r="J52" s="5">
        <v>306000</v>
      </c>
      <c r="K52" s="5">
        <v>88740</v>
      </c>
    </row>
    <row r="53" spans="1:11" x14ac:dyDescent="0.25">
      <c r="A53" s="2">
        <v>10052</v>
      </c>
      <c r="B53" s="2">
        <f t="shared" si="0"/>
        <v>2019</v>
      </c>
      <c r="C53" s="3">
        <v>43497</v>
      </c>
      <c r="D53" s="4">
        <v>43517</v>
      </c>
      <c r="E53" s="2" t="s">
        <v>22</v>
      </c>
      <c r="F53" s="2" t="s">
        <v>16</v>
      </c>
      <c r="G53" s="2" t="s">
        <v>17</v>
      </c>
      <c r="H53" s="2">
        <v>3</v>
      </c>
      <c r="I53" s="2">
        <v>184</v>
      </c>
      <c r="J53" s="5">
        <v>46000</v>
      </c>
      <c r="K53" s="5">
        <v>7820.0000000000009</v>
      </c>
    </row>
    <row r="54" spans="1:11" x14ac:dyDescent="0.25">
      <c r="A54" s="2">
        <v>10053</v>
      </c>
      <c r="B54" s="2">
        <f t="shared" si="0"/>
        <v>2019</v>
      </c>
      <c r="C54" s="3">
        <v>43497</v>
      </c>
      <c r="D54" s="4">
        <v>43518</v>
      </c>
      <c r="E54" s="2" t="s">
        <v>25</v>
      </c>
      <c r="F54" s="2" t="s">
        <v>18</v>
      </c>
      <c r="G54" s="2" t="s">
        <v>23</v>
      </c>
      <c r="H54" s="2">
        <v>16</v>
      </c>
      <c r="I54" s="2">
        <v>199</v>
      </c>
      <c r="J54" s="5">
        <v>69650</v>
      </c>
      <c r="K54" s="5">
        <v>9751.0000000000018</v>
      </c>
    </row>
    <row r="55" spans="1:11" x14ac:dyDescent="0.25">
      <c r="A55" s="2">
        <v>10054</v>
      </c>
      <c r="B55" s="2">
        <f t="shared" si="0"/>
        <v>2019</v>
      </c>
      <c r="C55" s="3">
        <v>43497</v>
      </c>
      <c r="D55" s="4">
        <v>43519</v>
      </c>
      <c r="E55" s="2" t="s">
        <v>22</v>
      </c>
      <c r="F55" s="2" t="s">
        <v>18</v>
      </c>
      <c r="G55" s="2" t="s">
        <v>20</v>
      </c>
      <c r="H55" s="2">
        <v>9</v>
      </c>
      <c r="I55" s="2">
        <v>479</v>
      </c>
      <c r="J55" s="5">
        <v>407150</v>
      </c>
      <c r="K55" s="5">
        <v>138431</v>
      </c>
    </row>
    <row r="56" spans="1:11" x14ac:dyDescent="0.25">
      <c r="A56" s="2">
        <v>10055</v>
      </c>
      <c r="B56" s="2">
        <f t="shared" si="0"/>
        <v>2019</v>
      </c>
      <c r="C56" s="3">
        <v>43497</v>
      </c>
      <c r="D56" s="4">
        <v>43520</v>
      </c>
      <c r="E56" s="2" t="s">
        <v>22</v>
      </c>
      <c r="F56" s="2" t="s">
        <v>21</v>
      </c>
      <c r="G56" s="2" t="s">
        <v>20</v>
      </c>
      <c r="H56" s="2">
        <v>37</v>
      </c>
      <c r="I56" s="2">
        <v>400</v>
      </c>
      <c r="J56" s="5">
        <v>340000</v>
      </c>
      <c r="K56" s="5">
        <v>98600</v>
      </c>
    </row>
    <row r="57" spans="1:11" x14ac:dyDescent="0.25">
      <c r="A57" s="2">
        <v>10056</v>
      </c>
      <c r="B57" s="2">
        <f t="shared" si="0"/>
        <v>2019</v>
      </c>
      <c r="C57" s="3">
        <v>43497</v>
      </c>
      <c r="D57" s="4">
        <v>43521</v>
      </c>
      <c r="E57" s="2" t="s">
        <v>11</v>
      </c>
      <c r="F57" s="2" t="s">
        <v>18</v>
      </c>
      <c r="G57" s="2" t="s">
        <v>17</v>
      </c>
      <c r="H57" s="2">
        <v>2</v>
      </c>
      <c r="I57" s="2">
        <v>51</v>
      </c>
      <c r="J57" s="5">
        <v>12750</v>
      </c>
      <c r="K57" s="5">
        <v>3442.5</v>
      </c>
    </row>
    <row r="58" spans="1:11" x14ac:dyDescent="0.25">
      <c r="A58" s="2">
        <v>10057</v>
      </c>
      <c r="B58" s="2">
        <f t="shared" si="0"/>
        <v>2019</v>
      </c>
      <c r="C58" s="3">
        <v>43497</v>
      </c>
      <c r="D58" s="4">
        <v>43522</v>
      </c>
      <c r="E58" s="2" t="s">
        <v>19</v>
      </c>
      <c r="F58" s="2" t="s">
        <v>16</v>
      </c>
      <c r="G58" s="2" t="s">
        <v>23</v>
      </c>
      <c r="H58" s="2">
        <v>1</v>
      </c>
      <c r="I58" s="2">
        <v>20</v>
      </c>
      <c r="J58" s="5">
        <v>7000</v>
      </c>
      <c r="K58" s="5">
        <v>1960.0000000000002</v>
      </c>
    </row>
    <row r="59" spans="1:11" x14ac:dyDescent="0.25">
      <c r="A59" s="2">
        <v>10058</v>
      </c>
      <c r="B59" s="2">
        <f t="shared" si="0"/>
        <v>2019</v>
      </c>
      <c r="C59" s="3">
        <v>43497</v>
      </c>
      <c r="D59" s="4">
        <v>43523</v>
      </c>
      <c r="E59" s="2" t="s">
        <v>14</v>
      </c>
      <c r="F59" s="2" t="s">
        <v>21</v>
      </c>
      <c r="G59" s="2" t="s">
        <v>20</v>
      </c>
      <c r="H59" s="2">
        <v>7</v>
      </c>
      <c r="I59" s="2">
        <v>131</v>
      </c>
      <c r="J59" s="5">
        <v>111350</v>
      </c>
      <c r="K59" s="5">
        <v>21156.5</v>
      </c>
    </row>
    <row r="60" spans="1:11" x14ac:dyDescent="0.25">
      <c r="A60" s="2">
        <v>10059</v>
      </c>
      <c r="B60" s="2">
        <f t="shared" si="0"/>
        <v>2019</v>
      </c>
      <c r="C60" s="3">
        <v>43497</v>
      </c>
      <c r="D60" s="4">
        <v>43524</v>
      </c>
      <c r="E60" s="2" t="s">
        <v>25</v>
      </c>
      <c r="F60" s="2" t="s">
        <v>21</v>
      </c>
      <c r="G60" s="2" t="s">
        <v>17</v>
      </c>
      <c r="H60" s="2">
        <v>15</v>
      </c>
      <c r="I60" s="2">
        <v>233</v>
      </c>
      <c r="J60" s="5">
        <v>58250</v>
      </c>
      <c r="K60" s="5">
        <v>15727.500000000002</v>
      </c>
    </row>
    <row r="61" spans="1:11" x14ac:dyDescent="0.25">
      <c r="A61" s="2">
        <v>10060</v>
      </c>
      <c r="B61" s="2">
        <f t="shared" si="0"/>
        <v>2019</v>
      </c>
      <c r="C61" s="3">
        <v>43525</v>
      </c>
      <c r="D61" s="4">
        <v>43525</v>
      </c>
      <c r="E61" s="2" t="s">
        <v>19</v>
      </c>
      <c r="F61" s="2" t="s">
        <v>12</v>
      </c>
      <c r="G61" s="2" t="s">
        <v>13</v>
      </c>
      <c r="H61" s="2">
        <v>5</v>
      </c>
      <c r="I61" s="2">
        <v>405</v>
      </c>
      <c r="J61" s="5">
        <v>303750</v>
      </c>
      <c r="K61" s="5">
        <v>109350</v>
      </c>
    </row>
    <row r="62" spans="1:11" x14ac:dyDescent="0.25">
      <c r="A62" s="2">
        <v>10061</v>
      </c>
      <c r="B62" s="2">
        <f t="shared" si="0"/>
        <v>2019</v>
      </c>
      <c r="C62" s="3">
        <v>43525</v>
      </c>
      <c r="D62" s="4">
        <v>43526</v>
      </c>
      <c r="E62" s="2" t="s">
        <v>11</v>
      </c>
      <c r="F62" s="2" t="s">
        <v>18</v>
      </c>
      <c r="G62" s="2" t="s">
        <v>13</v>
      </c>
      <c r="H62" s="2">
        <v>9</v>
      </c>
      <c r="I62" s="2">
        <v>101</v>
      </c>
      <c r="J62" s="5">
        <v>75750</v>
      </c>
      <c r="K62" s="5">
        <v>33330</v>
      </c>
    </row>
    <row r="63" spans="1:11" x14ac:dyDescent="0.25">
      <c r="A63" s="2">
        <v>10062</v>
      </c>
      <c r="B63" s="2">
        <f t="shared" si="0"/>
        <v>2019</v>
      </c>
      <c r="C63" s="3">
        <v>43525</v>
      </c>
      <c r="D63" s="4">
        <v>43527</v>
      </c>
      <c r="E63" s="2" t="s">
        <v>25</v>
      </c>
      <c r="F63" s="2" t="s">
        <v>24</v>
      </c>
      <c r="G63" s="2" t="s">
        <v>23</v>
      </c>
      <c r="H63" s="2">
        <v>14</v>
      </c>
      <c r="I63" s="2">
        <v>258</v>
      </c>
      <c r="J63" s="5">
        <v>90300</v>
      </c>
      <c r="K63" s="5">
        <v>27090</v>
      </c>
    </row>
    <row r="64" spans="1:11" x14ac:dyDescent="0.25">
      <c r="A64" s="2">
        <v>10063</v>
      </c>
      <c r="B64" s="2">
        <f t="shared" si="0"/>
        <v>2019</v>
      </c>
      <c r="C64" s="3">
        <v>43525</v>
      </c>
      <c r="D64" s="4">
        <v>43528</v>
      </c>
      <c r="E64" s="2" t="s">
        <v>22</v>
      </c>
      <c r="F64" s="2" t="s">
        <v>12</v>
      </c>
      <c r="G64" s="2" t="s">
        <v>15</v>
      </c>
      <c r="H64" s="2">
        <v>14</v>
      </c>
      <c r="I64" s="2">
        <v>147</v>
      </c>
      <c r="J64" s="5">
        <v>73500</v>
      </c>
      <c r="K64" s="5">
        <v>31605</v>
      </c>
    </row>
    <row r="65" spans="1:11" x14ac:dyDescent="0.25">
      <c r="A65" s="2">
        <v>10064</v>
      </c>
      <c r="B65" s="2">
        <f t="shared" si="0"/>
        <v>2019</v>
      </c>
      <c r="C65" s="3">
        <v>43525</v>
      </c>
      <c r="D65" s="4">
        <v>43529</v>
      </c>
      <c r="E65" s="2" t="s">
        <v>19</v>
      </c>
      <c r="F65" s="2" t="s">
        <v>16</v>
      </c>
      <c r="G65" s="2" t="s">
        <v>23</v>
      </c>
      <c r="H65" s="2">
        <v>8</v>
      </c>
      <c r="I65" s="2">
        <v>362</v>
      </c>
      <c r="J65" s="5">
        <v>126700</v>
      </c>
      <c r="K65" s="5">
        <v>49413</v>
      </c>
    </row>
    <row r="66" spans="1:11" x14ac:dyDescent="0.25">
      <c r="A66" s="2">
        <v>10065</v>
      </c>
      <c r="B66" s="2">
        <f t="shared" si="0"/>
        <v>2019</v>
      </c>
      <c r="C66" s="3">
        <v>43525</v>
      </c>
      <c r="D66" s="4">
        <v>43530</v>
      </c>
      <c r="E66" s="2" t="s">
        <v>19</v>
      </c>
      <c r="F66" s="2" t="s">
        <v>16</v>
      </c>
      <c r="G66" s="2" t="s">
        <v>15</v>
      </c>
      <c r="H66" s="2">
        <v>3</v>
      </c>
      <c r="I66" s="2">
        <v>212</v>
      </c>
      <c r="J66" s="5">
        <v>106000</v>
      </c>
      <c r="K66" s="5">
        <v>43460</v>
      </c>
    </row>
    <row r="67" spans="1:11" x14ac:dyDescent="0.25">
      <c r="A67" s="2">
        <v>10066</v>
      </c>
      <c r="B67" s="2">
        <f t="shared" ref="B67:B130" si="1">YEAR(C67)</f>
        <v>2019</v>
      </c>
      <c r="C67" s="3">
        <v>43525</v>
      </c>
      <c r="D67" s="4">
        <v>43531</v>
      </c>
      <c r="E67" s="2" t="s">
        <v>25</v>
      </c>
      <c r="F67" s="2" t="s">
        <v>18</v>
      </c>
      <c r="G67" s="2" t="s">
        <v>20</v>
      </c>
      <c r="H67" s="2">
        <v>3</v>
      </c>
      <c r="I67" s="2">
        <v>61</v>
      </c>
      <c r="J67" s="5">
        <v>51850</v>
      </c>
      <c r="K67" s="5">
        <v>22814</v>
      </c>
    </row>
    <row r="68" spans="1:11" x14ac:dyDescent="0.25">
      <c r="A68" s="2">
        <v>10067</v>
      </c>
      <c r="B68" s="2">
        <f t="shared" si="1"/>
        <v>2019</v>
      </c>
      <c r="C68" s="3">
        <v>43525</v>
      </c>
      <c r="D68" s="4">
        <v>43532</v>
      </c>
      <c r="E68" s="2" t="s">
        <v>19</v>
      </c>
      <c r="F68" s="2" t="s">
        <v>16</v>
      </c>
      <c r="G68" s="2" t="s">
        <v>23</v>
      </c>
      <c r="H68" s="2">
        <v>4</v>
      </c>
      <c r="I68" s="2">
        <v>41</v>
      </c>
      <c r="J68" s="5">
        <v>14350</v>
      </c>
      <c r="K68" s="5">
        <v>6457.5</v>
      </c>
    </row>
    <row r="69" spans="1:11" x14ac:dyDescent="0.25">
      <c r="A69" s="2">
        <v>10068</v>
      </c>
      <c r="B69" s="2">
        <f t="shared" si="1"/>
        <v>2019</v>
      </c>
      <c r="C69" s="3">
        <v>43525</v>
      </c>
      <c r="D69" s="4">
        <v>43533</v>
      </c>
      <c r="E69" s="2" t="s">
        <v>14</v>
      </c>
      <c r="F69" s="2" t="s">
        <v>16</v>
      </c>
      <c r="G69" s="2" t="s">
        <v>15</v>
      </c>
      <c r="H69" s="2">
        <v>18</v>
      </c>
      <c r="I69" s="2">
        <v>332</v>
      </c>
      <c r="J69" s="5">
        <v>166000</v>
      </c>
      <c r="K69" s="5">
        <v>58099.999999999993</v>
      </c>
    </row>
    <row r="70" spans="1:11" x14ac:dyDescent="0.25">
      <c r="A70" s="2">
        <v>10069</v>
      </c>
      <c r="B70" s="2">
        <f t="shared" si="1"/>
        <v>2019</v>
      </c>
      <c r="C70" s="3">
        <v>43525</v>
      </c>
      <c r="D70" s="4">
        <v>43534</v>
      </c>
      <c r="E70" s="2" t="s">
        <v>25</v>
      </c>
      <c r="F70" s="2" t="s">
        <v>12</v>
      </c>
      <c r="G70" s="2" t="s">
        <v>20</v>
      </c>
      <c r="H70" s="2">
        <v>3</v>
      </c>
      <c r="I70" s="2">
        <v>33</v>
      </c>
      <c r="J70" s="5">
        <v>28050</v>
      </c>
      <c r="K70" s="5">
        <v>7012.5</v>
      </c>
    </row>
    <row r="71" spans="1:11" x14ac:dyDescent="0.25">
      <c r="A71" s="2">
        <v>10070</v>
      </c>
      <c r="B71" s="2">
        <f t="shared" si="1"/>
        <v>2019</v>
      </c>
      <c r="C71" s="3">
        <v>43525</v>
      </c>
      <c r="D71" s="4">
        <v>43535</v>
      </c>
      <c r="E71" s="2" t="s">
        <v>14</v>
      </c>
      <c r="F71" s="2" t="s">
        <v>16</v>
      </c>
      <c r="G71" s="2" t="s">
        <v>15</v>
      </c>
      <c r="H71" s="2">
        <v>1</v>
      </c>
      <c r="I71" s="2">
        <v>13</v>
      </c>
      <c r="J71" s="5">
        <v>6500</v>
      </c>
      <c r="K71" s="5">
        <v>1690</v>
      </c>
    </row>
    <row r="72" spans="1:11" x14ac:dyDescent="0.25">
      <c r="A72" s="2">
        <v>10071</v>
      </c>
      <c r="B72" s="2">
        <f t="shared" si="1"/>
        <v>2019</v>
      </c>
      <c r="C72" s="3">
        <v>43525</v>
      </c>
      <c r="D72" s="4">
        <v>43536</v>
      </c>
      <c r="E72" s="2" t="s">
        <v>19</v>
      </c>
      <c r="F72" s="2" t="s">
        <v>21</v>
      </c>
      <c r="G72" s="2" t="s">
        <v>15</v>
      </c>
      <c r="H72" s="2">
        <v>1</v>
      </c>
      <c r="I72" s="2">
        <v>58</v>
      </c>
      <c r="J72" s="5">
        <v>29000</v>
      </c>
      <c r="K72" s="5">
        <v>6670</v>
      </c>
    </row>
    <row r="73" spans="1:11" x14ac:dyDescent="0.25">
      <c r="A73" s="2">
        <v>10072</v>
      </c>
      <c r="B73" s="2">
        <f t="shared" si="1"/>
        <v>2019</v>
      </c>
      <c r="C73" s="3">
        <v>43525</v>
      </c>
      <c r="D73" s="4">
        <v>43537</v>
      </c>
      <c r="E73" s="2" t="s">
        <v>11</v>
      </c>
      <c r="F73" s="2" t="s">
        <v>12</v>
      </c>
      <c r="G73" s="2" t="s">
        <v>17</v>
      </c>
      <c r="H73" s="2">
        <v>4</v>
      </c>
      <c r="I73" s="2">
        <v>40</v>
      </c>
      <c r="J73" s="5">
        <v>10000</v>
      </c>
      <c r="K73" s="5">
        <v>2300</v>
      </c>
    </row>
    <row r="74" spans="1:11" x14ac:dyDescent="0.25">
      <c r="A74" s="2">
        <v>10073</v>
      </c>
      <c r="B74" s="2">
        <f t="shared" si="1"/>
        <v>2019</v>
      </c>
      <c r="C74" s="3">
        <v>43525</v>
      </c>
      <c r="D74" s="4">
        <v>43538</v>
      </c>
      <c r="E74" s="2" t="s">
        <v>25</v>
      </c>
      <c r="F74" s="2" t="s">
        <v>24</v>
      </c>
      <c r="G74" s="2" t="s">
        <v>15</v>
      </c>
      <c r="H74" s="2">
        <v>2</v>
      </c>
      <c r="I74" s="2">
        <v>43</v>
      </c>
      <c r="J74" s="5">
        <v>21500</v>
      </c>
      <c r="K74" s="5">
        <v>7095</v>
      </c>
    </row>
    <row r="75" spans="1:11" x14ac:dyDescent="0.25">
      <c r="A75" s="2">
        <v>10074</v>
      </c>
      <c r="B75" s="2">
        <f t="shared" si="1"/>
        <v>2019</v>
      </c>
      <c r="C75" s="3">
        <v>43525</v>
      </c>
      <c r="D75" s="4">
        <v>43539</v>
      </c>
      <c r="E75" s="2" t="s">
        <v>22</v>
      </c>
      <c r="F75" s="2" t="s">
        <v>12</v>
      </c>
      <c r="G75" s="2" t="s">
        <v>20</v>
      </c>
      <c r="H75" s="2">
        <v>19</v>
      </c>
      <c r="I75" s="2">
        <v>293</v>
      </c>
      <c r="J75" s="5">
        <v>249050</v>
      </c>
      <c r="K75" s="5">
        <v>92148.5</v>
      </c>
    </row>
    <row r="76" spans="1:11" x14ac:dyDescent="0.25">
      <c r="A76" s="2">
        <v>10075</v>
      </c>
      <c r="B76" s="2">
        <f t="shared" si="1"/>
        <v>2019</v>
      </c>
      <c r="C76" s="3">
        <v>43525</v>
      </c>
      <c r="D76" s="4">
        <v>43540</v>
      </c>
      <c r="E76" s="2" t="s">
        <v>19</v>
      </c>
      <c r="F76" s="2" t="s">
        <v>18</v>
      </c>
      <c r="G76" s="2" t="s">
        <v>15</v>
      </c>
      <c r="H76" s="2">
        <v>19</v>
      </c>
      <c r="I76" s="2">
        <v>387</v>
      </c>
      <c r="J76" s="5">
        <v>193500</v>
      </c>
      <c r="K76" s="5">
        <v>71595</v>
      </c>
    </row>
    <row r="77" spans="1:11" x14ac:dyDescent="0.25">
      <c r="A77" s="2">
        <v>10076</v>
      </c>
      <c r="B77" s="2">
        <f t="shared" si="1"/>
        <v>2019</v>
      </c>
      <c r="C77" s="3">
        <v>43525</v>
      </c>
      <c r="D77" s="4">
        <v>43541</v>
      </c>
      <c r="E77" s="2" t="s">
        <v>22</v>
      </c>
      <c r="F77" s="2" t="s">
        <v>12</v>
      </c>
      <c r="G77" s="2" t="s">
        <v>13</v>
      </c>
      <c r="H77" s="2">
        <v>16</v>
      </c>
      <c r="I77" s="2">
        <v>413</v>
      </c>
      <c r="J77" s="5">
        <v>309750</v>
      </c>
      <c r="K77" s="5">
        <v>96022.5</v>
      </c>
    </row>
    <row r="78" spans="1:11" x14ac:dyDescent="0.25">
      <c r="A78" s="2">
        <v>10077</v>
      </c>
      <c r="B78" s="2">
        <f t="shared" si="1"/>
        <v>2019</v>
      </c>
      <c r="C78" s="3">
        <v>43525</v>
      </c>
      <c r="D78" s="4">
        <v>43542</v>
      </c>
      <c r="E78" s="2" t="s">
        <v>22</v>
      </c>
      <c r="F78" s="2" t="s">
        <v>18</v>
      </c>
      <c r="G78" s="2" t="s">
        <v>23</v>
      </c>
      <c r="H78" s="2">
        <v>21</v>
      </c>
      <c r="I78" s="2">
        <v>297</v>
      </c>
      <c r="J78" s="5">
        <v>103950</v>
      </c>
      <c r="K78" s="5">
        <v>46777.5</v>
      </c>
    </row>
    <row r="79" spans="1:11" x14ac:dyDescent="0.25">
      <c r="A79" s="2">
        <v>10078</v>
      </c>
      <c r="B79" s="2">
        <f t="shared" si="1"/>
        <v>2019</v>
      </c>
      <c r="C79" s="3">
        <v>43525</v>
      </c>
      <c r="D79" s="4">
        <v>43543</v>
      </c>
      <c r="E79" s="2" t="s">
        <v>22</v>
      </c>
      <c r="F79" s="2" t="s">
        <v>21</v>
      </c>
      <c r="G79" s="2" t="s">
        <v>23</v>
      </c>
      <c r="H79" s="2">
        <v>8</v>
      </c>
      <c r="I79" s="2">
        <v>342</v>
      </c>
      <c r="J79" s="5">
        <v>119700</v>
      </c>
      <c r="K79" s="5">
        <v>35910</v>
      </c>
    </row>
    <row r="80" spans="1:11" x14ac:dyDescent="0.25">
      <c r="A80" s="2">
        <v>10079</v>
      </c>
      <c r="B80" s="2">
        <f t="shared" si="1"/>
        <v>2019</v>
      </c>
      <c r="C80" s="3">
        <v>43525</v>
      </c>
      <c r="D80" s="4">
        <v>43544</v>
      </c>
      <c r="E80" s="2" t="s">
        <v>14</v>
      </c>
      <c r="F80" s="2" t="s">
        <v>21</v>
      </c>
      <c r="G80" s="2" t="s">
        <v>13</v>
      </c>
      <c r="H80" s="2">
        <v>27</v>
      </c>
      <c r="I80" s="2">
        <v>280</v>
      </c>
      <c r="J80" s="5">
        <v>210000</v>
      </c>
      <c r="K80" s="5">
        <v>46200</v>
      </c>
    </row>
    <row r="81" spans="1:11" x14ac:dyDescent="0.25">
      <c r="A81" s="2">
        <v>10080</v>
      </c>
      <c r="B81" s="2">
        <f t="shared" si="1"/>
        <v>2019</v>
      </c>
      <c r="C81" s="3">
        <v>43525</v>
      </c>
      <c r="D81" s="4">
        <v>43545</v>
      </c>
      <c r="E81" s="2" t="s">
        <v>22</v>
      </c>
      <c r="F81" s="2" t="s">
        <v>24</v>
      </c>
      <c r="G81" s="2" t="s">
        <v>17</v>
      </c>
      <c r="H81" s="2">
        <v>25</v>
      </c>
      <c r="I81" s="2">
        <v>428</v>
      </c>
      <c r="J81" s="5">
        <v>107000</v>
      </c>
      <c r="K81" s="5">
        <v>31029.999999999996</v>
      </c>
    </row>
    <row r="82" spans="1:11" x14ac:dyDescent="0.25">
      <c r="A82" s="2">
        <v>10081</v>
      </c>
      <c r="B82" s="2">
        <f t="shared" si="1"/>
        <v>2019</v>
      </c>
      <c r="C82" s="3">
        <v>43525</v>
      </c>
      <c r="D82" s="4">
        <v>43546</v>
      </c>
      <c r="E82" s="2" t="s">
        <v>25</v>
      </c>
      <c r="F82" s="2" t="s">
        <v>12</v>
      </c>
      <c r="G82" s="2" t="s">
        <v>23</v>
      </c>
      <c r="H82" s="2">
        <v>22</v>
      </c>
      <c r="I82" s="2">
        <v>439</v>
      </c>
      <c r="J82" s="5">
        <v>153650</v>
      </c>
      <c r="K82" s="5">
        <v>69142.5</v>
      </c>
    </row>
    <row r="83" spans="1:11" x14ac:dyDescent="0.25">
      <c r="A83" s="2">
        <v>10082</v>
      </c>
      <c r="B83" s="2">
        <f t="shared" si="1"/>
        <v>2019</v>
      </c>
      <c r="C83" s="3">
        <v>43525</v>
      </c>
      <c r="D83" s="4">
        <v>43547</v>
      </c>
      <c r="E83" s="2" t="s">
        <v>25</v>
      </c>
      <c r="F83" s="2" t="s">
        <v>24</v>
      </c>
      <c r="G83" s="2" t="s">
        <v>15</v>
      </c>
      <c r="H83" s="2">
        <v>21</v>
      </c>
      <c r="I83" s="2">
        <v>399</v>
      </c>
      <c r="J83" s="5">
        <v>199500</v>
      </c>
      <c r="K83" s="5">
        <v>83790</v>
      </c>
    </row>
    <row r="84" spans="1:11" x14ac:dyDescent="0.25">
      <c r="A84" s="2">
        <v>10083</v>
      </c>
      <c r="B84" s="2">
        <f t="shared" si="1"/>
        <v>2019</v>
      </c>
      <c r="C84" s="3">
        <v>43525</v>
      </c>
      <c r="D84" s="4">
        <v>43548</v>
      </c>
      <c r="E84" s="2" t="s">
        <v>22</v>
      </c>
      <c r="F84" s="2" t="s">
        <v>21</v>
      </c>
      <c r="G84" s="2" t="s">
        <v>13</v>
      </c>
      <c r="H84" s="2">
        <v>18</v>
      </c>
      <c r="I84" s="2">
        <v>395</v>
      </c>
      <c r="J84" s="5">
        <v>296250</v>
      </c>
      <c r="K84" s="5">
        <v>133312.5</v>
      </c>
    </row>
    <row r="85" spans="1:11" x14ac:dyDescent="0.25">
      <c r="A85" s="2">
        <v>10084</v>
      </c>
      <c r="B85" s="2">
        <f t="shared" si="1"/>
        <v>2019</v>
      </c>
      <c r="C85" s="3">
        <v>43525</v>
      </c>
      <c r="D85" s="4">
        <v>43549</v>
      </c>
      <c r="E85" s="2" t="s">
        <v>22</v>
      </c>
      <c r="F85" s="2" t="s">
        <v>21</v>
      </c>
      <c r="G85" s="2" t="s">
        <v>13</v>
      </c>
      <c r="H85" s="2">
        <v>2</v>
      </c>
      <c r="I85" s="2">
        <v>41</v>
      </c>
      <c r="J85" s="5">
        <v>30750</v>
      </c>
      <c r="K85" s="5">
        <v>4305</v>
      </c>
    </row>
    <row r="86" spans="1:11" x14ac:dyDescent="0.25">
      <c r="A86" s="2">
        <v>10085</v>
      </c>
      <c r="B86" s="2">
        <f t="shared" si="1"/>
        <v>2019</v>
      </c>
      <c r="C86" s="3">
        <v>43525</v>
      </c>
      <c r="D86" s="4">
        <v>43550</v>
      </c>
      <c r="E86" s="2" t="s">
        <v>11</v>
      </c>
      <c r="F86" s="2" t="s">
        <v>24</v>
      </c>
      <c r="G86" s="2" t="s">
        <v>17</v>
      </c>
      <c r="H86" s="2">
        <v>6</v>
      </c>
      <c r="I86" s="2">
        <v>88</v>
      </c>
      <c r="J86" s="5">
        <v>22000</v>
      </c>
      <c r="K86" s="5">
        <v>4620</v>
      </c>
    </row>
    <row r="87" spans="1:11" x14ac:dyDescent="0.25">
      <c r="A87" s="2">
        <v>10086</v>
      </c>
      <c r="B87" s="2">
        <f t="shared" si="1"/>
        <v>2019</v>
      </c>
      <c r="C87" s="3">
        <v>43525</v>
      </c>
      <c r="D87" s="4">
        <v>43551</v>
      </c>
      <c r="E87" s="2" t="s">
        <v>11</v>
      </c>
      <c r="F87" s="2" t="s">
        <v>21</v>
      </c>
      <c r="G87" s="2" t="s">
        <v>15</v>
      </c>
      <c r="H87" s="2">
        <v>44</v>
      </c>
      <c r="I87" s="2">
        <v>471</v>
      </c>
      <c r="J87" s="5">
        <v>235500</v>
      </c>
      <c r="K87" s="5">
        <v>89490</v>
      </c>
    </row>
    <row r="88" spans="1:11" x14ac:dyDescent="0.25">
      <c r="A88" s="2">
        <v>10087</v>
      </c>
      <c r="B88" s="2">
        <f t="shared" si="1"/>
        <v>2019</v>
      </c>
      <c r="C88" s="3">
        <v>43525</v>
      </c>
      <c r="D88" s="4">
        <v>43552</v>
      </c>
      <c r="E88" s="2" t="s">
        <v>11</v>
      </c>
      <c r="F88" s="2" t="s">
        <v>21</v>
      </c>
      <c r="G88" s="2" t="s">
        <v>20</v>
      </c>
      <c r="H88" s="2">
        <v>1</v>
      </c>
      <c r="I88" s="2">
        <v>84</v>
      </c>
      <c r="J88" s="5">
        <v>71400</v>
      </c>
      <c r="K88" s="5">
        <v>9282</v>
      </c>
    </row>
    <row r="89" spans="1:11" x14ac:dyDescent="0.25">
      <c r="A89" s="2">
        <v>10088</v>
      </c>
      <c r="B89" s="2">
        <f t="shared" si="1"/>
        <v>2019</v>
      </c>
      <c r="C89" s="3">
        <v>43525</v>
      </c>
      <c r="D89" s="4">
        <v>43553</v>
      </c>
      <c r="E89" s="2" t="s">
        <v>14</v>
      </c>
      <c r="F89" s="2" t="s">
        <v>12</v>
      </c>
      <c r="G89" s="2" t="s">
        <v>23</v>
      </c>
      <c r="H89" s="2">
        <v>5</v>
      </c>
      <c r="I89" s="2">
        <v>73</v>
      </c>
      <c r="J89" s="5">
        <v>25550</v>
      </c>
      <c r="K89" s="5">
        <v>8431.5</v>
      </c>
    </row>
    <row r="90" spans="1:11" x14ac:dyDescent="0.25">
      <c r="A90" s="2">
        <v>10089</v>
      </c>
      <c r="B90" s="2">
        <f t="shared" si="1"/>
        <v>2019</v>
      </c>
      <c r="C90" s="3">
        <v>43525</v>
      </c>
      <c r="D90" s="4">
        <v>43554</v>
      </c>
      <c r="E90" s="2" t="s">
        <v>14</v>
      </c>
      <c r="F90" s="2" t="s">
        <v>24</v>
      </c>
      <c r="G90" s="2" t="s">
        <v>15</v>
      </c>
      <c r="H90" s="2">
        <v>7</v>
      </c>
      <c r="I90" s="2">
        <v>441</v>
      </c>
      <c r="J90" s="5">
        <v>220500</v>
      </c>
      <c r="K90" s="5">
        <v>22050</v>
      </c>
    </row>
    <row r="91" spans="1:11" x14ac:dyDescent="0.25">
      <c r="A91" s="2">
        <v>10090</v>
      </c>
      <c r="B91" s="2">
        <f t="shared" si="1"/>
        <v>2019</v>
      </c>
      <c r="C91" s="3">
        <v>43525</v>
      </c>
      <c r="D91" s="4">
        <v>43555</v>
      </c>
      <c r="E91" s="2" t="s">
        <v>25</v>
      </c>
      <c r="F91" s="2" t="s">
        <v>18</v>
      </c>
      <c r="G91" s="2" t="s">
        <v>23</v>
      </c>
      <c r="H91" s="2">
        <v>27</v>
      </c>
      <c r="I91" s="2">
        <v>361</v>
      </c>
      <c r="J91" s="5">
        <v>126350</v>
      </c>
      <c r="K91" s="5">
        <v>51803.5</v>
      </c>
    </row>
    <row r="92" spans="1:11" x14ac:dyDescent="0.25">
      <c r="A92" s="2">
        <v>10091</v>
      </c>
      <c r="B92" s="2">
        <f t="shared" si="1"/>
        <v>2019</v>
      </c>
      <c r="C92" s="3">
        <v>43556</v>
      </c>
      <c r="D92" s="4">
        <v>43556</v>
      </c>
      <c r="E92" s="2" t="s">
        <v>22</v>
      </c>
      <c r="F92" s="2" t="s">
        <v>12</v>
      </c>
      <c r="G92" s="2" t="s">
        <v>15</v>
      </c>
      <c r="H92" s="2">
        <v>30</v>
      </c>
      <c r="I92" s="2">
        <v>330</v>
      </c>
      <c r="J92" s="5">
        <v>165000</v>
      </c>
      <c r="K92" s="5">
        <v>41250</v>
      </c>
    </row>
    <row r="93" spans="1:11" x14ac:dyDescent="0.25">
      <c r="A93" s="2">
        <v>10092</v>
      </c>
      <c r="B93" s="2">
        <f t="shared" si="1"/>
        <v>2019</v>
      </c>
      <c r="C93" s="3">
        <v>43556</v>
      </c>
      <c r="D93" s="4">
        <v>43557</v>
      </c>
      <c r="E93" s="2" t="s">
        <v>22</v>
      </c>
      <c r="F93" s="2" t="s">
        <v>24</v>
      </c>
      <c r="G93" s="2" t="s">
        <v>13</v>
      </c>
      <c r="H93" s="2">
        <v>3</v>
      </c>
      <c r="I93" s="2">
        <v>195</v>
      </c>
      <c r="J93" s="5">
        <v>146250</v>
      </c>
      <c r="K93" s="5">
        <v>62887.5</v>
      </c>
    </row>
    <row r="94" spans="1:11" x14ac:dyDescent="0.25">
      <c r="A94" s="2">
        <v>10093</v>
      </c>
      <c r="B94" s="2">
        <f t="shared" si="1"/>
        <v>2019</v>
      </c>
      <c r="C94" s="3">
        <v>43556</v>
      </c>
      <c r="D94" s="4">
        <v>43558</v>
      </c>
      <c r="E94" s="2" t="s">
        <v>14</v>
      </c>
      <c r="F94" s="2" t="s">
        <v>18</v>
      </c>
      <c r="G94" s="2" t="s">
        <v>20</v>
      </c>
      <c r="H94" s="2">
        <v>7</v>
      </c>
      <c r="I94" s="2">
        <v>117</v>
      </c>
      <c r="J94" s="5">
        <v>99450</v>
      </c>
      <c r="K94" s="5">
        <v>34807.5</v>
      </c>
    </row>
    <row r="95" spans="1:11" x14ac:dyDescent="0.25">
      <c r="A95" s="2">
        <v>10094</v>
      </c>
      <c r="B95" s="2">
        <f t="shared" si="1"/>
        <v>2019</v>
      </c>
      <c r="C95" s="3">
        <v>43556</v>
      </c>
      <c r="D95" s="4">
        <v>43559</v>
      </c>
      <c r="E95" s="2" t="s">
        <v>14</v>
      </c>
      <c r="F95" s="2" t="s">
        <v>16</v>
      </c>
      <c r="G95" s="2" t="s">
        <v>23</v>
      </c>
      <c r="H95" s="2">
        <v>38</v>
      </c>
      <c r="I95" s="2">
        <v>477</v>
      </c>
      <c r="J95" s="5">
        <v>166950</v>
      </c>
      <c r="K95" s="5">
        <v>61771.5</v>
      </c>
    </row>
    <row r="96" spans="1:11" x14ac:dyDescent="0.25">
      <c r="A96" s="2">
        <v>10095</v>
      </c>
      <c r="B96" s="2">
        <f t="shared" si="1"/>
        <v>2019</v>
      </c>
      <c r="C96" s="3">
        <v>43556</v>
      </c>
      <c r="D96" s="4">
        <v>43560</v>
      </c>
      <c r="E96" s="2" t="s">
        <v>22</v>
      </c>
      <c r="F96" s="2" t="s">
        <v>24</v>
      </c>
      <c r="G96" s="2" t="s">
        <v>20</v>
      </c>
      <c r="H96" s="2">
        <v>8</v>
      </c>
      <c r="I96" s="2">
        <v>329</v>
      </c>
      <c r="J96" s="5">
        <v>279650</v>
      </c>
      <c r="K96" s="5">
        <v>86691.5</v>
      </c>
    </row>
    <row r="97" spans="1:11" x14ac:dyDescent="0.25">
      <c r="A97" s="2">
        <v>10096</v>
      </c>
      <c r="B97" s="2">
        <f t="shared" si="1"/>
        <v>2019</v>
      </c>
      <c r="C97" s="3">
        <v>43556</v>
      </c>
      <c r="D97" s="4">
        <v>43561</v>
      </c>
      <c r="E97" s="2" t="s">
        <v>25</v>
      </c>
      <c r="F97" s="2" t="s">
        <v>18</v>
      </c>
      <c r="G97" s="2" t="s">
        <v>23</v>
      </c>
      <c r="H97" s="2">
        <v>7</v>
      </c>
      <c r="I97" s="2">
        <v>280</v>
      </c>
      <c r="J97" s="5">
        <v>98000</v>
      </c>
      <c r="K97" s="5">
        <v>13720.000000000002</v>
      </c>
    </row>
    <row r="98" spans="1:11" x14ac:dyDescent="0.25">
      <c r="A98" s="2">
        <v>10097</v>
      </c>
      <c r="B98" s="2">
        <f t="shared" si="1"/>
        <v>2019</v>
      </c>
      <c r="C98" s="3">
        <v>43556</v>
      </c>
      <c r="D98" s="4">
        <v>43562</v>
      </c>
      <c r="E98" s="2" t="s">
        <v>22</v>
      </c>
      <c r="F98" s="2" t="s">
        <v>21</v>
      </c>
      <c r="G98" s="2" t="s">
        <v>13</v>
      </c>
      <c r="H98" s="2">
        <v>22</v>
      </c>
      <c r="I98" s="2">
        <v>338</v>
      </c>
      <c r="J98" s="5">
        <v>253500</v>
      </c>
      <c r="K98" s="5">
        <v>73515</v>
      </c>
    </row>
    <row r="99" spans="1:11" x14ac:dyDescent="0.25">
      <c r="A99" s="2">
        <v>10098</v>
      </c>
      <c r="B99" s="2">
        <f t="shared" si="1"/>
        <v>2019</v>
      </c>
      <c r="C99" s="3">
        <v>43556</v>
      </c>
      <c r="D99" s="4">
        <v>43563</v>
      </c>
      <c r="E99" s="2" t="s">
        <v>25</v>
      </c>
      <c r="F99" s="2" t="s">
        <v>21</v>
      </c>
      <c r="G99" s="2" t="s">
        <v>15</v>
      </c>
      <c r="H99" s="2">
        <v>4</v>
      </c>
      <c r="I99" s="2">
        <v>151</v>
      </c>
      <c r="J99" s="5">
        <v>75500</v>
      </c>
      <c r="K99" s="5">
        <v>18875</v>
      </c>
    </row>
    <row r="100" spans="1:11" x14ac:dyDescent="0.25">
      <c r="A100" s="2">
        <v>10099</v>
      </c>
      <c r="B100" s="2">
        <f t="shared" si="1"/>
        <v>2019</v>
      </c>
      <c r="C100" s="3">
        <v>43556</v>
      </c>
      <c r="D100" s="4">
        <v>43564</v>
      </c>
      <c r="E100" s="2" t="s">
        <v>19</v>
      </c>
      <c r="F100" s="2" t="s">
        <v>24</v>
      </c>
      <c r="G100" s="2" t="s">
        <v>15</v>
      </c>
      <c r="H100" s="2">
        <v>2</v>
      </c>
      <c r="I100" s="2">
        <v>134</v>
      </c>
      <c r="J100" s="5">
        <v>67000</v>
      </c>
      <c r="K100" s="5">
        <v>18760</v>
      </c>
    </row>
    <row r="101" spans="1:11" x14ac:dyDescent="0.25">
      <c r="A101" s="2">
        <v>10100</v>
      </c>
      <c r="B101" s="2">
        <f t="shared" si="1"/>
        <v>2019</v>
      </c>
      <c r="C101" s="3">
        <v>43556</v>
      </c>
      <c r="D101" s="4">
        <v>43565</v>
      </c>
      <c r="E101" s="2" t="s">
        <v>14</v>
      </c>
      <c r="F101" s="2" t="s">
        <v>24</v>
      </c>
      <c r="G101" s="2" t="s">
        <v>13</v>
      </c>
      <c r="H101" s="2">
        <v>25</v>
      </c>
      <c r="I101" s="2">
        <v>435</v>
      </c>
      <c r="J101" s="5">
        <v>326250</v>
      </c>
      <c r="K101" s="5">
        <v>130500</v>
      </c>
    </row>
    <row r="102" spans="1:11" x14ac:dyDescent="0.25">
      <c r="A102" s="2">
        <v>10101</v>
      </c>
      <c r="B102" s="2">
        <f t="shared" si="1"/>
        <v>2019</v>
      </c>
      <c r="C102" s="3">
        <v>43556</v>
      </c>
      <c r="D102" s="4">
        <v>43566</v>
      </c>
      <c r="E102" s="2" t="s">
        <v>22</v>
      </c>
      <c r="F102" s="2" t="s">
        <v>16</v>
      </c>
      <c r="G102" s="2" t="s">
        <v>20</v>
      </c>
      <c r="H102" s="2">
        <v>15</v>
      </c>
      <c r="I102" s="2">
        <v>154</v>
      </c>
      <c r="J102" s="5">
        <v>130900</v>
      </c>
      <c r="K102" s="5">
        <v>26180</v>
      </c>
    </row>
    <row r="103" spans="1:11" x14ac:dyDescent="0.25">
      <c r="A103" s="2">
        <v>10102</v>
      </c>
      <c r="B103" s="2">
        <f t="shared" si="1"/>
        <v>2019</v>
      </c>
      <c r="C103" s="3">
        <v>43556</v>
      </c>
      <c r="D103" s="4">
        <v>43567</v>
      </c>
      <c r="E103" s="2" t="s">
        <v>19</v>
      </c>
      <c r="F103" s="2" t="s">
        <v>24</v>
      </c>
      <c r="G103" s="2" t="s">
        <v>13</v>
      </c>
      <c r="H103" s="2">
        <v>6</v>
      </c>
      <c r="I103" s="2">
        <v>465</v>
      </c>
      <c r="J103" s="5">
        <v>348750</v>
      </c>
      <c r="K103" s="5">
        <v>139500</v>
      </c>
    </row>
    <row r="104" spans="1:11" x14ac:dyDescent="0.25">
      <c r="A104" s="2">
        <v>10103</v>
      </c>
      <c r="B104" s="2">
        <f t="shared" si="1"/>
        <v>2019</v>
      </c>
      <c r="C104" s="3">
        <v>43556</v>
      </c>
      <c r="D104" s="4">
        <v>43568</v>
      </c>
      <c r="E104" s="2" t="s">
        <v>11</v>
      </c>
      <c r="F104" s="2" t="s">
        <v>21</v>
      </c>
      <c r="G104" s="2" t="s">
        <v>23</v>
      </c>
      <c r="H104" s="2">
        <v>1</v>
      </c>
      <c r="I104" s="2">
        <v>47</v>
      </c>
      <c r="J104" s="5">
        <v>16450</v>
      </c>
      <c r="K104" s="5">
        <v>3454.5</v>
      </c>
    </row>
    <row r="105" spans="1:11" x14ac:dyDescent="0.25">
      <c r="A105" s="2">
        <v>10104</v>
      </c>
      <c r="B105" s="2">
        <f t="shared" si="1"/>
        <v>2019</v>
      </c>
      <c r="C105" s="3">
        <v>43556</v>
      </c>
      <c r="D105" s="4">
        <v>43569</v>
      </c>
      <c r="E105" s="2" t="s">
        <v>25</v>
      </c>
      <c r="F105" s="2" t="s">
        <v>18</v>
      </c>
      <c r="G105" s="2" t="s">
        <v>23</v>
      </c>
      <c r="H105" s="2">
        <v>26</v>
      </c>
      <c r="I105" s="2">
        <v>268</v>
      </c>
      <c r="J105" s="5">
        <v>93800</v>
      </c>
      <c r="K105" s="5">
        <v>41272</v>
      </c>
    </row>
    <row r="106" spans="1:11" x14ac:dyDescent="0.25">
      <c r="A106" s="2">
        <v>10105</v>
      </c>
      <c r="B106" s="2">
        <f t="shared" si="1"/>
        <v>2019</v>
      </c>
      <c r="C106" s="3">
        <v>43556</v>
      </c>
      <c r="D106" s="4">
        <v>43570</v>
      </c>
      <c r="E106" s="2" t="s">
        <v>19</v>
      </c>
      <c r="F106" s="2" t="s">
        <v>18</v>
      </c>
      <c r="G106" s="2" t="s">
        <v>20</v>
      </c>
      <c r="H106" s="2">
        <v>3</v>
      </c>
      <c r="I106" s="2">
        <v>31</v>
      </c>
      <c r="J106" s="5">
        <v>26350</v>
      </c>
      <c r="K106" s="5">
        <v>4479.5</v>
      </c>
    </row>
    <row r="107" spans="1:11" x14ac:dyDescent="0.25">
      <c r="A107" s="2">
        <v>10106</v>
      </c>
      <c r="B107" s="2">
        <f t="shared" si="1"/>
        <v>2019</v>
      </c>
      <c r="C107" s="3">
        <v>43556</v>
      </c>
      <c r="D107" s="4">
        <v>43571</v>
      </c>
      <c r="E107" s="2" t="s">
        <v>22</v>
      </c>
      <c r="F107" s="2" t="s">
        <v>18</v>
      </c>
      <c r="G107" s="2" t="s">
        <v>17</v>
      </c>
      <c r="H107" s="2">
        <v>8</v>
      </c>
      <c r="I107" s="2">
        <v>141</v>
      </c>
      <c r="J107" s="5">
        <v>35250</v>
      </c>
      <c r="K107" s="5">
        <v>11985</v>
      </c>
    </row>
    <row r="108" spans="1:11" x14ac:dyDescent="0.25">
      <c r="A108" s="2">
        <v>10107</v>
      </c>
      <c r="B108" s="2">
        <f t="shared" si="1"/>
        <v>2019</v>
      </c>
      <c r="C108" s="3">
        <v>43556</v>
      </c>
      <c r="D108" s="4">
        <v>43572</v>
      </c>
      <c r="E108" s="2" t="s">
        <v>25</v>
      </c>
      <c r="F108" s="2" t="s">
        <v>24</v>
      </c>
      <c r="G108" s="2" t="s">
        <v>15</v>
      </c>
      <c r="H108" s="2">
        <v>5</v>
      </c>
      <c r="I108" s="2">
        <v>232</v>
      </c>
      <c r="J108" s="5">
        <v>116000</v>
      </c>
      <c r="K108" s="5">
        <v>48720</v>
      </c>
    </row>
    <row r="109" spans="1:11" x14ac:dyDescent="0.25">
      <c r="A109" s="2">
        <v>10108</v>
      </c>
      <c r="B109" s="2">
        <f t="shared" si="1"/>
        <v>2019</v>
      </c>
      <c r="C109" s="3">
        <v>43556</v>
      </c>
      <c r="D109" s="4">
        <v>43573</v>
      </c>
      <c r="E109" s="2" t="s">
        <v>25</v>
      </c>
      <c r="F109" s="2" t="s">
        <v>21</v>
      </c>
      <c r="G109" s="2" t="s">
        <v>17</v>
      </c>
      <c r="H109" s="2">
        <v>13</v>
      </c>
      <c r="I109" s="2">
        <v>166</v>
      </c>
      <c r="J109" s="5">
        <v>41500</v>
      </c>
      <c r="K109" s="5">
        <v>12865</v>
      </c>
    </row>
    <row r="110" spans="1:11" x14ac:dyDescent="0.25">
      <c r="A110" s="2">
        <v>10109</v>
      </c>
      <c r="B110" s="2">
        <f t="shared" si="1"/>
        <v>2019</v>
      </c>
      <c r="C110" s="3">
        <v>43556</v>
      </c>
      <c r="D110" s="4">
        <v>43574</v>
      </c>
      <c r="E110" s="2" t="s">
        <v>14</v>
      </c>
      <c r="F110" s="2" t="s">
        <v>16</v>
      </c>
      <c r="G110" s="2" t="s">
        <v>13</v>
      </c>
      <c r="H110" s="2">
        <v>13</v>
      </c>
      <c r="I110" s="2">
        <v>495</v>
      </c>
      <c r="J110" s="5">
        <v>371250</v>
      </c>
      <c r="K110" s="5">
        <v>66825</v>
      </c>
    </row>
    <row r="111" spans="1:11" x14ac:dyDescent="0.25">
      <c r="A111" s="2">
        <v>10110</v>
      </c>
      <c r="B111" s="2">
        <f t="shared" si="1"/>
        <v>2019</v>
      </c>
      <c r="C111" s="3">
        <v>43556</v>
      </c>
      <c r="D111" s="4">
        <v>43575</v>
      </c>
      <c r="E111" s="2" t="s">
        <v>11</v>
      </c>
      <c r="F111" s="2" t="s">
        <v>24</v>
      </c>
      <c r="G111" s="2" t="s">
        <v>20</v>
      </c>
      <c r="H111" s="2">
        <v>29</v>
      </c>
      <c r="I111" s="2">
        <v>355</v>
      </c>
      <c r="J111" s="5">
        <v>301750</v>
      </c>
      <c r="K111" s="5">
        <v>93542.5</v>
      </c>
    </row>
    <row r="112" spans="1:11" x14ac:dyDescent="0.25">
      <c r="A112" s="2">
        <v>10111</v>
      </c>
      <c r="B112" s="2">
        <f t="shared" si="1"/>
        <v>2019</v>
      </c>
      <c r="C112" s="3">
        <v>43556</v>
      </c>
      <c r="D112" s="4">
        <v>43576</v>
      </c>
      <c r="E112" s="2" t="s">
        <v>19</v>
      </c>
      <c r="F112" s="2" t="s">
        <v>18</v>
      </c>
      <c r="G112" s="2" t="s">
        <v>17</v>
      </c>
      <c r="H112" s="2">
        <v>44</v>
      </c>
      <c r="I112" s="2">
        <v>459</v>
      </c>
      <c r="J112" s="5">
        <v>114750</v>
      </c>
      <c r="K112" s="5">
        <v>42457.5</v>
      </c>
    </row>
    <row r="113" spans="1:11" x14ac:dyDescent="0.25">
      <c r="A113" s="2">
        <v>10112</v>
      </c>
      <c r="B113" s="2">
        <f t="shared" si="1"/>
        <v>2019</v>
      </c>
      <c r="C113" s="3">
        <v>43556</v>
      </c>
      <c r="D113" s="4">
        <v>43577</v>
      </c>
      <c r="E113" s="2" t="s">
        <v>22</v>
      </c>
      <c r="F113" s="2" t="s">
        <v>18</v>
      </c>
      <c r="G113" s="2" t="s">
        <v>15</v>
      </c>
      <c r="H113" s="2">
        <v>20</v>
      </c>
      <c r="I113" s="2">
        <v>420</v>
      </c>
      <c r="J113" s="5">
        <v>210000</v>
      </c>
      <c r="K113" s="5">
        <v>35700</v>
      </c>
    </row>
    <row r="114" spans="1:11" x14ac:dyDescent="0.25">
      <c r="A114" s="2">
        <v>10113</v>
      </c>
      <c r="B114" s="2">
        <f t="shared" si="1"/>
        <v>2019</v>
      </c>
      <c r="C114" s="3">
        <v>43556</v>
      </c>
      <c r="D114" s="4">
        <v>43578</v>
      </c>
      <c r="E114" s="2" t="s">
        <v>19</v>
      </c>
      <c r="F114" s="2" t="s">
        <v>18</v>
      </c>
      <c r="G114" s="2" t="s">
        <v>13</v>
      </c>
      <c r="H114" s="2">
        <v>10</v>
      </c>
      <c r="I114" s="2">
        <v>237</v>
      </c>
      <c r="J114" s="5">
        <v>177750</v>
      </c>
      <c r="K114" s="5">
        <v>19552.5</v>
      </c>
    </row>
    <row r="115" spans="1:11" x14ac:dyDescent="0.25">
      <c r="A115" s="2">
        <v>10114</v>
      </c>
      <c r="B115" s="2">
        <f t="shared" si="1"/>
        <v>2019</v>
      </c>
      <c r="C115" s="3">
        <v>43556</v>
      </c>
      <c r="D115" s="4">
        <v>43579</v>
      </c>
      <c r="E115" s="2" t="s">
        <v>22</v>
      </c>
      <c r="F115" s="2" t="s">
        <v>21</v>
      </c>
      <c r="G115" s="2" t="s">
        <v>13</v>
      </c>
      <c r="H115" s="2">
        <v>15</v>
      </c>
      <c r="I115" s="2">
        <v>343</v>
      </c>
      <c r="J115" s="5">
        <v>257250</v>
      </c>
      <c r="K115" s="5">
        <v>33442.5</v>
      </c>
    </row>
    <row r="116" spans="1:11" x14ac:dyDescent="0.25">
      <c r="A116" s="2">
        <v>10115</v>
      </c>
      <c r="B116" s="2">
        <f t="shared" si="1"/>
        <v>2019</v>
      </c>
      <c r="C116" s="3">
        <v>43556</v>
      </c>
      <c r="D116" s="4">
        <v>43580</v>
      </c>
      <c r="E116" s="2" t="s">
        <v>14</v>
      </c>
      <c r="F116" s="2" t="s">
        <v>12</v>
      </c>
      <c r="G116" s="2" t="s">
        <v>13</v>
      </c>
      <c r="H116" s="2">
        <v>17</v>
      </c>
      <c r="I116" s="2">
        <v>189</v>
      </c>
      <c r="J116" s="5">
        <v>141750</v>
      </c>
      <c r="K116" s="5">
        <v>56700</v>
      </c>
    </row>
    <row r="117" spans="1:11" x14ac:dyDescent="0.25">
      <c r="A117" s="2">
        <v>10116</v>
      </c>
      <c r="B117" s="2">
        <f t="shared" si="1"/>
        <v>2019</v>
      </c>
      <c r="C117" s="3">
        <v>43556</v>
      </c>
      <c r="D117" s="4">
        <v>43581</v>
      </c>
      <c r="E117" s="2" t="s">
        <v>25</v>
      </c>
      <c r="F117" s="2" t="s">
        <v>21</v>
      </c>
      <c r="G117" s="2" t="s">
        <v>20</v>
      </c>
      <c r="H117" s="2">
        <v>27</v>
      </c>
      <c r="I117" s="2">
        <v>338</v>
      </c>
      <c r="J117" s="5">
        <v>287300</v>
      </c>
      <c r="K117" s="5">
        <v>77571</v>
      </c>
    </row>
    <row r="118" spans="1:11" x14ac:dyDescent="0.25">
      <c r="A118" s="2">
        <v>10117</v>
      </c>
      <c r="B118" s="2">
        <f t="shared" si="1"/>
        <v>2019</v>
      </c>
      <c r="C118" s="3">
        <v>43556</v>
      </c>
      <c r="D118" s="4">
        <v>43582</v>
      </c>
      <c r="E118" s="2" t="s">
        <v>22</v>
      </c>
      <c r="F118" s="2" t="s">
        <v>21</v>
      </c>
      <c r="G118" s="2" t="s">
        <v>13</v>
      </c>
      <c r="H118" s="2">
        <v>22</v>
      </c>
      <c r="I118" s="2">
        <v>432</v>
      </c>
      <c r="J118" s="5">
        <v>324000</v>
      </c>
      <c r="K118" s="5">
        <v>68040</v>
      </c>
    </row>
    <row r="119" spans="1:11" x14ac:dyDescent="0.25">
      <c r="A119" s="2">
        <v>10118</v>
      </c>
      <c r="B119" s="2">
        <f t="shared" si="1"/>
        <v>2019</v>
      </c>
      <c r="C119" s="3">
        <v>43556</v>
      </c>
      <c r="D119" s="4">
        <v>43583</v>
      </c>
      <c r="E119" s="2" t="s">
        <v>11</v>
      </c>
      <c r="F119" s="2" t="s">
        <v>18</v>
      </c>
      <c r="G119" s="2" t="s">
        <v>23</v>
      </c>
      <c r="H119" s="2">
        <v>16</v>
      </c>
      <c r="I119" s="2">
        <v>494</v>
      </c>
      <c r="J119" s="5">
        <v>172900</v>
      </c>
      <c r="K119" s="5">
        <v>53599</v>
      </c>
    </row>
    <row r="120" spans="1:11" x14ac:dyDescent="0.25">
      <c r="A120" s="2">
        <v>10119</v>
      </c>
      <c r="B120" s="2">
        <f t="shared" si="1"/>
        <v>2019</v>
      </c>
      <c r="C120" s="3">
        <v>43556</v>
      </c>
      <c r="D120" s="4">
        <v>43584</v>
      </c>
      <c r="E120" s="2" t="s">
        <v>25</v>
      </c>
      <c r="F120" s="2" t="s">
        <v>24</v>
      </c>
      <c r="G120" s="2" t="s">
        <v>17</v>
      </c>
      <c r="H120" s="2">
        <v>9</v>
      </c>
      <c r="I120" s="2">
        <v>411</v>
      </c>
      <c r="J120" s="5">
        <v>102750</v>
      </c>
      <c r="K120" s="5">
        <v>30825</v>
      </c>
    </row>
    <row r="121" spans="1:11" x14ac:dyDescent="0.25">
      <c r="A121" s="2">
        <v>10120</v>
      </c>
      <c r="B121" s="2">
        <f t="shared" si="1"/>
        <v>2019</v>
      </c>
      <c r="C121" s="3">
        <v>43556</v>
      </c>
      <c r="D121" s="4">
        <v>43585</v>
      </c>
      <c r="E121" s="2" t="s">
        <v>11</v>
      </c>
      <c r="F121" s="2" t="s">
        <v>18</v>
      </c>
      <c r="G121" s="2" t="s">
        <v>15</v>
      </c>
      <c r="H121" s="2">
        <v>21</v>
      </c>
      <c r="I121" s="2">
        <v>344</v>
      </c>
      <c r="J121" s="5">
        <v>172000</v>
      </c>
      <c r="K121" s="5">
        <v>58480.000000000007</v>
      </c>
    </row>
    <row r="122" spans="1:11" x14ac:dyDescent="0.25">
      <c r="A122" s="2">
        <v>10121</v>
      </c>
      <c r="B122" s="2">
        <f t="shared" si="1"/>
        <v>2019</v>
      </c>
      <c r="C122" s="3">
        <v>43586</v>
      </c>
      <c r="D122" s="4">
        <v>43586</v>
      </c>
      <c r="E122" s="2" t="s">
        <v>25</v>
      </c>
      <c r="F122" s="2" t="s">
        <v>24</v>
      </c>
      <c r="G122" s="2" t="s">
        <v>15</v>
      </c>
      <c r="H122" s="2">
        <v>8</v>
      </c>
      <c r="I122" s="2">
        <v>308</v>
      </c>
      <c r="J122" s="5">
        <v>154000</v>
      </c>
      <c r="K122" s="5">
        <v>66220</v>
      </c>
    </row>
    <row r="123" spans="1:11" x14ac:dyDescent="0.25">
      <c r="A123" s="2">
        <v>10122</v>
      </c>
      <c r="B123" s="2">
        <f t="shared" si="1"/>
        <v>2019</v>
      </c>
      <c r="C123" s="3">
        <v>43586</v>
      </c>
      <c r="D123" s="4">
        <v>43587</v>
      </c>
      <c r="E123" s="2" t="s">
        <v>25</v>
      </c>
      <c r="F123" s="2" t="s">
        <v>18</v>
      </c>
      <c r="G123" s="2" t="s">
        <v>23</v>
      </c>
      <c r="H123" s="2">
        <v>18</v>
      </c>
      <c r="I123" s="2">
        <v>220</v>
      </c>
      <c r="J123" s="5">
        <v>77000</v>
      </c>
      <c r="K123" s="5">
        <v>23100</v>
      </c>
    </row>
    <row r="124" spans="1:11" x14ac:dyDescent="0.25">
      <c r="A124" s="2">
        <v>10123</v>
      </c>
      <c r="B124" s="2">
        <f t="shared" si="1"/>
        <v>2019</v>
      </c>
      <c r="C124" s="3">
        <v>43586</v>
      </c>
      <c r="D124" s="4">
        <v>43588</v>
      </c>
      <c r="E124" s="2" t="s">
        <v>14</v>
      </c>
      <c r="F124" s="2" t="s">
        <v>12</v>
      </c>
      <c r="G124" s="2" t="s">
        <v>20</v>
      </c>
      <c r="H124" s="2">
        <v>3</v>
      </c>
      <c r="I124" s="2">
        <v>64</v>
      </c>
      <c r="J124" s="5">
        <v>54400</v>
      </c>
      <c r="K124" s="5">
        <v>5984</v>
      </c>
    </row>
    <row r="125" spans="1:11" x14ac:dyDescent="0.25">
      <c r="A125" s="2">
        <v>10124</v>
      </c>
      <c r="B125" s="2">
        <f t="shared" si="1"/>
        <v>2019</v>
      </c>
      <c r="C125" s="3">
        <v>43586</v>
      </c>
      <c r="D125" s="4">
        <v>43589</v>
      </c>
      <c r="E125" s="2" t="s">
        <v>25</v>
      </c>
      <c r="F125" s="2" t="s">
        <v>18</v>
      </c>
      <c r="G125" s="2" t="s">
        <v>15</v>
      </c>
      <c r="H125" s="2">
        <v>8</v>
      </c>
      <c r="I125" s="2">
        <v>459</v>
      </c>
      <c r="J125" s="5">
        <v>229500</v>
      </c>
      <c r="K125" s="5">
        <v>29835</v>
      </c>
    </row>
    <row r="126" spans="1:11" x14ac:dyDescent="0.25">
      <c r="A126" s="2">
        <v>10125</v>
      </c>
      <c r="B126" s="2">
        <f t="shared" si="1"/>
        <v>2019</v>
      </c>
      <c r="C126" s="3">
        <v>43586</v>
      </c>
      <c r="D126" s="4">
        <v>43590</v>
      </c>
      <c r="E126" s="2" t="s">
        <v>19</v>
      </c>
      <c r="F126" s="2" t="s">
        <v>21</v>
      </c>
      <c r="G126" s="2" t="s">
        <v>20</v>
      </c>
      <c r="H126" s="2">
        <v>4</v>
      </c>
      <c r="I126" s="2">
        <v>257</v>
      </c>
      <c r="J126" s="5">
        <v>218450</v>
      </c>
      <c r="K126" s="5">
        <v>96118</v>
      </c>
    </row>
    <row r="127" spans="1:11" x14ac:dyDescent="0.25">
      <c r="A127" s="2">
        <v>10126</v>
      </c>
      <c r="B127" s="2">
        <f t="shared" si="1"/>
        <v>2019</v>
      </c>
      <c r="C127" s="3">
        <v>43586</v>
      </c>
      <c r="D127" s="4">
        <v>43591</v>
      </c>
      <c r="E127" s="2" t="s">
        <v>11</v>
      </c>
      <c r="F127" s="2" t="s">
        <v>21</v>
      </c>
      <c r="G127" s="2" t="s">
        <v>13</v>
      </c>
      <c r="H127" s="2">
        <v>10</v>
      </c>
      <c r="I127" s="2">
        <v>132</v>
      </c>
      <c r="J127" s="5">
        <v>99000</v>
      </c>
      <c r="K127" s="5">
        <v>21780</v>
      </c>
    </row>
    <row r="128" spans="1:11" x14ac:dyDescent="0.25">
      <c r="A128" s="2">
        <v>10127</v>
      </c>
      <c r="B128" s="2">
        <f t="shared" si="1"/>
        <v>2019</v>
      </c>
      <c r="C128" s="3">
        <v>43586</v>
      </c>
      <c r="D128" s="4">
        <v>43592</v>
      </c>
      <c r="E128" s="2" t="s">
        <v>25</v>
      </c>
      <c r="F128" s="2" t="s">
        <v>21</v>
      </c>
      <c r="G128" s="2" t="s">
        <v>13</v>
      </c>
      <c r="H128" s="2">
        <v>3</v>
      </c>
      <c r="I128" s="2">
        <v>61</v>
      </c>
      <c r="J128" s="5">
        <v>45750</v>
      </c>
      <c r="K128" s="5">
        <v>12810.000000000002</v>
      </c>
    </row>
    <row r="129" spans="1:11" x14ac:dyDescent="0.25">
      <c r="A129" s="2">
        <v>10128</v>
      </c>
      <c r="B129" s="2">
        <f t="shared" si="1"/>
        <v>2019</v>
      </c>
      <c r="C129" s="3">
        <v>43586</v>
      </c>
      <c r="D129" s="4">
        <v>43593</v>
      </c>
      <c r="E129" s="2" t="s">
        <v>22</v>
      </c>
      <c r="F129" s="2" t="s">
        <v>16</v>
      </c>
      <c r="G129" s="2" t="s">
        <v>23</v>
      </c>
      <c r="H129" s="2">
        <v>34</v>
      </c>
      <c r="I129" s="2">
        <v>461</v>
      </c>
      <c r="J129" s="5">
        <v>161350</v>
      </c>
      <c r="K129" s="5">
        <v>56472.5</v>
      </c>
    </row>
    <row r="130" spans="1:11" x14ac:dyDescent="0.25">
      <c r="A130" s="2">
        <v>10129</v>
      </c>
      <c r="B130" s="2">
        <f t="shared" si="1"/>
        <v>2019</v>
      </c>
      <c r="C130" s="3">
        <v>43586</v>
      </c>
      <c r="D130" s="4">
        <v>43594</v>
      </c>
      <c r="E130" s="2" t="s">
        <v>14</v>
      </c>
      <c r="F130" s="2" t="s">
        <v>18</v>
      </c>
      <c r="G130" s="2" t="s">
        <v>17</v>
      </c>
      <c r="H130" s="2">
        <v>16</v>
      </c>
      <c r="I130" s="2">
        <v>272</v>
      </c>
      <c r="J130" s="5">
        <v>68000</v>
      </c>
      <c r="K130" s="5">
        <v>24480</v>
      </c>
    </row>
    <row r="131" spans="1:11" x14ac:dyDescent="0.25">
      <c r="A131" s="2">
        <v>10130</v>
      </c>
      <c r="B131" s="2">
        <f t="shared" ref="B131:B194" si="2">YEAR(C131)</f>
        <v>2019</v>
      </c>
      <c r="C131" s="3">
        <v>43586</v>
      </c>
      <c r="D131" s="4">
        <v>43595</v>
      </c>
      <c r="E131" s="2" t="s">
        <v>22</v>
      </c>
      <c r="F131" s="2" t="s">
        <v>16</v>
      </c>
      <c r="G131" s="2" t="s">
        <v>13</v>
      </c>
      <c r="H131" s="2">
        <v>25</v>
      </c>
      <c r="I131" s="2">
        <v>500</v>
      </c>
      <c r="J131" s="5">
        <v>375000</v>
      </c>
      <c r="K131" s="5">
        <v>82500</v>
      </c>
    </row>
    <row r="132" spans="1:11" x14ac:dyDescent="0.25">
      <c r="A132" s="2">
        <v>10131</v>
      </c>
      <c r="B132" s="2">
        <f t="shared" si="2"/>
        <v>2019</v>
      </c>
      <c r="C132" s="3">
        <v>43586</v>
      </c>
      <c r="D132" s="4">
        <v>43596</v>
      </c>
      <c r="E132" s="2" t="s">
        <v>11</v>
      </c>
      <c r="F132" s="2" t="s">
        <v>18</v>
      </c>
      <c r="G132" s="2" t="s">
        <v>15</v>
      </c>
      <c r="H132" s="2">
        <v>18</v>
      </c>
      <c r="I132" s="2">
        <v>368</v>
      </c>
      <c r="J132" s="5">
        <v>184000</v>
      </c>
      <c r="K132" s="5">
        <v>64399.999999999993</v>
      </c>
    </row>
    <row r="133" spans="1:11" x14ac:dyDescent="0.25">
      <c r="A133" s="2">
        <v>10132</v>
      </c>
      <c r="B133" s="2">
        <f t="shared" si="2"/>
        <v>2019</v>
      </c>
      <c r="C133" s="3">
        <v>43586</v>
      </c>
      <c r="D133" s="4">
        <v>43597</v>
      </c>
      <c r="E133" s="2" t="s">
        <v>14</v>
      </c>
      <c r="F133" s="2" t="s">
        <v>16</v>
      </c>
      <c r="G133" s="2" t="s">
        <v>13</v>
      </c>
      <c r="H133" s="2">
        <v>42</v>
      </c>
      <c r="I133" s="2">
        <v>473</v>
      </c>
      <c r="J133" s="5">
        <v>354750</v>
      </c>
      <c r="K133" s="5">
        <v>60307.500000000007</v>
      </c>
    </row>
    <row r="134" spans="1:11" x14ac:dyDescent="0.25">
      <c r="A134" s="2">
        <v>10133</v>
      </c>
      <c r="B134" s="2">
        <f t="shared" si="2"/>
        <v>2019</v>
      </c>
      <c r="C134" s="3">
        <v>43586</v>
      </c>
      <c r="D134" s="4">
        <v>43598</v>
      </c>
      <c r="E134" s="2" t="s">
        <v>11</v>
      </c>
      <c r="F134" s="2" t="s">
        <v>21</v>
      </c>
      <c r="G134" s="2" t="s">
        <v>23</v>
      </c>
      <c r="H134" s="2">
        <v>31</v>
      </c>
      <c r="I134" s="2">
        <v>439</v>
      </c>
      <c r="J134" s="5">
        <v>153650</v>
      </c>
      <c r="K134" s="5">
        <v>30730</v>
      </c>
    </row>
    <row r="135" spans="1:11" x14ac:dyDescent="0.25">
      <c r="A135" s="2">
        <v>10134</v>
      </c>
      <c r="B135" s="2">
        <f t="shared" si="2"/>
        <v>2019</v>
      </c>
      <c r="C135" s="3">
        <v>43586</v>
      </c>
      <c r="D135" s="4">
        <v>43599</v>
      </c>
      <c r="E135" s="2" t="s">
        <v>14</v>
      </c>
      <c r="F135" s="2" t="s">
        <v>16</v>
      </c>
      <c r="G135" s="2" t="s">
        <v>20</v>
      </c>
      <c r="H135" s="2">
        <v>35</v>
      </c>
      <c r="I135" s="2">
        <v>445</v>
      </c>
      <c r="J135" s="5">
        <v>378250</v>
      </c>
      <c r="K135" s="5">
        <v>121040</v>
      </c>
    </row>
    <row r="136" spans="1:11" x14ac:dyDescent="0.25">
      <c r="A136" s="2">
        <v>10135</v>
      </c>
      <c r="B136" s="2">
        <f t="shared" si="2"/>
        <v>2019</v>
      </c>
      <c r="C136" s="3">
        <v>43586</v>
      </c>
      <c r="D136" s="4">
        <v>43600</v>
      </c>
      <c r="E136" s="2" t="s">
        <v>19</v>
      </c>
      <c r="F136" s="2" t="s">
        <v>21</v>
      </c>
      <c r="G136" s="2" t="s">
        <v>20</v>
      </c>
      <c r="H136" s="2">
        <v>37</v>
      </c>
      <c r="I136" s="2">
        <v>413</v>
      </c>
      <c r="J136" s="5">
        <v>351050</v>
      </c>
      <c r="K136" s="5">
        <v>122867.49999999999</v>
      </c>
    </row>
    <row r="137" spans="1:11" x14ac:dyDescent="0.25">
      <c r="A137" s="2">
        <v>10136</v>
      </c>
      <c r="B137" s="2">
        <f t="shared" si="2"/>
        <v>2019</v>
      </c>
      <c r="C137" s="3">
        <v>43586</v>
      </c>
      <c r="D137" s="4">
        <v>43601</v>
      </c>
      <c r="E137" s="2" t="s">
        <v>14</v>
      </c>
      <c r="F137" s="2" t="s">
        <v>24</v>
      </c>
      <c r="G137" s="2" t="s">
        <v>20</v>
      </c>
      <c r="H137" s="2">
        <v>24</v>
      </c>
      <c r="I137" s="2">
        <v>480</v>
      </c>
      <c r="J137" s="5">
        <v>408000</v>
      </c>
      <c r="K137" s="5">
        <v>65280</v>
      </c>
    </row>
    <row r="138" spans="1:11" x14ac:dyDescent="0.25">
      <c r="A138" s="2">
        <v>10137</v>
      </c>
      <c r="B138" s="2">
        <f t="shared" si="2"/>
        <v>2019</v>
      </c>
      <c r="C138" s="3">
        <v>43586</v>
      </c>
      <c r="D138" s="4">
        <v>43602</v>
      </c>
      <c r="E138" s="2" t="s">
        <v>11</v>
      </c>
      <c r="F138" s="2" t="s">
        <v>21</v>
      </c>
      <c r="G138" s="2" t="s">
        <v>15</v>
      </c>
      <c r="H138" s="2">
        <v>2</v>
      </c>
      <c r="I138" s="2">
        <v>37</v>
      </c>
      <c r="J138" s="5">
        <v>18500</v>
      </c>
      <c r="K138" s="5">
        <v>4255</v>
      </c>
    </row>
    <row r="139" spans="1:11" x14ac:dyDescent="0.25">
      <c r="A139" s="2">
        <v>10138</v>
      </c>
      <c r="B139" s="2">
        <f t="shared" si="2"/>
        <v>2019</v>
      </c>
      <c r="C139" s="3">
        <v>43586</v>
      </c>
      <c r="D139" s="4">
        <v>43603</v>
      </c>
      <c r="E139" s="2" t="s">
        <v>14</v>
      </c>
      <c r="F139" s="2" t="s">
        <v>21</v>
      </c>
      <c r="G139" s="2" t="s">
        <v>20</v>
      </c>
      <c r="H139" s="2">
        <v>5</v>
      </c>
      <c r="I139" s="2">
        <v>255</v>
      </c>
      <c r="J139" s="5">
        <v>216750</v>
      </c>
      <c r="K139" s="5">
        <v>62857.499999999993</v>
      </c>
    </row>
    <row r="140" spans="1:11" x14ac:dyDescent="0.25">
      <c r="A140" s="2">
        <v>10139</v>
      </c>
      <c r="B140" s="2">
        <f t="shared" si="2"/>
        <v>2019</v>
      </c>
      <c r="C140" s="3">
        <v>43586</v>
      </c>
      <c r="D140" s="4">
        <v>43604</v>
      </c>
      <c r="E140" s="2" t="s">
        <v>25</v>
      </c>
      <c r="F140" s="2" t="s">
        <v>16</v>
      </c>
      <c r="G140" s="2" t="s">
        <v>17</v>
      </c>
      <c r="H140" s="2">
        <v>29</v>
      </c>
      <c r="I140" s="2">
        <v>345</v>
      </c>
      <c r="J140" s="5">
        <v>86250</v>
      </c>
      <c r="K140" s="5">
        <v>22425</v>
      </c>
    </row>
    <row r="141" spans="1:11" x14ac:dyDescent="0.25">
      <c r="A141" s="2">
        <v>10140</v>
      </c>
      <c r="B141" s="2">
        <f t="shared" si="2"/>
        <v>2019</v>
      </c>
      <c r="C141" s="3">
        <v>43586</v>
      </c>
      <c r="D141" s="4">
        <v>43605</v>
      </c>
      <c r="E141" s="2" t="s">
        <v>25</v>
      </c>
      <c r="F141" s="2" t="s">
        <v>16</v>
      </c>
      <c r="G141" s="2" t="s">
        <v>13</v>
      </c>
      <c r="H141" s="2">
        <v>6</v>
      </c>
      <c r="I141" s="2">
        <v>366</v>
      </c>
      <c r="J141" s="5">
        <v>274500</v>
      </c>
      <c r="K141" s="5">
        <v>76860.000000000015</v>
      </c>
    </row>
    <row r="142" spans="1:11" x14ac:dyDescent="0.25">
      <c r="A142" s="2">
        <v>10141</v>
      </c>
      <c r="B142" s="2">
        <f t="shared" si="2"/>
        <v>2019</v>
      </c>
      <c r="C142" s="3">
        <v>43586</v>
      </c>
      <c r="D142" s="4">
        <v>43606</v>
      </c>
      <c r="E142" s="2" t="s">
        <v>25</v>
      </c>
      <c r="F142" s="2" t="s">
        <v>12</v>
      </c>
      <c r="G142" s="2" t="s">
        <v>15</v>
      </c>
      <c r="H142" s="2">
        <v>11</v>
      </c>
      <c r="I142" s="2">
        <v>259</v>
      </c>
      <c r="J142" s="5">
        <v>129500</v>
      </c>
      <c r="K142" s="5">
        <v>36260</v>
      </c>
    </row>
    <row r="143" spans="1:11" x14ac:dyDescent="0.25">
      <c r="A143" s="2">
        <v>10142</v>
      </c>
      <c r="B143" s="2">
        <f t="shared" si="2"/>
        <v>2019</v>
      </c>
      <c r="C143" s="3">
        <v>43586</v>
      </c>
      <c r="D143" s="4">
        <v>43607</v>
      </c>
      <c r="E143" s="2" t="s">
        <v>14</v>
      </c>
      <c r="F143" s="2" t="s">
        <v>16</v>
      </c>
      <c r="G143" s="2" t="s">
        <v>15</v>
      </c>
      <c r="H143" s="2">
        <v>12</v>
      </c>
      <c r="I143" s="2">
        <v>337</v>
      </c>
      <c r="J143" s="5">
        <v>168500</v>
      </c>
      <c r="K143" s="5">
        <v>50550</v>
      </c>
    </row>
    <row r="144" spans="1:11" x14ac:dyDescent="0.25">
      <c r="A144" s="2">
        <v>10143</v>
      </c>
      <c r="B144" s="2">
        <f t="shared" si="2"/>
        <v>2019</v>
      </c>
      <c r="C144" s="3">
        <v>43586</v>
      </c>
      <c r="D144" s="4">
        <v>43608</v>
      </c>
      <c r="E144" s="2" t="s">
        <v>22</v>
      </c>
      <c r="F144" s="2" t="s">
        <v>16</v>
      </c>
      <c r="G144" s="2" t="s">
        <v>17</v>
      </c>
      <c r="H144" s="2">
        <v>7</v>
      </c>
      <c r="I144" s="2">
        <v>222</v>
      </c>
      <c r="J144" s="5">
        <v>55500</v>
      </c>
      <c r="K144" s="5">
        <v>8325</v>
      </c>
    </row>
    <row r="145" spans="1:11" x14ac:dyDescent="0.25">
      <c r="A145" s="2">
        <v>10144</v>
      </c>
      <c r="B145" s="2">
        <f t="shared" si="2"/>
        <v>2019</v>
      </c>
      <c r="C145" s="3">
        <v>43586</v>
      </c>
      <c r="D145" s="4">
        <v>43609</v>
      </c>
      <c r="E145" s="2" t="s">
        <v>11</v>
      </c>
      <c r="F145" s="2" t="s">
        <v>18</v>
      </c>
      <c r="G145" s="2" t="s">
        <v>13</v>
      </c>
      <c r="H145" s="2">
        <v>5</v>
      </c>
      <c r="I145" s="2">
        <v>201</v>
      </c>
      <c r="J145" s="5">
        <v>150750</v>
      </c>
      <c r="K145" s="5">
        <v>36180</v>
      </c>
    </row>
    <row r="146" spans="1:11" x14ac:dyDescent="0.25">
      <c r="A146" s="2">
        <v>10145</v>
      </c>
      <c r="B146" s="2">
        <f t="shared" si="2"/>
        <v>2019</v>
      </c>
      <c r="C146" s="3">
        <v>43586</v>
      </c>
      <c r="D146" s="4">
        <v>43610</v>
      </c>
      <c r="E146" s="2" t="s">
        <v>19</v>
      </c>
      <c r="F146" s="2" t="s">
        <v>16</v>
      </c>
      <c r="G146" s="2" t="s">
        <v>17</v>
      </c>
      <c r="H146" s="2">
        <v>16</v>
      </c>
      <c r="I146" s="2">
        <v>375</v>
      </c>
      <c r="J146" s="5">
        <v>93750</v>
      </c>
      <c r="K146" s="5">
        <v>36562.5</v>
      </c>
    </row>
    <row r="147" spans="1:11" x14ac:dyDescent="0.25">
      <c r="A147" s="2">
        <v>10146</v>
      </c>
      <c r="B147" s="2">
        <f t="shared" si="2"/>
        <v>2019</v>
      </c>
      <c r="C147" s="3">
        <v>43586</v>
      </c>
      <c r="D147" s="4">
        <v>43611</v>
      </c>
      <c r="E147" s="2" t="s">
        <v>25</v>
      </c>
      <c r="F147" s="2" t="s">
        <v>24</v>
      </c>
      <c r="G147" s="2" t="s">
        <v>20</v>
      </c>
      <c r="H147" s="2">
        <v>10</v>
      </c>
      <c r="I147" s="2">
        <v>337</v>
      </c>
      <c r="J147" s="5">
        <v>286450</v>
      </c>
      <c r="K147" s="5">
        <v>60154.5</v>
      </c>
    </row>
    <row r="148" spans="1:11" x14ac:dyDescent="0.25">
      <c r="A148" s="2">
        <v>10147</v>
      </c>
      <c r="B148" s="2">
        <f t="shared" si="2"/>
        <v>2019</v>
      </c>
      <c r="C148" s="3">
        <v>43586</v>
      </c>
      <c r="D148" s="4">
        <v>43612</v>
      </c>
      <c r="E148" s="2" t="s">
        <v>25</v>
      </c>
      <c r="F148" s="2" t="s">
        <v>21</v>
      </c>
      <c r="G148" s="2" t="s">
        <v>20</v>
      </c>
      <c r="H148" s="2">
        <v>22</v>
      </c>
      <c r="I148" s="2">
        <v>285</v>
      </c>
      <c r="J148" s="5">
        <v>242250</v>
      </c>
      <c r="K148" s="5">
        <v>99322.5</v>
      </c>
    </row>
    <row r="149" spans="1:11" x14ac:dyDescent="0.25">
      <c r="A149" s="2">
        <v>10148</v>
      </c>
      <c r="B149" s="2">
        <f t="shared" si="2"/>
        <v>2019</v>
      </c>
      <c r="C149" s="3">
        <v>43586</v>
      </c>
      <c r="D149" s="4">
        <v>43613</v>
      </c>
      <c r="E149" s="2" t="s">
        <v>14</v>
      </c>
      <c r="F149" s="2" t="s">
        <v>16</v>
      </c>
      <c r="G149" s="2" t="s">
        <v>20</v>
      </c>
      <c r="H149" s="2">
        <v>10</v>
      </c>
      <c r="I149" s="2">
        <v>104</v>
      </c>
      <c r="J149" s="5">
        <v>88400</v>
      </c>
      <c r="K149" s="5">
        <v>20332</v>
      </c>
    </row>
    <row r="150" spans="1:11" x14ac:dyDescent="0.25">
      <c r="A150" s="2">
        <v>10149</v>
      </c>
      <c r="B150" s="2">
        <f t="shared" si="2"/>
        <v>2019</v>
      </c>
      <c r="C150" s="3">
        <v>43586</v>
      </c>
      <c r="D150" s="4">
        <v>43614</v>
      </c>
      <c r="E150" s="2" t="s">
        <v>22</v>
      </c>
      <c r="F150" s="2" t="s">
        <v>24</v>
      </c>
      <c r="G150" s="2" t="s">
        <v>23</v>
      </c>
      <c r="H150" s="2">
        <v>11</v>
      </c>
      <c r="I150" s="2">
        <v>247</v>
      </c>
      <c r="J150" s="5">
        <v>86450</v>
      </c>
      <c r="K150" s="5">
        <v>17290</v>
      </c>
    </row>
    <row r="151" spans="1:11" x14ac:dyDescent="0.25">
      <c r="A151" s="2">
        <v>10150</v>
      </c>
      <c r="B151" s="2">
        <f t="shared" si="2"/>
        <v>2019</v>
      </c>
      <c r="C151" s="3">
        <v>43586</v>
      </c>
      <c r="D151" s="4">
        <v>43615</v>
      </c>
      <c r="E151" s="2" t="s">
        <v>22</v>
      </c>
      <c r="F151" s="2" t="s">
        <v>18</v>
      </c>
      <c r="G151" s="2" t="s">
        <v>23</v>
      </c>
      <c r="H151" s="2">
        <v>11</v>
      </c>
      <c r="I151" s="2">
        <v>190</v>
      </c>
      <c r="J151" s="5">
        <v>66500</v>
      </c>
      <c r="K151" s="5">
        <v>25935</v>
      </c>
    </row>
    <row r="152" spans="1:11" x14ac:dyDescent="0.25">
      <c r="A152" s="2">
        <v>10151</v>
      </c>
      <c r="B152" s="2">
        <f t="shared" si="2"/>
        <v>2019</v>
      </c>
      <c r="C152" s="3">
        <v>43586</v>
      </c>
      <c r="D152" s="4">
        <v>43616</v>
      </c>
      <c r="E152" s="2" t="s">
        <v>14</v>
      </c>
      <c r="F152" s="2" t="s">
        <v>12</v>
      </c>
      <c r="G152" s="2" t="s">
        <v>15</v>
      </c>
      <c r="H152" s="2">
        <v>10</v>
      </c>
      <c r="I152" s="2">
        <v>249</v>
      </c>
      <c r="J152" s="5">
        <v>124500</v>
      </c>
      <c r="K152" s="5">
        <v>36105</v>
      </c>
    </row>
    <row r="153" spans="1:11" x14ac:dyDescent="0.25">
      <c r="A153" s="2">
        <v>10152</v>
      </c>
      <c r="B153" s="2">
        <f t="shared" si="2"/>
        <v>2019</v>
      </c>
      <c r="C153" s="3">
        <v>43617</v>
      </c>
      <c r="D153" s="4">
        <v>43617</v>
      </c>
      <c r="E153" s="2" t="s">
        <v>19</v>
      </c>
      <c r="F153" s="2" t="s">
        <v>16</v>
      </c>
      <c r="G153" s="2" t="s">
        <v>23</v>
      </c>
      <c r="H153" s="2">
        <v>5</v>
      </c>
      <c r="I153" s="2">
        <v>63</v>
      </c>
      <c r="J153" s="5">
        <v>22050</v>
      </c>
      <c r="K153" s="5">
        <v>9040.5</v>
      </c>
    </row>
    <row r="154" spans="1:11" x14ac:dyDescent="0.25">
      <c r="A154" s="2">
        <v>10153</v>
      </c>
      <c r="B154" s="2">
        <f t="shared" si="2"/>
        <v>2019</v>
      </c>
      <c r="C154" s="3">
        <v>43617</v>
      </c>
      <c r="D154" s="4">
        <v>43618</v>
      </c>
      <c r="E154" s="2" t="s">
        <v>19</v>
      </c>
      <c r="F154" s="2" t="s">
        <v>16</v>
      </c>
      <c r="G154" s="2" t="s">
        <v>13</v>
      </c>
      <c r="H154" s="2">
        <v>18</v>
      </c>
      <c r="I154" s="2">
        <v>484</v>
      </c>
      <c r="J154" s="5">
        <v>363000</v>
      </c>
      <c r="K154" s="5">
        <v>72600</v>
      </c>
    </row>
    <row r="155" spans="1:11" x14ac:dyDescent="0.25">
      <c r="A155" s="2">
        <v>10154</v>
      </c>
      <c r="B155" s="2">
        <f t="shared" si="2"/>
        <v>2019</v>
      </c>
      <c r="C155" s="3">
        <v>43617</v>
      </c>
      <c r="D155" s="4">
        <v>43619</v>
      </c>
      <c r="E155" s="2" t="s">
        <v>22</v>
      </c>
      <c r="F155" s="2" t="s">
        <v>12</v>
      </c>
      <c r="G155" s="2" t="s">
        <v>13</v>
      </c>
      <c r="H155" s="2">
        <v>4</v>
      </c>
      <c r="I155" s="2">
        <v>352</v>
      </c>
      <c r="J155" s="5">
        <v>264000</v>
      </c>
      <c r="K155" s="5">
        <v>36960</v>
      </c>
    </row>
    <row r="156" spans="1:11" x14ac:dyDescent="0.25">
      <c r="A156" s="2">
        <v>10155</v>
      </c>
      <c r="B156" s="2">
        <f t="shared" si="2"/>
        <v>2019</v>
      </c>
      <c r="C156" s="3">
        <v>43617</v>
      </c>
      <c r="D156" s="4">
        <v>43620</v>
      </c>
      <c r="E156" s="2" t="s">
        <v>14</v>
      </c>
      <c r="F156" s="2" t="s">
        <v>12</v>
      </c>
      <c r="G156" s="2" t="s">
        <v>23</v>
      </c>
      <c r="H156" s="2">
        <v>8</v>
      </c>
      <c r="I156" s="2">
        <v>241</v>
      </c>
      <c r="J156" s="5">
        <v>84350</v>
      </c>
      <c r="K156" s="5">
        <v>9278.5</v>
      </c>
    </row>
    <row r="157" spans="1:11" x14ac:dyDescent="0.25">
      <c r="A157" s="2">
        <v>10156</v>
      </c>
      <c r="B157" s="2">
        <f t="shared" si="2"/>
        <v>2019</v>
      </c>
      <c r="C157" s="3">
        <v>43617</v>
      </c>
      <c r="D157" s="4">
        <v>43621</v>
      </c>
      <c r="E157" s="2" t="s">
        <v>14</v>
      </c>
      <c r="F157" s="2" t="s">
        <v>21</v>
      </c>
      <c r="G157" s="2" t="s">
        <v>13</v>
      </c>
      <c r="H157" s="2">
        <v>34</v>
      </c>
      <c r="I157" s="2">
        <v>431</v>
      </c>
      <c r="J157" s="5">
        <v>323250</v>
      </c>
      <c r="K157" s="5">
        <v>93742.5</v>
      </c>
    </row>
    <row r="158" spans="1:11" x14ac:dyDescent="0.25">
      <c r="A158" s="2">
        <v>10157</v>
      </c>
      <c r="B158" s="2">
        <f t="shared" si="2"/>
        <v>2019</v>
      </c>
      <c r="C158" s="3">
        <v>43617</v>
      </c>
      <c r="D158" s="4">
        <v>43622</v>
      </c>
      <c r="E158" s="2" t="s">
        <v>11</v>
      </c>
      <c r="F158" s="2" t="s">
        <v>16</v>
      </c>
      <c r="G158" s="2" t="s">
        <v>13</v>
      </c>
      <c r="H158" s="2">
        <v>5</v>
      </c>
      <c r="I158" s="2">
        <v>64</v>
      </c>
      <c r="J158" s="5">
        <v>48000</v>
      </c>
      <c r="K158" s="5">
        <v>11040</v>
      </c>
    </row>
    <row r="159" spans="1:11" x14ac:dyDescent="0.25">
      <c r="A159" s="2">
        <v>10158</v>
      </c>
      <c r="B159" s="2">
        <f t="shared" si="2"/>
        <v>2019</v>
      </c>
      <c r="C159" s="3">
        <v>43617</v>
      </c>
      <c r="D159" s="4">
        <v>43623</v>
      </c>
      <c r="E159" s="2" t="s">
        <v>19</v>
      </c>
      <c r="F159" s="2" t="s">
        <v>24</v>
      </c>
      <c r="G159" s="2" t="s">
        <v>13</v>
      </c>
      <c r="H159" s="2">
        <v>5</v>
      </c>
      <c r="I159" s="2">
        <v>53</v>
      </c>
      <c r="J159" s="5">
        <v>39750</v>
      </c>
      <c r="K159" s="5">
        <v>5565.0000000000009</v>
      </c>
    </row>
    <row r="160" spans="1:11" x14ac:dyDescent="0.25">
      <c r="A160" s="2">
        <v>10159</v>
      </c>
      <c r="B160" s="2">
        <f t="shared" si="2"/>
        <v>2019</v>
      </c>
      <c r="C160" s="3">
        <v>43617</v>
      </c>
      <c r="D160" s="4">
        <v>43624</v>
      </c>
      <c r="E160" s="2" t="s">
        <v>22</v>
      </c>
      <c r="F160" s="2" t="s">
        <v>16</v>
      </c>
      <c r="G160" s="2" t="s">
        <v>15</v>
      </c>
      <c r="H160" s="2">
        <v>1</v>
      </c>
      <c r="I160" s="2">
        <v>23</v>
      </c>
      <c r="J160" s="5">
        <v>11500</v>
      </c>
      <c r="K160" s="5">
        <v>3220.0000000000005</v>
      </c>
    </row>
    <row r="161" spans="1:11" x14ac:dyDescent="0.25">
      <c r="A161" s="2">
        <v>10160</v>
      </c>
      <c r="B161" s="2">
        <f t="shared" si="2"/>
        <v>2019</v>
      </c>
      <c r="C161" s="3">
        <v>43617</v>
      </c>
      <c r="D161" s="4">
        <v>43625</v>
      </c>
      <c r="E161" s="2" t="s">
        <v>25</v>
      </c>
      <c r="F161" s="2" t="s">
        <v>12</v>
      </c>
      <c r="G161" s="2" t="s">
        <v>23</v>
      </c>
      <c r="H161" s="2">
        <v>1</v>
      </c>
      <c r="I161" s="2">
        <v>27</v>
      </c>
      <c r="J161" s="5">
        <v>9450</v>
      </c>
      <c r="K161" s="5">
        <v>4063.5</v>
      </c>
    </row>
    <row r="162" spans="1:11" x14ac:dyDescent="0.25">
      <c r="A162" s="2">
        <v>10161</v>
      </c>
      <c r="B162" s="2">
        <f t="shared" si="2"/>
        <v>2019</v>
      </c>
      <c r="C162" s="3">
        <v>43617</v>
      </c>
      <c r="D162" s="4">
        <v>43626</v>
      </c>
      <c r="E162" s="2" t="s">
        <v>11</v>
      </c>
      <c r="F162" s="2" t="s">
        <v>12</v>
      </c>
      <c r="G162" s="2" t="s">
        <v>23</v>
      </c>
      <c r="H162" s="2">
        <v>10</v>
      </c>
      <c r="I162" s="2">
        <v>122</v>
      </c>
      <c r="J162" s="5">
        <v>42700</v>
      </c>
      <c r="K162" s="5">
        <v>11529</v>
      </c>
    </row>
    <row r="163" spans="1:11" x14ac:dyDescent="0.25">
      <c r="A163" s="2">
        <v>10162</v>
      </c>
      <c r="B163" s="2">
        <f t="shared" si="2"/>
        <v>2019</v>
      </c>
      <c r="C163" s="3">
        <v>43617</v>
      </c>
      <c r="D163" s="4">
        <v>43627</v>
      </c>
      <c r="E163" s="2" t="s">
        <v>19</v>
      </c>
      <c r="F163" s="2" t="s">
        <v>16</v>
      </c>
      <c r="G163" s="2" t="s">
        <v>20</v>
      </c>
      <c r="H163" s="2">
        <v>26</v>
      </c>
      <c r="I163" s="2">
        <v>339</v>
      </c>
      <c r="J163" s="5">
        <v>288150</v>
      </c>
      <c r="K163" s="5">
        <v>72037.5</v>
      </c>
    </row>
    <row r="164" spans="1:11" x14ac:dyDescent="0.25">
      <c r="A164" s="2">
        <v>10163</v>
      </c>
      <c r="B164" s="2">
        <f t="shared" si="2"/>
        <v>2019</v>
      </c>
      <c r="C164" s="3">
        <v>43617</v>
      </c>
      <c r="D164" s="4">
        <v>43628</v>
      </c>
      <c r="E164" s="2" t="s">
        <v>19</v>
      </c>
      <c r="F164" s="2" t="s">
        <v>24</v>
      </c>
      <c r="G164" s="2" t="s">
        <v>17</v>
      </c>
      <c r="H164" s="2">
        <v>13</v>
      </c>
      <c r="I164" s="2">
        <v>414</v>
      </c>
      <c r="J164" s="5">
        <v>103500</v>
      </c>
      <c r="K164" s="5">
        <v>43470</v>
      </c>
    </row>
    <row r="165" spans="1:11" x14ac:dyDescent="0.25">
      <c r="A165" s="2">
        <v>10164</v>
      </c>
      <c r="B165" s="2">
        <f t="shared" si="2"/>
        <v>2019</v>
      </c>
      <c r="C165" s="3">
        <v>43617</v>
      </c>
      <c r="D165" s="4">
        <v>43629</v>
      </c>
      <c r="E165" s="2" t="s">
        <v>22</v>
      </c>
      <c r="F165" s="2" t="s">
        <v>12</v>
      </c>
      <c r="G165" s="2" t="s">
        <v>23</v>
      </c>
      <c r="H165" s="2">
        <v>25</v>
      </c>
      <c r="I165" s="2">
        <v>337</v>
      </c>
      <c r="J165" s="5">
        <v>117950</v>
      </c>
      <c r="K165" s="5">
        <v>15333.5</v>
      </c>
    </row>
    <row r="166" spans="1:11" x14ac:dyDescent="0.25">
      <c r="A166" s="2">
        <v>10165</v>
      </c>
      <c r="B166" s="2">
        <f t="shared" si="2"/>
        <v>2019</v>
      </c>
      <c r="C166" s="3">
        <v>43617</v>
      </c>
      <c r="D166" s="4">
        <v>43630</v>
      </c>
      <c r="E166" s="2" t="s">
        <v>11</v>
      </c>
      <c r="F166" s="2" t="s">
        <v>12</v>
      </c>
      <c r="G166" s="2" t="s">
        <v>23</v>
      </c>
      <c r="H166" s="2">
        <v>13</v>
      </c>
      <c r="I166" s="2">
        <v>490</v>
      </c>
      <c r="J166" s="5">
        <v>171500</v>
      </c>
      <c r="K166" s="5">
        <v>54880</v>
      </c>
    </row>
    <row r="167" spans="1:11" x14ac:dyDescent="0.25">
      <c r="A167" s="2">
        <v>10166</v>
      </c>
      <c r="B167" s="2">
        <f t="shared" si="2"/>
        <v>2019</v>
      </c>
      <c r="C167" s="3">
        <v>43617</v>
      </c>
      <c r="D167" s="4">
        <v>43631</v>
      </c>
      <c r="E167" s="2" t="s">
        <v>11</v>
      </c>
      <c r="F167" s="2" t="s">
        <v>24</v>
      </c>
      <c r="G167" s="2" t="s">
        <v>20</v>
      </c>
      <c r="H167" s="2">
        <v>11</v>
      </c>
      <c r="I167" s="2">
        <v>122</v>
      </c>
      <c r="J167" s="5">
        <v>103700</v>
      </c>
      <c r="K167" s="5">
        <v>26962</v>
      </c>
    </row>
    <row r="168" spans="1:11" x14ac:dyDescent="0.25">
      <c r="A168" s="2">
        <v>10167</v>
      </c>
      <c r="B168" s="2">
        <f t="shared" si="2"/>
        <v>2019</v>
      </c>
      <c r="C168" s="3">
        <v>43617</v>
      </c>
      <c r="D168" s="4">
        <v>43632</v>
      </c>
      <c r="E168" s="2" t="s">
        <v>11</v>
      </c>
      <c r="F168" s="2" t="s">
        <v>18</v>
      </c>
      <c r="G168" s="2" t="s">
        <v>15</v>
      </c>
      <c r="H168" s="2">
        <v>3</v>
      </c>
      <c r="I168" s="2">
        <v>105</v>
      </c>
      <c r="J168" s="5">
        <v>52500</v>
      </c>
      <c r="K168" s="5">
        <v>7350.0000000000009</v>
      </c>
    </row>
    <row r="169" spans="1:11" x14ac:dyDescent="0.25">
      <c r="A169" s="2">
        <v>10168</v>
      </c>
      <c r="B169" s="2">
        <f t="shared" si="2"/>
        <v>2019</v>
      </c>
      <c r="C169" s="3">
        <v>43617</v>
      </c>
      <c r="D169" s="4">
        <v>43633</v>
      </c>
      <c r="E169" s="2" t="s">
        <v>19</v>
      </c>
      <c r="F169" s="2" t="s">
        <v>24</v>
      </c>
      <c r="G169" s="2" t="s">
        <v>13</v>
      </c>
      <c r="H169" s="2">
        <v>6</v>
      </c>
      <c r="I169" s="2">
        <v>155</v>
      </c>
      <c r="J169" s="5">
        <v>116250</v>
      </c>
      <c r="K169" s="5">
        <v>46500</v>
      </c>
    </row>
    <row r="170" spans="1:11" x14ac:dyDescent="0.25">
      <c r="A170" s="2">
        <v>10169</v>
      </c>
      <c r="B170" s="2">
        <f t="shared" si="2"/>
        <v>2019</v>
      </c>
      <c r="C170" s="3">
        <v>43617</v>
      </c>
      <c r="D170" s="4">
        <v>43634</v>
      </c>
      <c r="E170" s="2" t="s">
        <v>14</v>
      </c>
      <c r="F170" s="2" t="s">
        <v>12</v>
      </c>
      <c r="G170" s="2" t="s">
        <v>20</v>
      </c>
      <c r="H170" s="2">
        <v>17</v>
      </c>
      <c r="I170" s="2">
        <v>179</v>
      </c>
      <c r="J170" s="5">
        <v>152150</v>
      </c>
      <c r="K170" s="5">
        <v>19779.5</v>
      </c>
    </row>
    <row r="171" spans="1:11" x14ac:dyDescent="0.25">
      <c r="A171" s="2">
        <v>10170</v>
      </c>
      <c r="B171" s="2">
        <f t="shared" si="2"/>
        <v>2019</v>
      </c>
      <c r="C171" s="3">
        <v>43617</v>
      </c>
      <c r="D171" s="4">
        <v>43635</v>
      </c>
      <c r="E171" s="2" t="s">
        <v>25</v>
      </c>
      <c r="F171" s="2" t="s">
        <v>12</v>
      </c>
      <c r="G171" s="2" t="s">
        <v>23</v>
      </c>
      <c r="H171" s="2">
        <v>4</v>
      </c>
      <c r="I171" s="2">
        <v>52</v>
      </c>
      <c r="J171" s="5">
        <v>18200</v>
      </c>
      <c r="K171" s="5">
        <v>2002</v>
      </c>
    </row>
    <row r="172" spans="1:11" x14ac:dyDescent="0.25">
      <c r="A172" s="2">
        <v>10171</v>
      </c>
      <c r="B172" s="2">
        <f t="shared" si="2"/>
        <v>2019</v>
      </c>
      <c r="C172" s="3">
        <v>43617</v>
      </c>
      <c r="D172" s="4">
        <v>43636</v>
      </c>
      <c r="E172" s="2" t="s">
        <v>19</v>
      </c>
      <c r="F172" s="2" t="s">
        <v>18</v>
      </c>
      <c r="G172" s="2" t="s">
        <v>17</v>
      </c>
      <c r="H172" s="2">
        <v>22</v>
      </c>
      <c r="I172" s="2">
        <v>317</v>
      </c>
      <c r="J172" s="5">
        <v>79250</v>
      </c>
      <c r="K172" s="5">
        <v>10302.5</v>
      </c>
    </row>
    <row r="173" spans="1:11" x14ac:dyDescent="0.25">
      <c r="A173" s="2">
        <v>10172</v>
      </c>
      <c r="B173" s="2">
        <f t="shared" si="2"/>
        <v>2019</v>
      </c>
      <c r="C173" s="3">
        <v>43617</v>
      </c>
      <c r="D173" s="4">
        <v>43637</v>
      </c>
      <c r="E173" s="2" t="s">
        <v>19</v>
      </c>
      <c r="F173" s="2" t="s">
        <v>12</v>
      </c>
      <c r="G173" s="2" t="s">
        <v>23</v>
      </c>
      <c r="H173" s="2">
        <v>28</v>
      </c>
      <c r="I173" s="2">
        <v>433</v>
      </c>
      <c r="J173" s="5">
        <v>151550</v>
      </c>
      <c r="K173" s="5">
        <v>22732.5</v>
      </c>
    </row>
    <row r="174" spans="1:11" x14ac:dyDescent="0.25">
      <c r="A174" s="2">
        <v>10173</v>
      </c>
      <c r="B174" s="2">
        <f t="shared" si="2"/>
        <v>2019</v>
      </c>
      <c r="C174" s="3">
        <v>43617</v>
      </c>
      <c r="D174" s="4">
        <v>43638</v>
      </c>
      <c r="E174" s="2" t="s">
        <v>14</v>
      </c>
      <c r="F174" s="2" t="s">
        <v>16</v>
      </c>
      <c r="G174" s="2" t="s">
        <v>13</v>
      </c>
      <c r="H174" s="2">
        <v>14</v>
      </c>
      <c r="I174" s="2">
        <v>260</v>
      </c>
      <c r="J174" s="5">
        <v>195000</v>
      </c>
      <c r="K174" s="5">
        <v>78000</v>
      </c>
    </row>
    <row r="175" spans="1:11" x14ac:dyDescent="0.25">
      <c r="A175" s="2">
        <v>10174</v>
      </c>
      <c r="B175" s="2">
        <f t="shared" si="2"/>
        <v>2019</v>
      </c>
      <c r="C175" s="3">
        <v>43617</v>
      </c>
      <c r="D175" s="4">
        <v>43639</v>
      </c>
      <c r="E175" s="2" t="s">
        <v>22</v>
      </c>
      <c r="F175" s="2" t="s">
        <v>12</v>
      </c>
      <c r="G175" s="2" t="s">
        <v>17</v>
      </c>
      <c r="H175" s="2">
        <v>28</v>
      </c>
      <c r="I175" s="2">
        <v>419</v>
      </c>
      <c r="J175" s="5">
        <v>104750</v>
      </c>
      <c r="K175" s="5">
        <v>11522.5</v>
      </c>
    </row>
    <row r="176" spans="1:11" x14ac:dyDescent="0.25">
      <c r="A176" s="2">
        <v>10175</v>
      </c>
      <c r="B176" s="2">
        <f t="shared" si="2"/>
        <v>2019</v>
      </c>
      <c r="C176" s="3">
        <v>43617</v>
      </c>
      <c r="D176" s="4">
        <v>43640</v>
      </c>
      <c r="E176" s="2" t="s">
        <v>14</v>
      </c>
      <c r="F176" s="2" t="s">
        <v>24</v>
      </c>
      <c r="G176" s="2" t="s">
        <v>13</v>
      </c>
      <c r="H176" s="2">
        <v>10</v>
      </c>
      <c r="I176" s="2">
        <v>183</v>
      </c>
      <c r="J176" s="5">
        <v>137250</v>
      </c>
      <c r="K176" s="5">
        <v>31567.5</v>
      </c>
    </row>
    <row r="177" spans="1:11" x14ac:dyDescent="0.25">
      <c r="A177" s="2">
        <v>10176</v>
      </c>
      <c r="B177" s="2">
        <f t="shared" si="2"/>
        <v>2019</v>
      </c>
      <c r="C177" s="3">
        <v>43617</v>
      </c>
      <c r="D177" s="4">
        <v>43641</v>
      </c>
      <c r="E177" s="2" t="s">
        <v>14</v>
      </c>
      <c r="F177" s="2" t="s">
        <v>21</v>
      </c>
      <c r="G177" s="2" t="s">
        <v>20</v>
      </c>
      <c r="H177" s="2">
        <v>4</v>
      </c>
      <c r="I177" s="2">
        <v>208</v>
      </c>
      <c r="J177" s="5">
        <v>176800</v>
      </c>
      <c r="K177" s="5">
        <v>53040</v>
      </c>
    </row>
    <row r="178" spans="1:11" x14ac:dyDescent="0.25">
      <c r="A178" s="2">
        <v>10177</v>
      </c>
      <c r="B178" s="2">
        <f t="shared" si="2"/>
        <v>2019</v>
      </c>
      <c r="C178" s="3">
        <v>43617</v>
      </c>
      <c r="D178" s="4">
        <v>43642</v>
      </c>
      <c r="E178" s="2" t="s">
        <v>19</v>
      </c>
      <c r="F178" s="2" t="s">
        <v>24</v>
      </c>
      <c r="G178" s="2" t="s">
        <v>15</v>
      </c>
      <c r="H178" s="2">
        <v>7</v>
      </c>
      <c r="I178" s="2">
        <v>302</v>
      </c>
      <c r="J178" s="5">
        <v>151000</v>
      </c>
      <c r="K178" s="5">
        <v>49830</v>
      </c>
    </row>
    <row r="179" spans="1:11" x14ac:dyDescent="0.25">
      <c r="A179" s="2">
        <v>10178</v>
      </c>
      <c r="B179" s="2">
        <f t="shared" si="2"/>
        <v>2019</v>
      </c>
      <c r="C179" s="3">
        <v>43617</v>
      </c>
      <c r="D179" s="4">
        <v>43643</v>
      </c>
      <c r="E179" s="2" t="s">
        <v>11</v>
      </c>
      <c r="F179" s="2" t="s">
        <v>21</v>
      </c>
      <c r="G179" s="2" t="s">
        <v>13</v>
      </c>
      <c r="H179" s="2">
        <v>1</v>
      </c>
      <c r="I179" s="2">
        <v>69</v>
      </c>
      <c r="J179" s="5">
        <v>51750</v>
      </c>
      <c r="K179" s="5">
        <v>21735</v>
      </c>
    </row>
    <row r="180" spans="1:11" x14ac:dyDescent="0.25">
      <c r="A180" s="2">
        <v>10179</v>
      </c>
      <c r="B180" s="2">
        <f t="shared" si="2"/>
        <v>2019</v>
      </c>
      <c r="C180" s="3">
        <v>43617</v>
      </c>
      <c r="D180" s="4">
        <v>43644</v>
      </c>
      <c r="E180" s="2" t="s">
        <v>14</v>
      </c>
      <c r="F180" s="2" t="s">
        <v>12</v>
      </c>
      <c r="G180" s="2" t="s">
        <v>23</v>
      </c>
      <c r="H180" s="2">
        <v>9</v>
      </c>
      <c r="I180" s="2">
        <v>392</v>
      </c>
      <c r="J180" s="5">
        <v>137200</v>
      </c>
      <c r="K180" s="5">
        <v>46648</v>
      </c>
    </row>
    <row r="181" spans="1:11" x14ac:dyDescent="0.25">
      <c r="A181" s="2">
        <v>10180</v>
      </c>
      <c r="B181" s="2">
        <f t="shared" si="2"/>
        <v>2019</v>
      </c>
      <c r="C181" s="3">
        <v>43617</v>
      </c>
      <c r="D181" s="4">
        <v>43645</v>
      </c>
      <c r="E181" s="2" t="s">
        <v>14</v>
      </c>
      <c r="F181" s="2" t="s">
        <v>16</v>
      </c>
      <c r="G181" s="2" t="s">
        <v>15</v>
      </c>
      <c r="H181" s="2">
        <v>9</v>
      </c>
      <c r="I181" s="2">
        <v>128</v>
      </c>
      <c r="J181" s="5">
        <v>64000</v>
      </c>
      <c r="K181" s="5">
        <v>24320</v>
      </c>
    </row>
    <row r="182" spans="1:11" x14ac:dyDescent="0.25">
      <c r="A182" s="2">
        <v>10181</v>
      </c>
      <c r="B182" s="2">
        <f t="shared" si="2"/>
        <v>2019</v>
      </c>
      <c r="C182" s="3">
        <v>43617</v>
      </c>
      <c r="D182" s="4">
        <v>43646</v>
      </c>
      <c r="E182" s="2" t="s">
        <v>22</v>
      </c>
      <c r="F182" s="2" t="s">
        <v>24</v>
      </c>
      <c r="G182" s="2" t="s">
        <v>13</v>
      </c>
      <c r="H182" s="2">
        <v>5</v>
      </c>
      <c r="I182" s="2">
        <v>146</v>
      </c>
      <c r="J182" s="5">
        <v>109500</v>
      </c>
      <c r="K182" s="5">
        <v>45990</v>
      </c>
    </row>
    <row r="183" spans="1:11" x14ac:dyDescent="0.25">
      <c r="A183" s="2">
        <v>10182</v>
      </c>
      <c r="B183" s="2">
        <f t="shared" si="2"/>
        <v>2019</v>
      </c>
      <c r="C183" s="3">
        <v>43647</v>
      </c>
      <c r="D183" s="4">
        <v>43647</v>
      </c>
      <c r="E183" s="2" t="s">
        <v>25</v>
      </c>
      <c r="F183" s="2" t="s">
        <v>18</v>
      </c>
      <c r="G183" s="2" t="s">
        <v>15</v>
      </c>
      <c r="H183" s="2">
        <v>10</v>
      </c>
      <c r="I183" s="2">
        <v>190</v>
      </c>
      <c r="J183" s="5">
        <v>95000</v>
      </c>
      <c r="K183" s="5">
        <v>29450</v>
      </c>
    </row>
    <row r="184" spans="1:11" x14ac:dyDescent="0.25">
      <c r="A184" s="2">
        <v>10183</v>
      </c>
      <c r="B184" s="2">
        <f t="shared" si="2"/>
        <v>2019</v>
      </c>
      <c r="C184" s="3">
        <v>43647</v>
      </c>
      <c r="D184" s="4">
        <v>43648</v>
      </c>
      <c r="E184" s="2" t="s">
        <v>14</v>
      </c>
      <c r="F184" s="2" t="s">
        <v>24</v>
      </c>
      <c r="G184" s="2" t="s">
        <v>15</v>
      </c>
      <c r="H184" s="2">
        <v>13</v>
      </c>
      <c r="I184" s="2">
        <v>176</v>
      </c>
      <c r="J184" s="5">
        <v>88000</v>
      </c>
      <c r="K184" s="5">
        <v>37840</v>
      </c>
    </row>
    <row r="185" spans="1:11" x14ac:dyDescent="0.25">
      <c r="A185" s="2">
        <v>10184</v>
      </c>
      <c r="B185" s="2">
        <f t="shared" si="2"/>
        <v>2019</v>
      </c>
      <c r="C185" s="3">
        <v>43647</v>
      </c>
      <c r="D185" s="4">
        <v>43649</v>
      </c>
      <c r="E185" s="2" t="s">
        <v>19</v>
      </c>
      <c r="F185" s="2" t="s">
        <v>24</v>
      </c>
      <c r="G185" s="2" t="s">
        <v>13</v>
      </c>
      <c r="H185" s="2">
        <v>1</v>
      </c>
      <c r="I185" s="2">
        <v>80</v>
      </c>
      <c r="J185" s="5">
        <v>60000</v>
      </c>
      <c r="K185" s="5">
        <v>16200.000000000002</v>
      </c>
    </row>
    <row r="186" spans="1:11" x14ac:dyDescent="0.25">
      <c r="A186" s="2">
        <v>10185</v>
      </c>
      <c r="B186" s="2">
        <f t="shared" si="2"/>
        <v>2019</v>
      </c>
      <c r="C186" s="3">
        <v>43647</v>
      </c>
      <c r="D186" s="4">
        <v>43650</v>
      </c>
      <c r="E186" s="2" t="s">
        <v>11</v>
      </c>
      <c r="F186" s="2" t="s">
        <v>18</v>
      </c>
      <c r="G186" s="2" t="s">
        <v>13</v>
      </c>
      <c r="H186" s="2">
        <v>13</v>
      </c>
      <c r="I186" s="2">
        <v>247</v>
      </c>
      <c r="J186" s="5">
        <v>185250</v>
      </c>
      <c r="K186" s="5">
        <v>46312.5</v>
      </c>
    </row>
    <row r="187" spans="1:11" x14ac:dyDescent="0.25">
      <c r="A187" s="2">
        <v>10186</v>
      </c>
      <c r="B187" s="2">
        <f t="shared" si="2"/>
        <v>2019</v>
      </c>
      <c r="C187" s="3">
        <v>43647</v>
      </c>
      <c r="D187" s="4">
        <v>43651</v>
      </c>
      <c r="E187" s="2" t="s">
        <v>19</v>
      </c>
      <c r="F187" s="2" t="s">
        <v>16</v>
      </c>
      <c r="G187" s="2" t="s">
        <v>23</v>
      </c>
      <c r="H187" s="2">
        <v>9</v>
      </c>
      <c r="I187" s="2">
        <v>160</v>
      </c>
      <c r="J187" s="5">
        <v>56000</v>
      </c>
      <c r="K187" s="5">
        <v>6720</v>
      </c>
    </row>
    <row r="188" spans="1:11" x14ac:dyDescent="0.25">
      <c r="A188" s="2">
        <v>10187</v>
      </c>
      <c r="B188" s="2">
        <f t="shared" si="2"/>
        <v>2019</v>
      </c>
      <c r="C188" s="3">
        <v>43647</v>
      </c>
      <c r="D188" s="4">
        <v>43652</v>
      </c>
      <c r="E188" s="2" t="s">
        <v>19</v>
      </c>
      <c r="F188" s="2" t="s">
        <v>21</v>
      </c>
      <c r="G188" s="2" t="s">
        <v>23</v>
      </c>
      <c r="H188" s="2">
        <v>2</v>
      </c>
      <c r="I188" s="2">
        <v>49</v>
      </c>
      <c r="J188" s="5">
        <v>17150</v>
      </c>
      <c r="K188" s="5">
        <v>2744</v>
      </c>
    </row>
    <row r="189" spans="1:11" x14ac:dyDescent="0.25">
      <c r="A189" s="2">
        <v>10188</v>
      </c>
      <c r="B189" s="2">
        <f t="shared" si="2"/>
        <v>2019</v>
      </c>
      <c r="C189" s="3">
        <v>43647</v>
      </c>
      <c r="D189" s="4">
        <v>43653</v>
      </c>
      <c r="E189" s="2" t="s">
        <v>11</v>
      </c>
      <c r="F189" s="2" t="s">
        <v>24</v>
      </c>
      <c r="G189" s="2" t="s">
        <v>17</v>
      </c>
      <c r="H189" s="2">
        <v>5</v>
      </c>
      <c r="I189" s="2">
        <v>75</v>
      </c>
      <c r="J189" s="5">
        <v>18750</v>
      </c>
      <c r="K189" s="5">
        <v>3000</v>
      </c>
    </row>
    <row r="190" spans="1:11" x14ac:dyDescent="0.25">
      <c r="A190" s="2">
        <v>10189</v>
      </c>
      <c r="B190" s="2">
        <f t="shared" si="2"/>
        <v>2019</v>
      </c>
      <c r="C190" s="3">
        <v>43647</v>
      </c>
      <c r="D190" s="4">
        <v>43654</v>
      </c>
      <c r="E190" s="2" t="s">
        <v>22</v>
      </c>
      <c r="F190" s="2" t="s">
        <v>24</v>
      </c>
      <c r="G190" s="2" t="s">
        <v>15</v>
      </c>
      <c r="H190" s="2">
        <v>2</v>
      </c>
      <c r="I190" s="2">
        <v>42</v>
      </c>
      <c r="J190" s="5">
        <v>21000</v>
      </c>
      <c r="K190" s="5">
        <v>6510</v>
      </c>
    </row>
    <row r="191" spans="1:11" x14ac:dyDescent="0.25">
      <c r="A191" s="2">
        <v>10190</v>
      </c>
      <c r="B191" s="2">
        <f t="shared" si="2"/>
        <v>2019</v>
      </c>
      <c r="C191" s="3">
        <v>43647</v>
      </c>
      <c r="D191" s="4">
        <v>43655</v>
      </c>
      <c r="E191" s="2" t="s">
        <v>25</v>
      </c>
      <c r="F191" s="2" t="s">
        <v>21</v>
      </c>
      <c r="G191" s="2" t="s">
        <v>20</v>
      </c>
      <c r="H191" s="2">
        <v>3</v>
      </c>
      <c r="I191" s="2">
        <v>39</v>
      </c>
      <c r="J191" s="5">
        <v>33150</v>
      </c>
      <c r="K191" s="5">
        <v>7956</v>
      </c>
    </row>
    <row r="192" spans="1:11" x14ac:dyDescent="0.25">
      <c r="A192" s="2">
        <v>10191</v>
      </c>
      <c r="B192" s="2">
        <f t="shared" si="2"/>
        <v>2019</v>
      </c>
      <c r="C192" s="3">
        <v>43647</v>
      </c>
      <c r="D192" s="4">
        <v>43656</v>
      </c>
      <c r="E192" s="2" t="s">
        <v>19</v>
      </c>
      <c r="F192" s="2" t="s">
        <v>21</v>
      </c>
      <c r="G192" s="2" t="s">
        <v>23</v>
      </c>
      <c r="H192" s="2">
        <v>35</v>
      </c>
      <c r="I192" s="2">
        <v>479</v>
      </c>
      <c r="J192" s="5">
        <v>167650</v>
      </c>
      <c r="K192" s="5">
        <v>35206.5</v>
      </c>
    </row>
    <row r="193" spans="1:11" x14ac:dyDescent="0.25">
      <c r="A193" s="2">
        <v>10192</v>
      </c>
      <c r="B193" s="2">
        <f t="shared" si="2"/>
        <v>2019</v>
      </c>
      <c r="C193" s="3">
        <v>43647</v>
      </c>
      <c r="D193" s="4">
        <v>43657</v>
      </c>
      <c r="E193" s="2" t="s">
        <v>19</v>
      </c>
      <c r="F193" s="2" t="s">
        <v>21</v>
      </c>
      <c r="G193" s="2" t="s">
        <v>20</v>
      </c>
      <c r="H193" s="2">
        <v>25</v>
      </c>
      <c r="I193" s="2">
        <v>274</v>
      </c>
      <c r="J193" s="5">
        <v>232900</v>
      </c>
      <c r="K193" s="5">
        <v>58225</v>
      </c>
    </row>
    <row r="194" spans="1:11" x14ac:dyDescent="0.25">
      <c r="A194" s="2">
        <v>10193</v>
      </c>
      <c r="B194" s="2">
        <f t="shared" si="2"/>
        <v>2019</v>
      </c>
      <c r="C194" s="3">
        <v>43647</v>
      </c>
      <c r="D194" s="4">
        <v>43658</v>
      </c>
      <c r="E194" s="2" t="s">
        <v>11</v>
      </c>
      <c r="F194" s="2" t="s">
        <v>16</v>
      </c>
      <c r="G194" s="2" t="s">
        <v>20</v>
      </c>
      <c r="H194" s="2">
        <v>17</v>
      </c>
      <c r="I194" s="2">
        <v>317</v>
      </c>
      <c r="J194" s="5">
        <v>269450</v>
      </c>
      <c r="K194" s="5">
        <v>35028.5</v>
      </c>
    </row>
    <row r="195" spans="1:11" x14ac:dyDescent="0.25">
      <c r="A195" s="2">
        <v>10194</v>
      </c>
      <c r="B195" s="2">
        <f t="shared" ref="B195:B258" si="3">YEAR(C195)</f>
        <v>2019</v>
      </c>
      <c r="C195" s="3">
        <v>43647</v>
      </c>
      <c r="D195" s="4">
        <v>43659</v>
      </c>
      <c r="E195" s="2" t="s">
        <v>22</v>
      </c>
      <c r="F195" s="2" t="s">
        <v>21</v>
      </c>
      <c r="G195" s="2" t="s">
        <v>17</v>
      </c>
      <c r="H195" s="2">
        <v>35</v>
      </c>
      <c r="I195" s="2">
        <v>381</v>
      </c>
      <c r="J195" s="5">
        <v>95250</v>
      </c>
      <c r="K195" s="5">
        <v>27622.499999999996</v>
      </c>
    </row>
    <row r="196" spans="1:11" x14ac:dyDescent="0.25">
      <c r="A196" s="2">
        <v>10195</v>
      </c>
      <c r="B196" s="2">
        <f t="shared" si="3"/>
        <v>2019</v>
      </c>
      <c r="C196" s="3">
        <v>43647</v>
      </c>
      <c r="D196" s="4">
        <v>43660</v>
      </c>
      <c r="E196" s="2" t="s">
        <v>25</v>
      </c>
      <c r="F196" s="2" t="s">
        <v>21</v>
      </c>
      <c r="G196" s="2" t="s">
        <v>20</v>
      </c>
      <c r="H196" s="2">
        <v>12</v>
      </c>
      <c r="I196" s="2">
        <v>171</v>
      </c>
      <c r="J196" s="5">
        <v>145350</v>
      </c>
      <c r="K196" s="5">
        <v>21802.5</v>
      </c>
    </row>
    <row r="197" spans="1:11" x14ac:dyDescent="0.25">
      <c r="A197" s="2">
        <v>10196</v>
      </c>
      <c r="B197" s="2">
        <f t="shared" si="3"/>
        <v>2019</v>
      </c>
      <c r="C197" s="3">
        <v>43647</v>
      </c>
      <c r="D197" s="4">
        <v>43661</v>
      </c>
      <c r="E197" s="2" t="s">
        <v>19</v>
      </c>
      <c r="F197" s="2" t="s">
        <v>21</v>
      </c>
      <c r="G197" s="2" t="s">
        <v>23</v>
      </c>
      <c r="H197" s="2">
        <v>22</v>
      </c>
      <c r="I197" s="2">
        <v>268</v>
      </c>
      <c r="J197" s="5">
        <v>93800</v>
      </c>
      <c r="K197" s="5">
        <v>26264.000000000004</v>
      </c>
    </row>
    <row r="198" spans="1:11" x14ac:dyDescent="0.25">
      <c r="A198" s="2">
        <v>10197</v>
      </c>
      <c r="B198" s="2">
        <f t="shared" si="3"/>
        <v>2019</v>
      </c>
      <c r="C198" s="3">
        <v>43647</v>
      </c>
      <c r="D198" s="4">
        <v>43662</v>
      </c>
      <c r="E198" s="2" t="s">
        <v>11</v>
      </c>
      <c r="F198" s="2" t="s">
        <v>12</v>
      </c>
      <c r="G198" s="2" t="s">
        <v>15</v>
      </c>
      <c r="H198" s="2">
        <v>4</v>
      </c>
      <c r="I198" s="2">
        <v>295</v>
      </c>
      <c r="J198" s="5">
        <v>147500</v>
      </c>
      <c r="K198" s="5">
        <v>38350</v>
      </c>
    </row>
    <row r="199" spans="1:11" x14ac:dyDescent="0.25">
      <c r="A199" s="2">
        <v>10198</v>
      </c>
      <c r="B199" s="2">
        <f t="shared" si="3"/>
        <v>2019</v>
      </c>
      <c r="C199" s="3">
        <v>43647</v>
      </c>
      <c r="D199" s="4">
        <v>43663</v>
      </c>
      <c r="E199" s="2" t="s">
        <v>11</v>
      </c>
      <c r="F199" s="2" t="s">
        <v>16</v>
      </c>
      <c r="G199" s="2" t="s">
        <v>23</v>
      </c>
      <c r="H199" s="2">
        <v>1</v>
      </c>
      <c r="I199" s="2">
        <v>70</v>
      </c>
      <c r="J199" s="5">
        <v>24500</v>
      </c>
      <c r="K199" s="5">
        <v>5390</v>
      </c>
    </row>
    <row r="200" spans="1:11" x14ac:dyDescent="0.25">
      <c r="A200" s="2">
        <v>10199</v>
      </c>
      <c r="B200" s="2">
        <f t="shared" si="3"/>
        <v>2019</v>
      </c>
      <c r="C200" s="3">
        <v>43647</v>
      </c>
      <c r="D200" s="4">
        <v>43664</v>
      </c>
      <c r="E200" s="2" t="s">
        <v>19</v>
      </c>
      <c r="F200" s="2" t="s">
        <v>18</v>
      </c>
      <c r="G200" s="2" t="s">
        <v>23</v>
      </c>
      <c r="H200" s="2">
        <v>9</v>
      </c>
      <c r="I200" s="2">
        <v>110</v>
      </c>
      <c r="J200" s="5">
        <v>38500</v>
      </c>
      <c r="K200" s="5">
        <v>7315</v>
      </c>
    </row>
    <row r="201" spans="1:11" x14ac:dyDescent="0.25">
      <c r="A201" s="2">
        <v>10200</v>
      </c>
      <c r="B201" s="2">
        <f t="shared" si="3"/>
        <v>2019</v>
      </c>
      <c r="C201" s="3">
        <v>43647</v>
      </c>
      <c r="D201" s="4">
        <v>43665</v>
      </c>
      <c r="E201" s="2" t="s">
        <v>14</v>
      </c>
      <c r="F201" s="2" t="s">
        <v>24</v>
      </c>
      <c r="G201" s="2" t="s">
        <v>20</v>
      </c>
      <c r="H201" s="2">
        <v>24</v>
      </c>
      <c r="I201" s="2">
        <v>299</v>
      </c>
      <c r="J201" s="5">
        <v>254150</v>
      </c>
      <c r="K201" s="5">
        <v>94035.5</v>
      </c>
    </row>
    <row r="202" spans="1:11" x14ac:dyDescent="0.25">
      <c r="A202" s="2">
        <v>10201</v>
      </c>
      <c r="B202" s="2">
        <f t="shared" si="3"/>
        <v>2019</v>
      </c>
      <c r="C202" s="3">
        <v>43647</v>
      </c>
      <c r="D202" s="4">
        <v>43666</v>
      </c>
      <c r="E202" s="2" t="s">
        <v>19</v>
      </c>
      <c r="F202" s="2" t="s">
        <v>18</v>
      </c>
      <c r="G202" s="2" t="s">
        <v>17</v>
      </c>
      <c r="H202" s="2">
        <v>21</v>
      </c>
      <c r="I202" s="2">
        <v>343</v>
      </c>
      <c r="J202" s="5">
        <v>85750</v>
      </c>
      <c r="K202" s="5">
        <v>24867.5</v>
      </c>
    </row>
    <row r="203" spans="1:11" x14ac:dyDescent="0.25">
      <c r="A203" s="2">
        <v>10202</v>
      </c>
      <c r="B203" s="2">
        <f t="shared" si="3"/>
        <v>2019</v>
      </c>
      <c r="C203" s="3">
        <v>43647</v>
      </c>
      <c r="D203" s="4">
        <v>43667</v>
      </c>
      <c r="E203" s="2" t="s">
        <v>25</v>
      </c>
      <c r="F203" s="2" t="s">
        <v>16</v>
      </c>
      <c r="G203" s="2" t="s">
        <v>17</v>
      </c>
      <c r="H203" s="2">
        <v>7</v>
      </c>
      <c r="I203" s="2">
        <v>104</v>
      </c>
      <c r="J203" s="5">
        <v>26000</v>
      </c>
      <c r="K203" s="5">
        <v>7020.0000000000009</v>
      </c>
    </row>
    <row r="204" spans="1:11" x14ac:dyDescent="0.25">
      <c r="A204" s="2">
        <v>10203</v>
      </c>
      <c r="B204" s="2">
        <f t="shared" si="3"/>
        <v>2019</v>
      </c>
      <c r="C204" s="3">
        <v>43647</v>
      </c>
      <c r="D204" s="4">
        <v>43668</v>
      </c>
      <c r="E204" s="2" t="s">
        <v>25</v>
      </c>
      <c r="F204" s="2" t="s">
        <v>18</v>
      </c>
      <c r="G204" s="2" t="s">
        <v>17</v>
      </c>
      <c r="H204" s="2">
        <v>6</v>
      </c>
      <c r="I204" s="2">
        <v>293</v>
      </c>
      <c r="J204" s="5">
        <v>73250</v>
      </c>
      <c r="K204" s="5">
        <v>7325</v>
      </c>
    </row>
    <row r="205" spans="1:11" x14ac:dyDescent="0.25">
      <c r="A205" s="2">
        <v>10204</v>
      </c>
      <c r="B205" s="2">
        <f t="shared" si="3"/>
        <v>2019</v>
      </c>
      <c r="C205" s="3">
        <v>43647</v>
      </c>
      <c r="D205" s="4">
        <v>43669</v>
      </c>
      <c r="E205" s="2" t="s">
        <v>25</v>
      </c>
      <c r="F205" s="2" t="s">
        <v>12</v>
      </c>
      <c r="G205" s="2" t="s">
        <v>13</v>
      </c>
      <c r="H205" s="2">
        <v>17</v>
      </c>
      <c r="I205" s="2">
        <v>351</v>
      </c>
      <c r="J205" s="5">
        <v>263250</v>
      </c>
      <c r="K205" s="5">
        <v>97402.5</v>
      </c>
    </row>
    <row r="206" spans="1:11" x14ac:dyDescent="0.25">
      <c r="A206" s="2">
        <v>10205</v>
      </c>
      <c r="B206" s="2">
        <f t="shared" si="3"/>
        <v>2019</v>
      </c>
      <c r="C206" s="3">
        <v>43647</v>
      </c>
      <c r="D206" s="4">
        <v>43670</v>
      </c>
      <c r="E206" s="2" t="s">
        <v>19</v>
      </c>
      <c r="F206" s="2" t="s">
        <v>24</v>
      </c>
      <c r="G206" s="2" t="s">
        <v>20</v>
      </c>
      <c r="H206" s="2">
        <v>14</v>
      </c>
      <c r="I206" s="2">
        <v>328</v>
      </c>
      <c r="J206" s="5">
        <v>278800</v>
      </c>
      <c r="K206" s="5">
        <v>55760</v>
      </c>
    </row>
    <row r="207" spans="1:11" x14ac:dyDescent="0.25">
      <c r="A207" s="2">
        <v>10206</v>
      </c>
      <c r="B207" s="2">
        <f t="shared" si="3"/>
        <v>2019</v>
      </c>
      <c r="C207" s="3">
        <v>43647</v>
      </c>
      <c r="D207" s="4">
        <v>43671</v>
      </c>
      <c r="E207" s="2" t="s">
        <v>14</v>
      </c>
      <c r="F207" s="2" t="s">
        <v>12</v>
      </c>
      <c r="G207" s="2" t="s">
        <v>17</v>
      </c>
      <c r="H207" s="2">
        <v>32</v>
      </c>
      <c r="I207" s="2">
        <v>378</v>
      </c>
      <c r="J207" s="5">
        <v>94500</v>
      </c>
      <c r="K207" s="5">
        <v>15120</v>
      </c>
    </row>
    <row r="208" spans="1:11" x14ac:dyDescent="0.25">
      <c r="A208" s="2">
        <v>10207</v>
      </c>
      <c r="B208" s="2">
        <f t="shared" si="3"/>
        <v>2019</v>
      </c>
      <c r="C208" s="3">
        <v>43647</v>
      </c>
      <c r="D208" s="4">
        <v>43672</v>
      </c>
      <c r="E208" s="2" t="s">
        <v>19</v>
      </c>
      <c r="F208" s="2" t="s">
        <v>18</v>
      </c>
      <c r="G208" s="2" t="s">
        <v>17</v>
      </c>
      <c r="H208" s="2">
        <v>5</v>
      </c>
      <c r="I208" s="2">
        <v>95</v>
      </c>
      <c r="J208" s="5">
        <v>23750</v>
      </c>
      <c r="K208" s="5">
        <v>9737.5</v>
      </c>
    </row>
    <row r="209" spans="1:11" x14ac:dyDescent="0.25">
      <c r="A209" s="2">
        <v>10208</v>
      </c>
      <c r="B209" s="2">
        <f t="shared" si="3"/>
        <v>2019</v>
      </c>
      <c r="C209" s="3">
        <v>43647</v>
      </c>
      <c r="D209" s="4">
        <v>43673</v>
      </c>
      <c r="E209" s="2" t="s">
        <v>11</v>
      </c>
      <c r="F209" s="2" t="s">
        <v>16</v>
      </c>
      <c r="G209" s="2" t="s">
        <v>13</v>
      </c>
      <c r="H209" s="2">
        <v>2</v>
      </c>
      <c r="I209" s="2">
        <v>47</v>
      </c>
      <c r="J209" s="5">
        <v>35250</v>
      </c>
      <c r="K209" s="5">
        <v>4582.5</v>
      </c>
    </row>
    <row r="210" spans="1:11" x14ac:dyDescent="0.25">
      <c r="A210" s="2">
        <v>10209</v>
      </c>
      <c r="B210" s="2">
        <f t="shared" si="3"/>
        <v>2019</v>
      </c>
      <c r="C210" s="3">
        <v>43647</v>
      </c>
      <c r="D210" s="4">
        <v>43674</v>
      </c>
      <c r="E210" s="2" t="s">
        <v>19</v>
      </c>
      <c r="F210" s="2" t="s">
        <v>21</v>
      </c>
      <c r="G210" s="2" t="s">
        <v>23</v>
      </c>
      <c r="H210" s="2">
        <v>21</v>
      </c>
      <c r="I210" s="2">
        <v>243</v>
      </c>
      <c r="J210" s="5">
        <v>85050</v>
      </c>
      <c r="K210" s="5">
        <v>16159.5</v>
      </c>
    </row>
    <row r="211" spans="1:11" x14ac:dyDescent="0.25">
      <c r="A211" s="2">
        <v>10210</v>
      </c>
      <c r="B211" s="2">
        <f t="shared" si="3"/>
        <v>2019</v>
      </c>
      <c r="C211" s="3">
        <v>43647</v>
      </c>
      <c r="D211" s="4">
        <v>43675</v>
      </c>
      <c r="E211" s="2" t="s">
        <v>11</v>
      </c>
      <c r="F211" s="2" t="s">
        <v>12</v>
      </c>
      <c r="G211" s="2" t="s">
        <v>13</v>
      </c>
      <c r="H211" s="2">
        <v>17</v>
      </c>
      <c r="I211" s="2">
        <v>455</v>
      </c>
      <c r="J211" s="5">
        <v>341250</v>
      </c>
      <c r="K211" s="5">
        <v>129675</v>
      </c>
    </row>
    <row r="212" spans="1:11" x14ac:dyDescent="0.25">
      <c r="A212" s="2">
        <v>10211</v>
      </c>
      <c r="B212" s="2">
        <f t="shared" si="3"/>
        <v>2019</v>
      </c>
      <c r="C212" s="3">
        <v>43647</v>
      </c>
      <c r="D212" s="4">
        <v>43676</v>
      </c>
      <c r="E212" s="2" t="s">
        <v>22</v>
      </c>
      <c r="F212" s="2" t="s">
        <v>12</v>
      </c>
      <c r="G212" s="2" t="s">
        <v>13</v>
      </c>
      <c r="H212" s="2">
        <v>3</v>
      </c>
      <c r="I212" s="2">
        <v>50</v>
      </c>
      <c r="J212" s="5">
        <v>37500</v>
      </c>
      <c r="K212" s="5">
        <v>4875</v>
      </c>
    </row>
    <row r="213" spans="1:11" x14ac:dyDescent="0.25">
      <c r="A213" s="2">
        <v>10212</v>
      </c>
      <c r="B213" s="2">
        <f t="shared" si="3"/>
        <v>2019</v>
      </c>
      <c r="C213" s="3">
        <v>43647</v>
      </c>
      <c r="D213" s="4">
        <v>43677</v>
      </c>
      <c r="E213" s="2" t="s">
        <v>19</v>
      </c>
      <c r="F213" s="2" t="s">
        <v>21</v>
      </c>
      <c r="G213" s="2" t="s">
        <v>15</v>
      </c>
      <c r="H213" s="2">
        <v>9</v>
      </c>
      <c r="I213" s="2">
        <v>310</v>
      </c>
      <c r="J213" s="5">
        <v>155000</v>
      </c>
      <c r="K213" s="5">
        <v>66650</v>
      </c>
    </row>
    <row r="214" spans="1:11" x14ac:dyDescent="0.25">
      <c r="A214" s="2">
        <v>10213</v>
      </c>
      <c r="B214" s="2">
        <f t="shared" si="3"/>
        <v>2019</v>
      </c>
      <c r="C214" s="3">
        <v>43678</v>
      </c>
      <c r="D214" s="4">
        <v>43678</v>
      </c>
      <c r="E214" s="2" t="s">
        <v>19</v>
      </c>
      <c r="F214" s="2" t="s">
        <v>21</v>
      </c>
      <c r="G214" s="2" t="s">
        <v>23</v>
      </c>
      <c r="H214" s="2">
        <v>16</v>
      </c>
      <c r="I214" s="2">
        <v>171</v>
      </c>
      <c r="J214" s="5">
        <v>59850</v>
      </c>
      <c r="K214" s="5">
        <v>11970</v>
      </c>
    </row>
    <row r="215" spans="1:11" x14ac:dyDescent="0.25">
      <c r="A215" s="2">
        <v>10214</v>
      </c>
      <c r="B215" s="2">
        <f t="shared" si="3"/>
        <v>2019</v>
      </c>
      <c r="C215" s="3">
        <v>43678</v>
      </c>
      <c r="D215" s="4">
        <v>43679</v>
      </c>
      <c r="E215" s="2" t="s">
        <v>14</v>
      </c>
      <c r="F215" s="2" t="s">
        <v>21</v>
      </c>
      <c r="G215" s="2" t="s">
        <v>23</v>
      </c>
      <c r="H215" s="2">
        <v>11</v>
      </c>
      <c r="I215" s="2">
        <v>234</v>
      </c>
      <c r="J215" s="5">
        <v>81900</v>
      </c>
      <c r="K215" s="5">
        <v>30303</v>
      </c>
    </row>
    <row r="216" spans="1:11" x14ac:dyDescent="0.25">
      <c r="A216" s="2">
        <v>10215</v>
      </c>
      <c r="B216" s="2">
        <f t="shared" si="3"/>
        <v>2019</v>
      </c>
      <c r="C216" s="3">
        <v>43678</v>
      </c>
      <c r="D216" s="4">
        <v>43680</v>
      </c>
      <c r="E216" s="2" t="s">
        <v>14</v>
      </c>
      <c r="F216" s="2" t="s">
        <v>18</v>
      </c>
      <c r="G216" s="2" t="s">
        <v>20</v>
      </c>
      <c r="H216" s="2">
        <v>15</v>
      </c>
      <c r="I216" s="2">
        <v>259</v>
      </c>
      <c r="J216" s="5">
        <v>220150</v>
      </c>
      <c r="K216" s="5">
        <v>59440.500000000007</v>
      </c>
    </row>
    <row r="217" spans="1:11" x14ac:dyDescent="0.25">
      <c r="A217" s="2">
        <v>10216</v>
      </c>
      <c r="B217" s="2">
        <f t="shared" si="3"/>
        <v>2019</v>
      </c>
      <c r="C217" s="3">
        <v>43678</v>
      </c>
      <c r="D217" s="4">
        <v>43681</v>
      </c>
      <c r="E217" s="2" t="s">
        <v>19</v>
      </c>
      <c r="F217" s="2" t="s">
        <v>16</v>
      </c>
      <c r="G217" s="2" t="s">
        <v>20</v>
      </c>
      <c r="H217" s="2">
        <v>11</v>
      </c>
      <c r="I217" s="2">
        <v>340</v>
      </c>
      <c r="J217" s="5">
        <v>289000</v>
      </c>
      <c r="K217" s="5">
        <v>92480</v>
      </c>
    </row>
    <row r="218" spans="1:11" x14ac:dyDescent="0.25">
      <c r="A218" s="2">
        <v>10217</v>
      </c>
      <c r="B218" s="2">
        <f t="shared" si="3"/>
        <v>2019</v>
      </c>
      <c r="C218" s="3">
        <v>43678</v>
      </c>
      <c r="D218" s="4">
        <v>43682</v>
      </c>
      <c r="E218" s="2" t="s">
        <v>11</v>
      </c>
      <c r="F218" s="2" t="s">
        <v>16</v>
      </c>
      <c r="G218" s="2" t="s">
        <v>15</v>
      </c>
      <c r="H218" s="2">
        <v>13</v>
      </c>
      <c r="I218" s="2">
        <v>460</v>
      </c>
      <c r="J218" s="5">
        <v>230000</v>
      </c>
      <c r="K218" s="5">
        <v>89700</v>
      </c>
    </row>
    <row r="219" spans="1:11" x14ac:dyDescent="0.25">
      <c r="A219" s="2">
        <v>10218</v>
      </c>
      <c r="B219" s="2">
        <f t="shared" si="3"/>
        <v>2019</v>
      </c>
      <c r="C219" s="3">
        <v>43678</v>
      </c>
      <c r="D219" s="4">
        <v>43683</v>
      </c>
      <c r="E219" s="2" t="s">
        <v>14</v>
      </c>
      <c r="F219" s="2" t="s">
        <v>24</v>
      </c>
      <c r="G219" s="2" t="s">
        <v>23</v>
      </c>
      <c r="H219" s="2">
        <v>37</v>
      </c>
      <c r="I219" s="2">
        <v>422</v>
      </c>
      <c r="J219" s="5">
        <v>147700</v>
      </c>
      <c r="K219" s="5">
        <v>31017</v>
      </c>
    </row>
    <row r="220" spans="1:11" x14ac:dyDescent="0.25">
      <c r="A220" s="2">
        <v>10219</v>
      </c>
      <c r="B220" s="2">
        <f t="shared" si="3"/>
        <v>2019</v>
      </c>
      <c r="C220" s="3">
        <v>43678</v>
      </c>
      <c r="D220" s="4">
        <v>43684</v>
      </c>
      <c r="E220" s="2" t="s">
        <v>25</v>
      </c>
      <c r="F220" s="2" t="s">
        <v>18</v>
      </c>
      <c r="G220" s="2" t="s">
        <v>15</v>
      </c>
      <c r="H220" s="2">
        <v>20</v>
      </c>
      <c r="I220" s="2">
        <v>332</v>
      </c>
      <c r="J220" s="5">
        <v>166000</v>
      </c>
      <c r="K220" s="5">
        <v>28220.000000000004</v>
      </c>
    </row>
    <row r="221" spans="1:11" x14ac:dyDescent="0.25">
      <c r="A221" s="2">
        <v>10220</v>
      </c>
      <c r="B221" s="2">
        <f t="shared" si="3"/>
        <v>2019</v>
      </c>
      <c r="C221" s="3">
        <v>43678</v>
      </c>
      <c r="D221" s="4">
        <v>43685</v>
      </c>
      <c r="E221" s="2" t="s">
        <v>22</v>
      </c>
      <c r="F221" s="2" t="s">
        <v>21</v>
      </c>
      <c r="G221" s="2" t="s">
        <v>13</v>
      </c>
      <c r="H221" s="2">
        <v>21</v>
      </c>
      <c r="I221" s="2">
        <v>327</v>
      </c>
      <c r="J221" s="5">
        <v>245250</v>
      </c>
      <c r="K221" s="5">
        <v>110362.5</v>
      </c>
    </row>
    <row r="222" spans="1:11" x14ac:dyDescent="0.25">
      <c r="A222" s="2">
        <v>10221</v>
      </c>
      <c r="B222" s="2">
        <f t="shared" si="3"/>
        <v>2019</v>
      </c>
      <c r="C222" s="3">
        <v>43678</v>
      </c>
      <c r="D222" s="4">
        <v>43686</v>
      </c>
      <c r="E222" s="2" t="s">
        <v>14</v>
      </c>
      <c r="F222" s="2" t="s">
        <v>18</v>
      </c>
      <c r="G222" s="2" t="s">
        <v>20</v>
      </c>
      <c r="H222" s="2">
        <v>23</v>
      </c>
      <c r="I222" s="2">
        <v>452</v>
      </c>
      <c r="J222" s="5">
        <v>384200</v>
      </c>
      <c r="K222" s="5">
        <v>161364</v>
      </c>
    </row>
    <row r="223" spans="1:11" x14ac:dyDescent="0.25">
      <c r="A223" s="2">
        <v>10222</v>
      </c>
      <c r="B223" s="2">
        <f t="shared" si="3"/>
        <v>2019</v>
      </c>
      <c r="C223" s="3">
        <v>43678</v>
      </c>
      <c r="D223" s="4">
        <v>43687</v>
      </c>
      <c r="E223" s="2" t="s">
        <v>25</v>
      </c>
      <c r="F223" s="2" t="s">
        <v>18</v>
      </c>
      <c r="G223" s="2" t="s">
        <v>23</v>
      </c>
      <c r="H223" s="2">
        <v>5</v>
      </c>
      <c r="I223" s="2">
        <v>154</v>
      </c>
      <c r="J223" s="5">
        <v>53900</v>
      </c>
      <c r="K223" s="5">
        <v>19404</v>
      </c>
    </row>
    <row r="224" spans="1:11" x14ac:dyDescent="0.25">
      <c r="A224" s="2">
        <v>10223</v>
      </c>
      <c r="B224" s="2">
        <f t="shared" si="3"/>
        <v>2019</v>
      </c>
      <c r="C224" s="3">
        <v>43678</v>
      </c>
      <c r="D224" s="4">
        <v>43688</v>
      </c>
      <c r="E224" s="2" t="s">
        <v>22</v>
      </c>
      <c r="F224" s="2" t="s">
        <v>12</v>
      </c>
      <c r="G224" s="2" t="s">
        <v>17</v>
      </c>
      <c r="H224" s="2">
        <v>8</v>
      </c>
      <c r="I224" s="2">
        <v>171</v>
      </c>
      <c r="J224" s="5">
        <v>42750</v>
      </c>
      <c r="K224" s="5">
        <v>10260</v>
      </c>
    </row>
    <row r="225" spans="1:11" x14ac:dyDescent="0.25">
      <c r="A225" s="2">
        <v>10224</v>
      </c>
      <c r="B225" s="2">
        <f t="shared" si="3"/>
        <v>2019</v>
      </c>
      <c r="C225" s="3">
        <v>43678</v>
      </c>
      <c r="D225" s="4">
        <v>43689</v>
      </c>
      <c r="E225" s="2" t="s">
        <v>22</v>
      </c>
      <c r="F225" s="2" t="s">
        <v>16</v>
      </c>
      <c r="G225" s="2" t="s">
        <v>15</v>
      </c>
      <c r="H225" s="2">
        <v>12</v>
      </c>
      <c r="I225" s="2">
        <v>377</v>
      </c>
      <c r="J225" s="5">
        <v>188500</v>
      </c>
      <c r="K225" s="5">
        <v>32045.000000000004</v>
      </c>
    </row>
    <row r="226" spans="1:11" x14ac:dyDescent="0.25">
      <c r="A226" s="2">
        <v>10225</v>
      </c>
      <c r="B226" s="2">
        <f t="shared" si="3"/>
        <v>2019</v>
      </c>
      <c r="C226" s="3">
        <v>43678</v>
      </c>
      <c r="D226" s="4">
        <v>43690</v>
      </c>
      <c r="E226" s="2" t="s">
        <v>11</v>
      </c>
      <c r="F226" s="2" t="s">
        <v>18</v>
      </c>
      <c r="G226" s="2" t="s">
        <v>17</v>
      </c>
      <c r="H226" s="2">
        <v>5</v>
      </c>
      <c r="I226" s="2">
        <v>231</v>
      </c>
      <c r="J226" s="5">
        <v>57750</v>
      </c>
      <c r="K226" s="5">
        <v>13282.5</v>
      </c>
    </row>
    <row r="227" spans="1:11" x14ac:dyDescent="0.25">
      <c r="A227" s="2">
        <v>10226</v>
      </c>
      <c r="B227" s="2">
        <f t="shared" si="3"/>
        <v>2019</v>
      </c>
      <c r="C227" s="3">
        <v>43678</v>
      </c>
      <c r="D227" s="4">
        <v>43691</v>
      </c>
      <c r="E227" s="2" t="s">
        <v>25</v>
      </c>
      <c r="F227" s="2" t="s">
        <v>21</v>
      </c>
      <c r="G227" s="2" t="s">
        <v>13</v>
      </c>
      <c r="H227" s="2">
        <v>2</v>
      </c>
      <c r="I227" s="2">
        <v>173</v>
      </c>
      <c r="J227" s="5">
        <v>129750</v>
      </c>
      <c r="K227" s="5">
        <v>46710</v>
      </c>
    </row>
    <row r="228" spans="1:11" x14ac:dyDescent="0.25">
      <c r="A228" s="2">
        <v>10227</v>
      </c>
      <c r="B228" s="2">
        <f t="shared" si="3"/>
        <v>2019</v>
      </c>
      <c r="C228" s="3">
        <v>43678</v>
      </c>
      <c r="D228" s="4">
        <v>43692</v>
      </c>
      <c r="E228" s="2" t="s">
        <v>11</v>
      </c>
      <c r="F228" s="2" t="s">
        <v>21</v>
      </c>
      <c r="G228" s="2" t="s">
        <v>20</v>
      </c>
      <c r="H228" s="2">
        <v>8</v>
      </c>
      <c r="I228" s="2">
        <v>260</v>
      </c>
      <c r="J228" s="5">
        <v>221000</v>
      </c>
      <c r="K228" s="5">
        <v>33150</v>
      </c>
    </row>
    <row r="229" spans="1:11" x14ac:dyDescent="0.25">
      <c r="A229" s="2">
        <v>10228</v>
      </c>
      <c r="B229" s="2">
        <f t="shared" si="3"/>
        <v>2019</v>
      </c>
      <c r="C229" s="3">
        <v>43678</v>
      </c>
      <c r="D229" s="4">
        <v>43693</v>
      </c>
      <c r="E229" s="2" t="s">
        <v>25</v>
      </c>
      <c r="F229" s="2" t="s">
        <v>21</v>
      </c>
      <c r="G229" s="2" t="s">
        <v>15</v>
      </c>
      <c r="H229" s="2">
        <v>35</v>
      </c>
      <c r="I229" s="2">
        <v>432</v>
      </c>
      <c r="J229" s="5">
        <v>216000</v>
      </c>
      <c r="K229" s="5">
        <v>54000</v>
      </c>
    </row>
    <row r="230" spans="1:11" x14ac:dyDescent="0.25">
      <c r="A230" s="2">
        <v>10229</v>
      </c>
      <c r="B230" s="2">
        <f t="shared" si="3"/>
        <v>2019</v>
      </c>
      <c r="C230" s="3">
        <v>43678</v>
      </c>
      <c r="D230" s="4">
        <v>43694</v>
      </c>
      <c r="E230" s="2" t="s">
        <v>19</v>
      </c>
      <c r="F230" s="2" t="s">
        <v>21</v>
      </c>
      <c r="G230" s="2" t="s">
        <v>20</v>
      </c>
      <c r="H230" s="2">
        <v>12</v>
      </c>
      <c r="I230" s="2">
        <v>299</v>
      </c>
      <c r="J230" s="5">
        <v>254150</v>
      </c>
      <c r="K230" s="5">
        <v>63537.5</v>
      </c>
    </row>
    <row r="231" spans="1:11" x14ac:dyDescent="0.25">
      <c r="A231" s="2">
        <v>10230</v>
      </c>
      <c r="B231" s="2">
        <f t="shared" si="3"/>
        <v>2019</v>
      </c>
      <c r="C231" s="3">
        <v>43678</v>
      </c>
      <c r="D231" s="4">
        <v>43695</v>
      </c>
      <c r="E231" s="2" t="s">
        <v>22</v>
      </c>
      <c r="F231" s="2" t="s">
        <v>21</v>
      </c>
      <c r="G231" s="2" t="s">
        <v>17</v>
      </c>
      <c r="H231" s="2">
        <v>11</v>
      </c>
      <c r="I231" s="2">
        <v>110</v>
      </c>
      <c r="J231" s="5">
        <v>27500</v>
      </c>
      <c r="K231" s="5">
        <v>3850.0000000000005</v>
      </c>
    </row>
    <row r="232" spans="1:11" x14ac:dyDescent="0.25">
      <c r="A232" s="2">
        <v>10231</v>
      </c>
      <c r="B232" s="2">
        <f t="shared" si="3"/>
        <v>2019</v>
      </c>
      <c r="C232" s="3">
        <v>43678</v>
      </c>
      <c r="D232" s="4">
        <v>43696</v>
      </c>
      <c r="E232" s="2" t="s">
        <v>19</v>
      </c>
      <c r="F232" s="2" t="s">
        <v>21</v>
      </c>
      <c r="G232" s="2" t="s">
        <v>15</v>
      </c>
      <c r="H232" s="2">
        <v>3</v>
      </c>
      <c r="I232" s="2">
        <v>101</v>
      </c>
      <c r="J232" s="5">
        <v>50500</v>
      </c>
      <c r="K232" s="5">
        <v>8585</v>
      </c>
    </row>
    <row r="233" spans="1:11" x14ac:dyDescent="0.25">
      <c r="A233" s="2">
        <v>10232</v>
      </c>
      <c r="B233" s="2">
        <f t="shared" si="3"/>
        <v>2019</v>
      </c>
      <c r="C233" s="3">
        <v>43678</v>
      </c>
      <c r="D233" s="4">
        <v>43697</v>
      </c>
      <c r="E233" s="2" t="s">
        <v>11</v>
      </c>
      <c r="F233" s="2" t="s">
        <v>16</v>
      </c>
      <c r="G233" s="2" t="s">
        <v>15</v>
      </c>
      <c r="H233" s="2">
        <v>17</v>
      </c>
      <c r="I233" s="2">
        <v>450</v>
      </c>
      <c r="J233" s="5">
        <v>225000</v>
      </c>
      <c r="K233" s="5">
        <v>49500</v>
      </c>
    </row>
    <row r="234" spans="1:11" x14ac:dyDescent="0.25">
      <c r="A234" s="2">
        <v>10233</v>
      </c>
      <c r="B234" s="2">
        <f t="shared" si="3"/>
        <v>2019</v>
      </c>
      <c r="C234" s="3">
        <v>43678</v>
      </c>
      <c r="D234" s="4">
        <v>43698</v>
      </c>
      <c r="E234" s="2" t="s">
        <v>11</v>
      </c>
      <c r="F234" s="2" t="s">
        <v>18</v>
      </c>
      <c r="G234" s="2" t="s">
        <v>20</v>
      </c>
      <c r="H234" s="2">
        <v>6</v>
      </c>
      <c r="I234" s="2">
        <v>345</v>
      </c>
      <c r="J234" s="5">
        <v>293250</v>
      </c>
      <c r="K234" s="5">
        <v>73312.5</v>
      </c>
    </row>
    <row r="235" spans="1:11" x14ac:dyDescent="0.25">
      <c r="A235" s="2">
        <v>10234</v>
      </c>
      <c r="B235" s="2">
        <f t="shared" si="3"/>
        <v>2019</v>
      </c>
      <c r="C235" s="3">
        <v>43678</v>
      </c>
      <c r="D235" s="4">
        <v>43699</v>
      </c>
      <c r="E235" s="2" t="s">
        <v>14</v>
      </c>
      <c r="F235" s="2" t="s">
        <v>12</v>
      </c>
      <c r="G235" s="2" t="s">
        <v>15</v>
      </c>
      <c r="H235" s="2">
        <v>7</v>
      </c>
      <c r="I235" s="2">
        <v>88</v>
      </c>
      <c r="J235" s="5">
        <v>44000</v>
      </c>
      <c r="K235" s="5">
        <v>13200</v>
      </c>
    </row>
    <row r="236" spans="1:11" x14ac:dyDescent="0.25">
      <c r="A236" s="2">
        <v>10235</v>
      </c>
      <c r="B236" s="2">
        <f t="shared" si="3"/>
        <v>2019</v>
      </c>
      <c r="C236" s="3">
        <v>43678</v>
      </c>
      <c r="D236" s="4">
        <v>43700</v>
      </c>
      <c r="E236" s="2" t="s">
        <v>22</v>
      </c>
      <c r="F236" s="2" t="s">
        <v>18</v>
      </c>
      <c r="G236" s="2" t="s">
        <v>23</v>
      </c>
      <c r="H236" s="2">
        <v>17</v>
      </c>
      <c r="I236" s="2">
        <v>472</v>
      </c>
      <c r="J236" s="5">
        <v>165200</v>
      </c>
      <c r="K236" s="5">
        <v>64428</v>
      </c>
    </row>
    <row r="237" spans="1:11" x14ac:dyDescent="0.25">
      <c r="A237" s="2">
        <v>10236</v>
      </c>
      <c r="B237" s="2">
        <f t="shared" si="3"/>
        <v>2019</v>
      </c>
      <c r="C237" s="3">
        <v>43678</v>
      </c>
      <c r="D237" s="4">
        <v>43701</v>
      </c>
      <c r="E237" s="2" t="s">
        <v>22</v>
      </c>
      <c r="F237" s="2" t="s">
        <v>12</v>
      </c>
      <c r="G237" s="2" t="s">
        <v>17</v>
      </c>
      <c r="H237" s="2">
        <v>4</v>
      </c>
      <c r="I237" s="2">
        <v>130</v>
      </c>
      <c r="J237" s="5">
        <v>32500</v>
      </c>
      <c r="K237" s="5">
        <v>11050</v>
      </c>
    </row>
    <row r="238" spans="1:11" x14ac:dyDescent="0.25">
      <c r="A238" s="2">
        <v>10237</v>
      </c>
      <c r="B238" s="2">
        <f t="shared" si="3"/>
        <v>2019</v>
      </c>
      <c r="C238" s="3">
        <v>43678</v>
      </c>
      <c r="D238" s="4">
        <v>43702</v>
      </c>
      <c r="E238" s="2" t="s">
        <v>25</v>
      </c>
      <c r="F238" s="2" t="s">
        <v>12</v>
      </c>
      <c r="G238" s="2" t="s">
        <v>23</v>
      </c>
      <c r="H238" s="2">
        <v>22</v>
      </c>
      <c r="I238" s="2">
        <v>425</v>
      </c>
      <c r="J238" s="5">
        <v>148750</v>
      </c>
      <c r="K238" s="5">
        <v>49087.5</v>
      </c>
    </row>
    <row r="239" spans="1:11" x14ac:dyDescent="0.25">
      <c r="A239" s="2">
        <v>10238</v>
      </c>
      <c r="B239" s="2">
        <f t="shared" si="3"/>
        <v>2019</v>
      </c>
      <c r="C239" s="3">
        <v>43678</v>
      </c>
      <c r="D239" s="4">
        <v>43703</v>
      </c>
      <c r="E239" s="2" t="s">
        <v>19</v>
      </c>
      <c r="F239" s="2" t="s">
        <v>12</v>
      </c>
      <c r="G239" s="2" t="s">
        <v>15</v>
      </c>
      <c r="H239" s="2">
        <v>3</v>
      </c>
      <c r="I239" s="2">
        <v>207</v>
      </c>
      <c r="J239" s="5">
        <v>103500</v>
      </c>
      <c r="K239" s="5">
        <v>30014.999999999996</v>
      </c>
    </row>
    <row r="240" spans="1:11" x14ac:dyDescent="0.25">
      <c r="A240" s="2">
        <v>10239</v>
      </c>
      <c r="B240" s="2">
        <f t="shared" si="3"/>
        <v>2019</v>
      </c>
      <c r="C240" s="3">
        <v>43678</v>
      </c>
      <c r="D240" s="4">
        <v>43704</v>
      </c>
      <c r="E240" s="2" t="s">
        <v>25</v>
      </c>
      <c r="F240" s="2" t="s">
        <v>16</v>
      </c>
      <c r="G240" s="2" t="s">
        <v>13</v>
      </c>
      <c r="H240" s="2">
        <v>23</v>
      </c>
      <c r="I240" s="2">
        <v>368</v>
      </c>
      <c r="J240" s="5">
        <v>276000</v>
      </c>
      <c r="K240" s="5">
        <v>30360</v>
      </c>
    </row>
    <row r="241" spans="1:11" x14ac:dyDescent="0.25">
      <c r="A241" s="2">
        <v>10240</v>
      </c>
      <c r="B241" s="2">
        <f t="shared" si="3"/>
        <v>2019</v>
      </c>
      <c r="C241" s="3">
        <v>43678</v>
      </c>
      <c r="D241" s="4">
        <v>43705</v>
      </c>
      <c r="E241" s="2" t="s">
        <v>14</v>
      </c>
      <c r="F241" s="2" t="s">
        <v>21</v>
      </c>
      <c r="G241" s="2" t="s">
        <v>13</v>
      </c>
      <c r="H241" s="2">
        <v>7</v>
      </c>
      <c r="I241" s="2">
        <v>360</v>
      </c>
      <c r="J241" s="5">
        <v>270000</v>
      </c>
      <c r="K241" s="5">
        <v>78300</v>
      </c>
    </row>
    <row r="242" spans="1:11" x14ac:dyDescent="0.25">
      <c r="A242" s="2">
        <v>10241</v>
      </c>
      <c r="B242" s="2">
        <f t="shared" si="3"/>
        <v>2019</v>
      </c>
      <c r="C242" s="3">
        <v>43678</v>
      </c>
      <c r="D242" s="4">
        <v>43706</v>
      </c>
      <c r="E242" s="2" t="s">
        <v>22</v>
      </c>
      <c r="F242" s="2" t="s">
        <v>12</v>
      </c>
      <c r="G242" s="2" t="s">
        <v>17</v>
      </c>
      <c r="H242" s="2">
        <v>29</v>
      </c>
      <c r="I242" s="2">
        <v>498</v>
      </c>
      <c r="J242" s="5">
        <v>124500</v>
      </c>
      <c r="K242" s="5">
        <v>33615</v>
      </c>
    </row>
    <row r="243" spans="1:11" x14ac:dyDescent="0.25">
      <c r="A243" s="2">
        <v>10242</v>
      </c>
      <c r="B243" s="2">
        <f t="shared" si="3"/>
        <v>2019</v>
      </c>
      <c r="C243" s="3">
        <v>43678</v>
      </c>
      <c r="D243" s="4">
        <v>43707</v>
      </c>
      <c r="E243" s="2" t="s">
        <v>22</v>
      </c>
      <c r="F243" s="2" t="s">
        <v>18</v>
      </c>
      <c r="G243" s="2" t="s">
        <v>20</v>
      </c>
      <c r="H243" s="2">
        <v>7</v>
      </c>
      <c r="I243" s="2">
        <v>111</v>
      </c>
      <c r="J243" s="5">
        <v>94350</v>
      </c>
      <c r="K243" s="5">
        <v>23587.5</v>
      </c>
    </row>
    <row r="244" spans="1:11" x14ac:dyDescent="0.25">
      <c r="A244" s="2">
        <v>10243</v>
      </c>
      <c r="B244" s="2">
        <f t="shared" si="3"/>
        <v>2019</v>
      </c>
      <c r="C244" s="3">
        <v>43678</v>
      </c>
      <c r="D244" s="4">
        <v>43708</v>
      </c>
      <c r="E244" s="2" t="s">
        <v>25</v>
      </c>
      <c r="F244" s="2" t="s">
        <v>21</v>
      </c>
      <c r="G244" s="2" t="s">
        <v>13</v>
      </c>
      <c r="H244" s="2">
        <v>8</v>
      </c>
      <c r="I244" s="2">
        <v>446</v>
      </c>
      <c r="J244" s="5">
        <v>334500</v>
      </c>
      <c r="K244" s="5">
        <v>43485</v>
      </c>
    </row>
    <row r="245" spans="1:11" x14ac:dyDescent="0.25">
      <c r="A245" s="2">
        <v>10244</v>
      </c>
      <c r="B245" s="2">
        <f t="shared" si="3"/>
        <v>2019</v>
      </c>
      <c r="C245" s="3">
        <v>43709</v>
      </c>
      <c r="D245" s="4">
        <v>43709</v>
      </c>
      <c r="E245" s="2" t="s">
        <v>11</v>
      </c>
      <c r="F245" s="2" t="s">
        <v>21</v>
      </c>
      <c r="G245" s="2" t="s">
        <v>20</v>
      </c>
      <c r="H245" s="2">
        <v>13</v>
      </c>
      <c r="I245" s="2">
        <v>142</v>
      </c>
      <c r="J245" s="5">
        <v>120700</v>
      </c>
      <c r="K245" s="5">
        <v>39831</v>
      </c>
    </row>
    <row r="246" spans="1:11" x14ac:dyDescent="0.25">
      <c r="A246" s="2">
        <v>10245</v>
      </c>
      <c r="B246" s="2">
        <f t="shared" si="3"/>
        <v>2019</v>
      </c>
      <c r="C246" s="3">
        <v>43709</v>
      </c>
      <c r="D246" s="4">
        <v>43710</v>
      </c>
      <c r="E246" s="2" t="s">
        <v>19</v>
      </c>
      <c r="F246" s="2" t="s">
        <v>12</v>
      </c>
      <c r="G246" s="2" t="s">
        <v>13</v>
      </c>
      <c r="H246" s="2">
        <v>10</v>
      </c>
      <c r="I246" s="2">
        <v>100</v>
      </c>
      <c r="J246" s="5">
        <v>75000</v>
      </c>
      <c r="K246" s="5">
        <v>9750</v>
      </c>
    </row>
    <row r="247" spans="1:11" x14ac:dyDescent="0.25">
      <c r="A247" s="2">
        <v>10246</v>
      </c>
      <c r="B247" s="2">
        <f t="shared" si="3"/>
        <v>2019</v>
      </c>
      <c r="C247" s="3">
        <v>43709</v>
      </c>
      <c r="D247" s="4">
        <v>43711</v>
      </c>
      <c r="E247" s="2" t="s">
        <v>22</v>
      </c>
      <c r="F247" s="2" t="s">
        <v>24</v>
      </c>
      <c r="G247" s="2" t="s">
        <v>20</v>
      </c>
      <c r="H247" s="2">
        <v>37</v>
      </c>
      <c r="I247" s="2">
        <v>381</v>
      </c>
      <c r="J247" s="5">
        <v>323850</v>
      </c>
      <c r="K247" s="5">
        <v>45339.000000000007</v>
      </c>
    </row>
    <row r="248" spans="1:11" x14ac:dyDescent="0.25">
      <c r="A248" s="2">
        <v>10247</v>
      </c>
      <c r="B248" s="2">
        <f t="shared" si="3"/>
        <v>2019</v>
      </c>
      <c r="C248" s="3">
        <v>43709</v>
      </c>
      <c r="D248" s="4">
        <v>43712</v>
      </c>
      <c r="E248" s="2" t="s">
        <v>22</v>
      </c>
      <c r="F248" s="2" t="s">
        <v>18</v>
      </c>
      <c r="G248" s="2" t="s">
        <v>15</v>
      </c>
      <c r="H248" s="2">
        <v>8</v>
      </c>
      <c r="I248" s="2">
        <v>192</v>
      </c>
      <c r="J248" s="5">
        <v>96000</v>
      </c>
      <c r="K248" s="5">
        <v>25920</v>
      </c>
    </row>
    <row r="249" spans="1:11" x14ac:dyDescent="0.25">
      <c r="A249" s="2">
        <v>10248</v>
      </c>
      <c r="B249" s="2">
        <f t="shared" si="3"/>
        <v>2019</v>
      </c>
      <c r="C249" s="3">
        <v>43709</v>
      </c>
      <c r="D249" s="4">
        <v>43713</v>
      </c>
      <c r="E249" s="2" t="s">
        <v>11</v>
      </c>
      <c r="F249" s="2" t="s">
        <v>16</v>
      </c>
      <c r="G249" s="2" t="s">
        <v>20</v>
      </c>
      <c r="H249" s="2">
        <v>18</v>
      </c>
      <c r="I249" s="2">
        <v>182</v>
      </c>
      <c r="J249" s="5">
        <v>154700</v>
      </c>
      <c r="K249" s="5">
        <v>18564</v>
      </c>
    </row>
    <row r="250" spans="1:11" x14ac:dyDescent="0.25">
      <c r="A250" s="2">
        <v>10249</v>
      </c>
      <c r="B250" s="2">
        <f t="shared" si="3"/>
        <v>2019</v>
      </c>
      <c r="C250" s="3">
        <v>43709</v>
      </c>
      <c r="D250" s="4">
        <v>43714</v>
      </c>
      <c r="E250" s="2" t="s">
        <v>14</v>
      </c>
      <c r="F250" s="2" t="s">
        <v>12</v>
      </c>
      <c r="G250" s="2" t="s">
        <v>23</v>
      </c>
      <c r="H250" s="2">
        <v>9</v>
      </c>
      <c r="I250" s="2">
        <v>374</v>
      </c>
      <c r="J250" s="5">
        <v>130900</v>
      </c>
      <c r="K250" s="5">
        <v>28798</v>
      </c>
    </row>
    <row r="251" spans="1:11" x14ac:dyDescent="0.25">
      <c r="A251" s="2">
        <v>10250</v>
      </c>
      <c r="B251" s="2">
        <f t="shared" si="3"/>
        <v>2019</v>
      </c>
      <c r="C251" s="3">
        <v>43709</v>
      </c>
      <c r="D251" s="4">
        <v>43715</v>
      </c>
      <c r="E251" s="2" t="s">
        <v>22</v>
      </c>
      <c r="F251" s="2" t="s">
        <v>18</v>
      </c>
      <c r="G251" s="2" t="s">
        <v>20</v>
      </c>
      <c r="H251" s="2">
        <v>1</v>
      </c>
      <c r="I251" s="2">
        <v>12</v>
      </c>
      <c r="J251" s="5">
        <v>10200</v>
      </c>
      <c r="K251" s="5">
        <v>3978</v>
      </c>
    </row>
    <row r="252" spans="1:11" x14ac:dyDescent="0.25">
      <c r="A252" s="2">
        <v>10251</v>
      </c>
      <c r="B252" s="2">
        <f t="shared" si="3"/>
        <v>2019</v>
      </c>
      <c r="C252" s="3">
        <v>43709</v>
      </c>
      <c r="D252" s="4">
        <v>43716</v>
      </c>
      <c r="E252" s="2" t="s">
        <v>11</v>
      </c>
      <c r="F252" s="2" t="s">
        <v>16</v>
      </c>
      <c r="G252" s="2" t="s">
        <v>20</v>
      </c>
      <c r="H252" s="2">
        <v>15</v>
      </c>
      <c r="I252" s="2">
        <v>314</v>
      </c>
      <c r="J252" s="5">
        <v>266900</v>
      </c>
      <c r="K252" s="5">
        <v>106760</v>
      </c>
    </row>
    <row r="253" spans="1:11" x14ac:dyDescent="0.25">
      <c r="A253" s="2">
        <v>10252</v>
      </c>
      <c r="B253" s="2">
        <f t="shared" si="3"/>
        <v>2019</v>
      </c>
      <c r="C253" s="3">
        <v>43709</v>
      </c>
      <c r="D253" s="4">
        <v>43717</v>
      </c>
      <c r="E253" s="2" t="s">
        <v>25</v>
      </c>
      <c r="F253" s="2" t="s">
        <v>24</v>
      </c>
      <c r="G253" s="2" t="s">
        <v>17</v>
      </c>
      <c r="H253" s="2">
        <v>15</v>
      </c>
      <c r="I253" s="2">
        <v>278</v>
      </c>
      <c r="J253" s="5">
        <v>69500</v>
      </c>
      <c r="K253" s="5">
        <v>13205</v>
      </c>
    </row>
    <row r="254" spans="1:11" x14ac:dyDescent="0.25">
      <c r="A254" s="2">
        <v>10253</v>
      </c>
      <c r="B254" s="2">
        <f t="shared" si="3"/>
        <v>2019</v>
      </c>
      <c r="C254" s="3">
        <v>43709</v>
      </c>
      <c r="D254" s="4">
        <v>43718</v>
      </c>
      <c r="E254" s="2" t="s">
        <v>25</v>
      </c>
      <c r="F254" s="2" t="s">
        <v>16</v>
      </c>
      <c r="G254" s="2" t="s">
        <v>13</v>
      </c>
      <c r="H254" s="2">
        <v>22</v>
      </c>
      <c r="I254" s="2">
        <v>489</v>
      </c>
      <c r="J254" s="5">
        <v>366750</v>
      </c>
      <c r="K254" s="5">
        <v>84352.5</v>
      </c>
    </row>
    <row r="255" spans="1:11" x14ac:dyDescent="0.25">
      <c r="A255" s="2">
        <v>10254</v>
      </c>
      <c r="B255" s="2">
        <f t="shared" si="3"/>
        <v>2019</v>
      </c>
      <c r="C255" s="3">
        <v>43709</v>
      </c>
      <c r="D255" s="4">
        <v>43719</v>
      </c>
      <c r="E255" s="2" t="s">
        <v>11</v>
      </c>
      <c r="F255" s="2" t="s">
        <v>21</v>
      </c>
      <c r="G255" s="2" t="s">
        <v>17</v>
      </c>
      <c r="H255" s="2">
        <v>4</v>
      </c>
      <c r="I255" s="2">
        <v>168</v>
      </c>
      <c r="J255" s="5">
        <v>42000</v>
      </c>
      <c r="K255" s="5">
        <v>8400</v>
      </c>
    </row>
    <row r="256" spans="1:11" x14ac:dyDescent="0.25">
      <c r="A256" s="2">
        <v>10255</v>
      </c>
      <c r="B256" s="2">
        <f t="shared" si="3"/>
        <v>2019</v>
      </c>
      <c r="C256" s="3">
        <v>43709</v>
      </c>
      <c r="D256" s="4">
        <v>43720</v>
      </c>
      <c r="E256" s="2" t="s">
        <v>25</v>
      </c>
      <c r="F256" s="2" t="s">
        <v>18</v>
      </c>
      <c r="G256" s="2" t="s">
        <v>23</v>
      </c>
      <c r="H256" s="2">
        <v>24</v>
      </c>
      <c r="I256" s="2">
        <v>244</v>
      </c>
      <c r="J256" s="5">
        <v>85400</v>
      </c>
      <c r="K256" s="5">
        <v>11956.000000000002</v>
      </c>
    </row>
    <row r="257" spans="1:11" x14ac:dyDescent="0.25">
      <c r="A257" s="2">
        <v>10256</v>
      </c>
      <c r="B257" s="2">
        <f t="shared" si="3"/>
        <v>2019</v>
      </c>
      <c r="C257" s="3">
        <v>43709</v>
      </c>
      <c r="D257" s="4">
        <v>43721</v>
      </c>
      <c r="E257" s="2" t="s">
        <v>19</v>
      </c>
      <c r="F257" s="2" t="s">
        <v>12</v>
      </c>
      <c r="G257" s="2" t="s">
        <v>20</v>
      </c>
      <c r="H257" s="2">
        <v>5</v>
      </c>
      <c r="I257" s="2">
        <v>108</v>
      </c>
      <c r="J257" s="5">
        <v>91800</v>
      </c>
      <c r="K257" s="5">
        <v>37638</v>
      </c>
    </row>
    <row r="258" spans="1:11" x14ac:dyDescent="0.25">
      <c r="A258" s="2">
        <v>10257</v>
      </c>
      <c r="B258" s="2">
        <f t="shared" si="3"/>
        <v>2019</v>
      </c>
      <c r="C258" s="3">
        <v>43709</v>
      </c>
      <c r="D258" s="4">
        <v>43722</v>
      </c>
      <c r="E258" s="2" t="s">
        <v>25</v>
      </c>
      <c r="F258" s="2" t="s">
        <v>21</v>
      </c>
      <c r="G258" s="2" t="s">
        <v>23</v>
      </c>
      <c r="H258" s="2">
        <v>5</v>
      </c>
      <c r="I258" s="2">
        <v>447</v>
      </c>
      <c r="J258" s="5">
        <v>156450</v>
      </c>
      <c r="K258" s="5">
        <v>54757.5</v>
      </c>
    </row>
    <row r="259" spans="1:11" x14ac:dyDescent="0.25">
      <c r="A259" s="2">
        <v>10258</v>
      </c>
      <c r="B259" s="2">
        <f t="shared" ref="B259:B322" si="4">YEAR(C259)</f>
        <v>2019</v>
      </c>
      <c r="C259" s="3">
        <v>43709</v>
      </c>
      <c r="D259" s="4">
        <v>43723</v>
      </c>
      <c r="E259" s="2" t="s">
        <v>19</v>
      </c>
      <c r="F259" s="2" t="s">
        <v>12</v>
      </c>
      <c r="G259" s="2" t="s">
        <v>17</v>
      </c>
      <c r="H259" s="2">
        <v>2</v>
      </c>
      <c r="I259" s="2">
        <v>24</v>
      </c>
      <c r="J259" s="5">
        <v>6000</v>
      </c>
      <c r="K259" s="5">
        <v>1380</v>
      </c>
    </row>
    <row r="260" spans="1:11" x14ac:dyDescent="0.25">
      <c r="A260" s="2">
        <v>10259</v>
      </c>
      <c r="B260" s="2">
        <f t="shared" si="4"/>
        <v>2019</v>
      </c>
      <c r="C260" s="3">
        <v>43709</v>
      </c>
      <c r="D260" s="4">
        <v>43724</v>
      </c>
      <c r="E260" s="2" t="s">
        <v>25</v>
      </c>
      <c r="F260" s="2" t="s">
        <v>18</v>
      </c>
      <c r="G260" s="2" t="s">
        <v>23</v>
      </c>
      <c r="H260" s="2">
        <v>9</v>
      </c>
      <c r="I260" s="2">
        <v>245</v>
      </c>
      <c r="J260" s="5">
        <v>85750</v>
      </c>
      <c r="K260" s="5">
        <v>18007.5</v>
      </c>
    </row>
    <row r="261" spans="1:11" x14ac:dyDescent="0.25">
      <c r="A261" s="2">
        <v>10260</v>
      </c>
      <c r="B261" s="2">
        <f t="shared" si="4"/>
        <v>2019</v>
      </c>
      <c r="C261" s="3">
        <v>43709</v>
      </c>
      <c r="D261" s="4">
        <v>43725</v>
      </c>
      <c r="E261" s="2" t="s">
        <v>14</v>
      </c>
      <c r="F261" s="2" t="s">
        <v>12</v>
      </c>
      <c r="G261" s="2" t="s">
        <v>20</v>
      </c>
      <c r="H261" s="2">
        <v>5</v>
      </c>
      <c r="I261" s="2">
        <v>243</v>
      </c>
      <c r="J261" s="5">
        <v>206550</v>
      </c>
      <c r="K261" s="5">
        <v>30982.5</v>
      </c>
    </row>
    <row r="262" spans="1:11" x14ac:dyDescent="0.25">
      <c r="A262" s="2">
        <v>10261</v>
      </c>
      <c r="B262" s="2">
        <f t="shared" si="4"/>
        <v>2019</v>
      </c>
      <c r="C262" s="3">
        <v>43709</v>
      </c>
      <c r="D262" s="4">
        <v>43726</v>
      </c>
      <c r="E262" s="2" t="s">
        <v>25</v>
      </c>
      <c r="F262" s="2" t="s">
        <v>21</v>
      </c>
      <c r="G262" s="2" t="s">
        <v>13</v>
      </c>
      <c r="H262" s="2">
        <v>8</v>
      </c>
      <c r="I262" s="2">
        <v>174</v>
      </c>
      <c r="J262" s="5">
        <v>130500</v>
      </c>
      <c r="K262" s="5">
        <v>26100</v>
      </c>
    </row>
    <row r="263" spans="1:11" x14ac:dyDescent="0.25">
      <c r="A263" s="2">
        <v>10262</v>
      </c>
      <c r="B263" s="2">
        <f t="shared" si="4"/>
        <v>2019</v>
      </c>
      <c r="C263" s="3">
        <v>43709</v>
      </c>
      <c r="D263" s="4">
        <v>43727</v>
      </c>
      <c r="E263" s="2" t="s">
        <v>11</v>
      </c>
      <c r="F263" s="2" t="s">
        <v>18</v>
      </c>
      <c r="G263" s="2" t="s">
        <v>13</v>
      </c>
      <c r="H263" s="2">
        <v>22</v>
      </c>
      <c r="I263" s="2">
        <v>288</v>
      </c>
      <c r="J263" s="5">
        <v>216000</v>
      </c>
      <c r="K263" s="5">
        <v>51840</v>
      </c>
    </row>
    <row r="264" spans="1:11" x14ac:dyDescent="0.25">
      <c r="A264" s="2">
        <v>10263</v>
      </c>
      <c r="B264" s="2">
        <f t="shared" si="4"/>
        <v>2019</v>
      </c>
      <c r="C264" s="3">
        <v>43709</v>
      </c>
      <c r="D264" s="4">
        <v>43728</v>
      </c>
      <c r="E264" s="2" t="s">
        <v>19</v>
      </c>
      <c r="F264" s="2" t="s">
        <v>21</v>
      </c>
      <c r="G264" s="2" t="s">
        <v>17</v>
      </c>
      <c r="H264" s="2">
        <v>8</v>
      </c>
      <c r="I264" s="2">
        <v>111</v>
      </c>
      <c r="J264" s="5">
        <v>27750</v>
      </c>
      <c r="K264" s="5">
        <v>12487.5</v>
      </c>
    </row>
    <row r="265" spans="1:11" x14ac:dyDescent="0.25">
      <c r="A265" s="2">
        <v>10264</v>
      </c>
      <c r="B265" s="2">
        <f t="shared" si="4"/>
        <v>2019</v>
      </c>
      <c r="C265" s="3">
        <v>43709</v>
      </c>
      <c r="D265" s="4">
        <v>43729</v>
      </c>
      <c r="E265" s="2" t="s">
        <v>22</v>
      </c>
      <c r="F265" s="2" t="s">
        <v>18</v>
      </c>
      <c r="G265" s="2" t="s">
        <v>17</v>
      </c>
      <c r="H265" s="2">
        <v>8</v>
      </c>
      <c r="I265" s="2">
        <v>106</v>
      </c>
      <c r="J265" s="5">
        <v>26500</v>
      </c>
      <c r="K265" s="5">
        <v>4505</v>
      </c>
    </row>
    <row r="266" spans="1:11" x14ac:dyDescent="0.25">
      <c r="A266" s="2">
        <v>10265</v>
      </c>
      <c r="B266" s="2">
        <f t="shared" si="4"/>
        <v>2019</v>
      </c>
      <c r="C266" s="3">
        <v>43709</v>
      </c>
      <c r="D266" s="4">
        <v>43730</v>
      </c>
      <c r="E266" s="2" t="s">
        <v>22</v>
      </c>
      <c r="F266" s="2" t="s">
        <v>16</v>
      </c>
      <c r="G266" s="2" t="s">
        <v>13</v>
      </c>
      <c r="H266" s="2">
        <v>26</v>
      </c>
      <c r="I266" s="2">
        <v>367</v>
      </c>
      <c r="J266" s="5">
        <v>275250</v>
      </c>
      <c r="K266" s="5">
        <v>46792.5</v>
      </c>
    </row>
    <row r="267" spans="1:11" x14ac:dyDescent="0.25">
      <c r="A267" s="2">
        <v>10266</v>
      </c>
      <c r="B267" s="2">
        <f t="shared" si="4"/>
        <v>2019</v>
      </c>
      <c r="C267" s="3">
        <v>43709</v>
      </c>
      <c r="D267" s="4">
        <v>43731</v>
      </c>
      <c r="E267" s="2" t="s">
        <v>25</v>
      </c>
      <c r="F267" s="2" t="s">
        <v>16</v>
      </c>
      <c r="G267" s="2" t="s">
        <v>13</v>
      </c>
      <c r="H267" s="2">
        <v>5</v>
      </c>
      <c r="I267" s="2">
        <v>126</v>
      </c>
      <c r="J267" s="5">
        <v>94500</v>
      </c>
      <c r="K267" s="5">
        <v>22680</v>
      </c>
    </row>
    <row r="268" spans="1:11" x14ac:dyDescent="0.25">
      <c r="A268" s="2">
        <v>10267</v>
      </c>
      <c r="B268" s="2">
        <f t="shared" si="4"/>
        <v>2019</v>
      </c>
      <c r="C268" s="3">
        <v>43709</v>
      </c>
      <c r="D268" s="4">
        <v>43732</v>
      </c>
      <c r="E268" s="2" t="s">
        <v>14</v>
      </c>
      <c r="F268" s="2" t="s">
        <v>16</v>
      </c>
      <c r="G268" s="2" t="s">
        <v>15</v>
      </c>
      <c r="H268" s="2">
        <v>1</v>
      </c>
      <c r="I268" s="2">
        <v>17</v>
      </c>
      <c r="J268" s="5">
        <v>8500</v>
      </c>
      <c r="K268" s="5">
        <v>3060</v>
      </c>
    </row>
    <row r="269" spans="1:11" x14ac:dyDescent="0.25">
      <c r="A269" s="2">
        <v>10268</v>
      </c>
      <c r="B269" s="2">
        <f t="shared" si="4"/>
        <v>2019</v>
      </c>
      <c r="C269" s="3">
        <v>43709</v>
      </c>
      <c r="D269" s="4">
        <v>43733</v>
      </c>
      <c r="E269" s="2" t="s">
        <v>19</v>
      </c>
      <c r="F269" s="2" t="s">
        <v>12</v>
      </c>
      <c r="G269" s="2" t="s">
        <v>17</v>
      </c>
      <c r="H269" s="2">
        <v>4</v>
      </c>
      <c r="I269" s="2">
        <v>345</v>
      </c>
      <c r="J269" s="5">
        <v>86250</v>
      </c>
      <c r="K269" s="5">
        <v>27600</v>
      </c>
    </row>
    <row r="270" spans="1:11" x14ac:dyDescent="0.25">
      <c r="A270" s="2">
        <v>10269</v>
      </c>
      <c r="B270" s="2">
        <f t="shared" si="4"/>
        <v>2019</v>
      </c>
      <c r="C270" s="3">
        <v>43709</v>
      </c>
      <c r="D270" s="4">
        <v>43734</v>
      </c>
      <c r="E270" s="2" t="s">
        <v>25</v>
      </c>
      <c r="F270" s="2" t="s">
        <v>24</v>
      </c>
      <c r="G270" s="2" t="s">
        <v>13</v>
      </c>
      <c r="H270" s="2">
        <v>8</v>
      </c>
      <c r="I270" s="2">
        <v>157</v>
      </c>
      <c r="J270" s="5">
        <v>117750</v>
      </c>
      <c r="K270" s="5">
        <v>52987.5</v>
      </c>
    </row>
    <row r="271" spans="1:11" x14ac:dyDescent="0.25">
      <c r="A271" s="2">
        <v>10270</v>
      </c>
      <c r="B271" s="2">
        <f t="shared" si="4"/>
        <v>2019</v>
      </c>
      <c r="C271" s="3">
        <v>43709</v>
      </c>
      <c r="D271" s="4">
        <v>43735</v>
      </c>
      <c r="E271" s="2" t="s">
        <v>22</v>
      </c>
      <c r="F271" s="2" t="s">
        <v>18</v>
      </c>
      <c r="G271" s="2" t="s">
        <v>20</v>
      </c>
      <c r="H271" s="2">
        <v>24</v>
      </c>
      <c r="I271" s="2">
        <v>319</v>
      </c>
      <c r="J271" s="5">
        <v>271150</v>
      </c>
      <c r="K271" s="5">
        <v>65076</v>
      </c>
    </row>
    <row r="272" spans="1:11" x14ac:dyDescent="0.25">
      <c r="A272" s="2">
        <v>10271</v>
      </c>
      <c r="B272" s="2">
        <f t="shared" si="4"/>
        <v>2019</v>
      </c>
      <c r="C272" s="3">
        <v>43709</v>
      </c>
      <c r="D272" s="4">
        <v>43736</v>
      </c>
      <c r="E272" s="2" t="s">
        <v>25</v>
      </c>
      <c r="F272" s="2" t="s">
        <v>18</v>
      </c>
      <c r="G272" s="2" t="s">
        <v>17</v>
      </c>
      <c r="H272" s="2">
        <v>7</v>
      </c>
      <c r="I272" s="2">
        <v>96</v>
      </c>
      <c r="J272" s="5">
        <v>24000</v>
      </c>
      <c r="K272" s="5">
        <v>3600</v>
      </c>
    </row>
    <row r="273" spans="1:11" x14ac:dyDescent="0.25">
      <c r="A273" s="2">
        <v>10272</v>
      </c>
      <c r="B273" s="2">
        <f t="shared" si="4"/>
        <v>2019</v>
      </c>
      <c r="C273" s="3">
        <v>43709</v>
      </c>
      <c r="D273" s="4">
        <v>43737</v>
      </c>
      <c r="E273" s="2" t="s">
        <v>14</v>
      </c>
      <c r="F273" s="2" t="s">
        <v>12</v>
      </c>
      <c r="G273" s="2" t="s">
        <v>20</v>
      </c>
      <c r="H273" s="2">
        <v>3</v>
      </c>
      <c r="I273" s="2">
        <v>47</v>
      </c>
      <c r="J273" s="5">
        <v>39950</v>
      </c>
      <c r="K273" s="5">
        <v>14781.5</v>
      </c>
    </row>
    <row r="274" spans="1:11" x14ac:dyDescent="0.25">
      <c r="A274" s="2">
        <v>10273</v>
      </c>
      <c r="B274" s="2">
        <f t="shared" si="4"/>
        <v>2019</v>
      </c>
      <c r="C274" s="3">
        <v>43709</v>
      </c>
      <c r="D274" s="4">
        <v>43738</v>
      </c>
      <c r="E274" s="2" t="s">
        <v>22</v>
      </c>
      <c r="F274" s="2" t="s">
        <v>21</v>
      </c>
      <c r="G274" s="2" t="s">
        <v>20</v>
      </c>
      <c r="H274" s="2">
        <v>9</v>
      </c>
      <c r="I274" s="2">
        <v>438</v>
      </c>
      <c r="J274" s="5">
        <v>372300</v>
      </c>
      <c r="K274" s="5">
        <v>122859</v>
      </c>
    </row>
    <row r="275" spans="1:11" x14ac:dyDescent="0.25">
      <c r="A275" s="2">
        <v>10274</v>
      </c>
      <c r="B275" s="2">
        <f t="shared" si="4"/>
        <v>2019</v>
      </c>
      <c r="C275" s="3">
        <v>43739</v>
      </c>
      <c r="D275" s="4">
        <v>43739</v>
      </c>
      <c r="E275" s="2" t="s">
        <v>14</v>
      </c>
      <c r="F275" s="2" t="s">
        <v>21</v>
      </c>
      <c r="G275" s="2" t="s">
        <v>15</v>
      </c>
      <c r="H275" s="2">
        <v>19</v>
      </c>
      <c r="I275" s="2">
        <v>216</v>
      </c>
      <c r="J275" s="5">
        <v>108000</v>
      </c>
      <c r="K275" s="5">
        <v>43200</v>
      </c>
    </row>
    <row r="276" spans="1:11" x14ac:dyDescent="0.25">
      <c r="A276" s="2">
        <v>10275</v>
      </c>
      <c r="B276" s="2">
        <f t="shared" si="4"/>
        <v>2019</v>
      </c>
      <c r="C276" s="3">
        <v>43739</v>
      </c>
      <c r="D276" s="4">
        <v>43740</v>
      </c>
      <c r="E276" s="2" t="s">
        <v>22</v>
      </c>
      <c r="F276" s="2" t="s">
        <v>24</v>
      </c>
      <c r="G276" s="2" t="s">
        <v>17</v>
      </c>
      <c r="H276" s="2">
        <v>14</v>
      </c>
      <c r="I276" s="2">
        <v>153</v>
      </c>
      <c r="J276" s="5">
        <v>38250</v>
      </c>
      <c r="K276" s="5">
        <v>5737.5</v>
      </c>
    </row>
    <row r="277" spans="1:11" x14ac:dyDescent="0.25">
      <c r="A277" s="2">
        <v>10276</v>
      </c>
      <c r="B277" s="2">
        <f t="shared" si="4"/>
        <v>2019</v>
      </c>
      <c r="C277" s="3">
        <v>43739</v>
      </c>
      <c r="D277" s="4">
        <v>43741</v>
      </c>
      <c r="E277" s="2" t="s">
        <v>22</v>
      </c>
      <c r="F277" s="2" t="s">
        <v>18</v>
      </c>
      <c r="G277" s="2" t="s">
        <v>20</v>
      </c>
      <c r="H277" s="2">
        <v>32</v>
      </c>
      <c r="I277" s="2">
        <v>330</v>
      </c>
      <c r="J277" s="5">
        <v>280500</v>
      </c>
      <c r="K277" s="5">
        <v>106590</v>
      </c>
    </row>
    <row r="278" spans="1:11" x14ac:dyDescent="0.25">
      <c r="A278" s="2">
        <v>10277</v>
      </c>
      <c r="B278" s="2">
        <f t="shared" si="4"/>
        <v>2019</v>
      </c>
      <c r="C278" s="3">
        <v>43739</v>
      </c>
      <c r="D278" s="4">
        <v>43742</v>
      </c>
      <c r="E278" s="2" t="s">
        <v>11</v>
      </c>
      <c r="F278" s="2" t="s">
        <v>18</v>
      </c>
      <c r="G278" s="2" t="s">
        <v>20</v>
      </c>
      <c r="H278" s="2">
        <v>38</v>
      </c>
      <c r="I278" s="2">
        <v>385</v>
      </c>
      <c r="J278" s="5">
        <v>327250</v>
      </c>
      <c r="K278" s="5">
        <v>143990</v>
      </c>
    </row>
    <row r="279" spans="1:11" x14ac:dyDescent="0.25">
      <c r="A279" s="2">
        <v>10278</v>
      </c>
      <c r="B279" s="2">
        <f t="shared" si="4"/>
        <v>2019</v>
      </c>
      <c r="C279" s="3">
        <v>43739</v>
      </c>
      <c r="D279" s="4">
        <v>43743</v>
      </c>
      <c r="E279" s="2" t="s">
        <v>22</v>
      </c>
      <c r="F279" s="2" t="s">
        <v>12</v>
      </c>
      <c r="G279" s="2" t="s">
        <v>15</v>
      </c>
      <c r="H279" s="2">
        <v>7</v>
      </c>
      <c r="I279" s="2">
        <v>184</v>
      </c>
      <c r="J279" s="5">
        <v>92000</v>
      </c>
      <c r="K279" s="5">
        <v>18400</v>
      </c>
    </row>
    <row r="280" spans="1:11" x14ac:dyDescent="0.25">
      <c r="A280" s="2">
        <v>10279</v>
      </c>
      <c r="B280" s="2">
        <f t="shared" si="4"/>
        <v>2019</v>
      </c>
      <c r="C280" s="3">
        <v>43739</v>
      </c>
      <c r="D280" s="4">
        <v>43744</v>
      </c>
      <c r="E280" s="2" t="s">
        <v>25</v>
      </c>
      <c r="F280" s="2" t="s">
        <v>16</v>
      </c>
      <c r="G280" s="2" t="s">
        <v>20</v>
      </c>
      <c r="H280" s="2">
        <v>1</v>
      </c>
      <c r="I280" s="2">
        <v>28</v>
      </c>
      <c r="J280" s="5">
        <v>23800</v>
      </c>
      <c r="K280" s="5">
        <v>5236</v>
      </c>
    </row>
    <row r="281" spans="1:11" x14ac:dyDescent="0.25">
      <c r="A281" s="2">
        <v>10280</v>
      </c>
      <c r="B281" s="2">
        <f t="shared" si="4"/>
        <v>2019</v>
      </c>
      <c r="C281" s="3">
        <v>43739</v>
      </c>
      <c r="D281" s="4">
        <v>43745</v>
      </c>
      <c r="E281" s="2" t="s">
        <v>14</v>
      </c>
      <c r="F281" s="2" t="s">
        <v>16</v>
      </c>
      <c r="G281" s="2" t="s">
        <v>13</v>
      </c>
      <c r="H281" s="2">
        <v>2</v>
      </c>
      <c r="I281" s="2">
        <v>80</v>
      </c>
      <c r="J281" s="5">
        <v>60000</v>
      </c>
      <c r="K281" s="5">
        <v>6000</v>
      </c>
    </row>
    <row r="282" spans="1:11" x14ac:dyDescent="0.25">
      <c r="A282" s="2">
        <v>10281</v>
      </c>
      <c r="B282" s="2">
        <f t="shared" si="4"/>
        <v>2019</v>
      </c>
      <c r="C282" s="3">
        <v>43739</v>
      </c>
      <c r="D282" s="4">
        <v>43746</v>
      </c>
      <c r="E282" s="2" t="s">
        <v>25</v>
      </c>
      <c r="F282" s="2" t="s">
        <v>12</v>
      </c>
      <c r="G282" s="2" t="s">
        <v>17</v>
      </c>
      <c r="H282" s="2">
        <v>20</v>
      </c>
      <c r="I282" s="2">
        <v>286</v>
      </c>
      <c r="J282" s="5">
        <v>71500</v>
      </c>
      <c r="K282" s="5">
        <v>20020.000000000004</v>
      </c>
    </row>
    <row r="283" spans="1:11" x14ac:dyDescent="0.25">
      <c r="A283" s="2">
        <v>10282</v>
      </c>
      <c r="B283" s="2">
        <f t="shared" si="4"/>
        <v>2019</v>
      </c>
      <c r="C283" s="3">
        <v>43739</v>
      </c>
      <c r="D283" s="4">
        <v>43747</v>
      </c>
      <c r="E283" s="2" t="s">
        <v>19</v>
      </c>
      <c r="F283" s="2" t="s">
        <v>24</v>
      </c>
      <c r="G283" s="2" t="s">
        <v>23</v>
      </c>
      <c r="H283" s="2">
        <v>5</v>
      </c>
      <c r="I283" s="2">
        <v>160</v>
      </c>
      <c r="J283" s="5">
        <v>56000</v>
      </c>
      <c r="K283" s="5">
        <v>6720</v>
      </c>
    </row>
    <row r="284" spans="1:11" x14ac:dyDescent="0.25">
      <c r="A284" s="2">
        <v>10283</v>
      </c>
      <c r="B284" s="2">
        <f t="shared" si="4"/>
        <v>2019</v>
      </c>
      <c r="C284" s="3">
        <v>43739</v>
      </c>
      <c r="D284" s="4">
        <v>43748</v>
      </c>
      <c r="E284" s="2" t="s">
        <v>19</v>
      </c>
      <c r="F284" s="2" t="s">
        <v>21</v>
      </c>
      <c r="G284" s="2" t="s">
        <v>13</v>
      </c>
      <c r="H284" s="2">
        <v>28</v>
      </c>
      <c r="I284" s="2">
        <v>284</v>
      </c>
      <c r="J284" s="5">
        <v>213000</v>
      </c>
      <c r="K284" s="5">
        <v>36210</v>
      </c>
    </row>
    <row r="285" spans="1:11" x14ac:dyDescent="0.25">
      <c r="A285" s="2">
        <v>10284</v>
      </c>
      <c r="B285" s="2">
        <f t="shared" si="4"/>
        <v>2019</v>
      </c>
      <c r="C285" s="3">
        <v>43739</v>
      </c>
      <c r="D285" s="4">
        <v>43749</v>
      </c>
      <c r="E285" s="2" t="s">
        <v>25</v>
      </c>
      <c r="F285" s="2" t="s">
        <v>21</v>
      </c>
      <c r="G285" s="2" t="s">
        <v>15</v>
      </c>
      <c r="H285" s="2">
        <v>33</v>
      </c>
      <c r="I285" s="2">
        <v>447</v>
      </c>
      <c r="J285" s="5">
        <v>223500</v>
      </c>
      <c r="K285" s="5">
        <v>31290.000000000004</v>
      </c>
    </row>
    <row r="286" spans="1:11" x14ac:dyDescent="0.25">
      <c r="A286" s="2">
        <v>10285</v>
      </c>
      <c r="B286" s="2">
        <f t="shared" si="4"/>
        <v>2019</v>
      </c>
      <c r="C286" s="3">
        <v>43739</v>
      </c>
      <c r="D286" s="4">
        <v>43750</v>
      </c>
      <c r="E286" s="2" t="s">
        <v>25</v>
      </c>
      <c r="F286" s="2" t="s">
        <v>24</v>
      </c>
      <c r="G286" s="2" t="s">
        <v>17</v>
      </c>
      <c r="H286" s="2">
        <v>12</v>
      </c>
      <c r="I286" s="2">
        <v>144</v>
      </c>
      <c r="J286" s="5">
        <v>36000</v>
      </c>
      <c r="K286" s="5">
        <v>6840</v>
      </c>
    </row>
    <row r="287" spans="1:11" x14ac:dyDescent="0.25">
      <c r="A287" s="2">
        <v>10286</v>
      </c>
      <c r="B287" s="2">
        <f t="shared" si="4"/>
        <v>2019</v>
      </c>
      <c r="C287" s="3">
        <v>43739</v>
      </c>
      <c r="D287" s="4">
        <v>43751</v>
      </c>
      <c r="E287" s="2" t="s">
        <v>11</v>
      </c>
      <c r="F287" s="2" t="s">
        <v>12</v>
      </c>
      <c r="G287" s="2" t="s">
        <v>23</v>
      </c>
      <c r="H287" s="2">
        <v>6</v>
      </c>
      <c r="I287" s="2">
        <v>237</v>
      </c>
      <c r="J287" s="5">
        <v>82950</v>
      </c>
      <c r="K287" s="5">
        <v>36498</v>
      </c>
    </row>
    <row r="288" spans="1:11" x14ac:dyDescent="0.25">
      <c r="A288" s="2">
        <v>10287</v>
      </c>
      <c r="B288" s="2">
        <f t="shared" si="4"/>
        <v>2019</v>
      </c>
      <c r="C288" s="3">
        <v>43739</v>
      </c>
      <c r="D288" s="4">
        <v>43752</v>
      </c>
      <c r="E288" s="2" t="s">
        <v>14</v>
      </c>
      <c r="F288" s="2" t="s">
        <v>24</v>
      </c>
      <c r="G288" s="2" t="s">
        <v>15</v>
      </c>
      <c r="H288" s="2">
        <v>7</v>
      </c>
      <c r="I288" s="2">
        <v>146</v>
      </c>
      <c r="J288" s="5">
        <v>73000</v>
      </c>
      <c r="K288" s="5">
        <v>29930</v>
      </c>
    </row>
    <row r="289" spans="1:11" x14ac:dyDescent="0.25">
      <c r="A289" s="2">
        <v>10288</v>
      </c>
      <c r="B289" s="2">
        <f t="shared" si="4"/>
        <v>2019</v>
      </c>
      <c r="C289" s="3">
        <v>43739</v>
      </c>
      <c r="D289" s="4">
        <v>43753</v>
      </c>
      <c r="E289" s="2" t="s">
        <v>25</v>
      </c>
      <c r="F289" s="2" t="s">
        <v>12</v>
      </c>
      <c r="G289" s="2" t="s">
        <v>17</v>
      </c>
      <c r="H289" s="2">
        <v>6</v>
      </c>
      <c r="I289" s="2">
        <v>366</v>
      </c>
      <c r="J289" s="5">
        <v>91500</v>
      </c>
      <c r="K289" s="5">
        <v>9150</v>
      </c>
    </row>
    <row r="290" spans="1:11" x14ac:dyDescent="0.25">
      <c r="A290" s="2">
        <v>10289</v>
      </c>
      <c r="B290" s="2">
        <f t="shared" si="4"/>
        <v>2019</v>
      </c>
      <c r="C290" s="3">
        <v>43739</v>
      </c>
      <c r="D290" s="4">
        <v>43754</v>
      </c>
      <c r="E290" s="2" t="s">
        <v>11</v>
      </c>
      <c r="F290" s="2" t="s">
        <v>18</v>
      </c>
      <c r="G290" s="2" t="s">
        <v>20</v>
      </c>
      <c r="H290" s="2">
        <v>23</v>
      </c>
      <c r="I290" s="2">
        <v>443</v>
      </c>
      <c r="J290" s="5">
        <v>376550</v>
      </c>
      <c r="K290" s="5">
        <v>105434.00000000001</v>
      </c>
    </row>
    <row r="291" spans="1:11" x14ac:dyDescent="0.25">
      <c r="A291" s="2">
        <v>10290</v>
      </c>
      <c r="B291" s="2">
        <f t="shared" si="4"/>
        <v>2019</v>
      </c>
      <c r="C291" s="3">
        <v>43739</v>
      </c>
      <c r="D291" s="4">
        <v>43755</v>
      </c>
      <c r="E291" s="2" t="s">
        <v>11</v>
      </c>
      <c r="F291" s="2" t="s">
        <v>21</v>
      </c>
      <c r="G291" s="2" t="s">
        <v>17</v>
      </c>
      <c r="H291" s="2">
        <v>13</v>
      </c>
      <c r="I291" s="2">
        <v>371</v>
      </c>
      <c r="J291" s="5">
        <v>92750</v>
      </c>
      <c r="K291" s="5">
        <v>22260</v>
      </c>
    </row>
    <row r="292" spans="1:11" x14ac:dyDescent="0.25">
      <c r="A292" s="2">
        <v>10291</v>
      </c>
      <c r="B292" s="2">
        <f t="shared" si="4"/>
        <v>2019</v>
      </c>
      <c r="C292" s="3">
        <v>43739</v>
      </c>
      <c r="D292" s="4">
        <v>43756</v>
      </c>
      <c r="E292" s="2" t="s">
        <v>11</v>
      </c>
      <c r="F292" s="2" t="s">
        <v>18</v>
      </c>
      <c r="G292" s="2" t="s">
        <v>17</v>
      </c>
      <c r="H292" s="2">
        <v>21</v>
      </c>
      <c r="I292" s="2">
        <v>313</v>
      </c>
      <c r="J292" s="5">
        <v>78250</v>
      </c>
      <c r="K292" s="5">
        <v>28170</v>
      </c>
    </row>
    <row r="293" spans="1:11" x14ac:dyDescent="0.25">
      <c r="A293" s="2">
        <v>10292</v>
      </c>
      <c r="B293" s="2">
        <f t="shared" si="4"/>
        <v>2019</v>
      </c>
      <c r="C293" s="3">
        <v>43739</v>
      </c>
      <c r="D293" s="4">
        <v>43757</v>
      </c>
      <c r="E293" s="2" t="s">
        <v>25</v>
      </c>
      <c r="F293" s="2" t="s">
        <v>18</v>
      </c>
      <c r="G293" s="2" t="s">
        <v>15</v>
      </c>
      <c r="H293" s="2">
        <v>21</v>
      </c>
      <c r="I293" s="2">
        <v>370</v>
      </c>
      <c r="J293" s="5">
        <v>185000</v>
      </c>
      <c r="K293" s="5">
        <v>42550</v>
      </c>
    </row>
    <row r="294" spans="1:11" x14ac:dyDescent="0.25">
      <c r="A294" s="2">
        <v>10293</v>
      </c>
      <c r="B294" s="2">
        <f t="shared" si="4"/>
        <v>2019</v>
      </c>
      <c r="C294" s="3">
        <v>43739</v>
      </c>
      <c r="D294" s="4">
        <v>43758</v>
      </c>
      <c r="E294" s="2" t="s">
        <v>19</v>
      </c>
      <c r="F294" s="2" t="s">
        <v>18</v>
      </c>
      <c r="G294" s="2" t="s">
        <v>20</v>
      </c>
      <c r="H294" s="2">
        <v>13</v>
      </c>
      <c r="I294" s="2">
        <v>141</v>
      </c>
      <c r="J294" s="5">
        <v>119850</v>
      </c>
      <c r="K294" s="5">
        <v>22771.5</v>
      </c>
    </row>
    <row r="295" spans="1:11" x14ac:dyDescent="0.25">
      <c r="A295" s="2">
        <v>10294</v>
      </c>
      <c r="B295" s="2">
        <f t="shared" si="4"/>
        <v>2019</v>
      </c>
      <c r="C295" s="3">
        <v>43739</v>
      </c>
      <c r="D295" s="4">
        <v>43759</v>
      </c>
      <c r="E295" s="2" t="s">
        <v>14</v>
      </c>
      <c r="F295" s="2" t="s">
        <v>12</v>
      </c>
      <c r="G295" s="2" t="s">
        <v>17</v>
      </c>
      <c r="H295" s="2">
        <v>5</v>
      </c>
      <c r="I295" s="2">
        <v>229</v>
      </c>
      <c r="J295" s="5">
        <v>57250</v>
      </c>
      <c r="K295" s="5">
        <v>9732.5</v>
      </c>
    </row>
    <row r="296" spans="1:11" x14ac:dyDescent="0.25">
      <c r="A296" s="2">
        <v>10295</v>
      </c>
      <c r="B296" s="2">
        <f t="shared" si="4"/>
        <v>2019</v>
      </c>
      <c r="C296" s="3">
        <v>43739</v>
      </c>
      <c r="D296" s="4">
        <v>43760</v>
      </c>
      <c r="E296" s="2" t="s">
        <v>22</v>
      </c>
      <c r="F296" s="2" t="s">
        <v>16</v>
      </c>
      <c r="G296" s="2" t="s">
        <v>20</v>
      </c>
      <c r="H296" s="2">
        <v>10</v>
      </c>
      <c r="I296" s="2">
        <v>294</v>
      </c>
      <c r="J296" s="5">
        <v>249900</v>
      </c>
      <c r="K296" s="5">
        <v>34986</v>
      </c>
    </row>
    <row r="297" spans="1:11" x14ac:dyDescent="0.25">
      <c r="A297" s="2">
        <v>10296</v>
      </c>
      <c r="B297" s="2">
        <f t="shared" si="4"/>
        <v>2019</v>
      </c>
      <c r="C297" s="3">
        <v>43739</v>
      </c>
      <c r="D297" s="4">
        <v>43761</v>
      </c>
      <c r="E297" s="2" t="s">
        <v>11</v>
      </c>
      <c r="F297" s="2" t="s">
        <v>12</v>
      </c>
      <c r="G297" s="2" t="s">
        <v>15</v>
      </c>
      <c r="H297" s="2">
        <v>9</v>
      </c>
      <c r="I297" s="2">
        <v>302</v>
      </c>
      <c r="J297" s="5">
        <v>151000</v>
      </c>
      <c r="K297" s="5">
        <v>33220</v>
      </c>
    </row>
    <row r="298" spans="1:11" x14ac:dyDescent="0.25">
      <c r="A298" s="2">
        <v>10297</v>
      </c>
      <c r="B298" s="2">
        <f t="shared" si="4"/>
        <v>2019</v>
      </c>
      <c r="C298" s="3">
        <v>43739</v>
      </c>
      <c r="D298" s="4">
        <v>43762</v>
      </c>
      <c r="E298" s="2" t="s">
        <v>25</v>
      </c>
      <c r="F298" s="2" t="s">
        <v>24</v>
      </c>
      <c r="G298" s="2" t="s">
        <v>23</v>
      </c>
      <c r="H298" s="2">
        <v>28</v>
      </c>
      <c r="I298" s="2">
        <v>358</v>
      </c>
      <c r="J298" s="5">
        <v>125300</v>
      </c>
      <c r="K298" s="5">
        <v>56385</v>
      </c>
    </row>
    <row r="299" spans="1:11" x14ac:dyDescent="0.25">
      <c r="A299" s="2">
        <v>10298</v>
      </c>
      <c r="B299" s="2">
        <f t="shared" si="4"/>
        <v>2019</v>
      </c>
      <c r="C299" s="3">
        <v>43739</v>
      </c>
      <c r="D299" s="4">
        <v>43763</v>
      </c>
      <c r="E299" s="2" t="s">
        <v>19</v>
      </c>
      <c r="F299" s="2" t="s">
        <v>16</v>
      </c>
      <c r="G299" s="2" t="s">
        <v>15</v>
      </c>
      <c r="H299" s="2">
        <v>1</v>
      </c>
      <c r="I299" s="2">
        <v>12</v>
      </c>
      <c r="J299" s="5">
        <v>6000</v>
      </c>
      <c r="K299" s="5">
        <v>2520</v>
      </c>
    </row>
    <row r="300" spans="1:11" x14ac:dyDescent="0.25">
      <c r="A300" s="2">
        <v>10299</v>
      </c>
      <c r="B300" s="2">
        <f t="shared" si="4"/>
        <v>2019</v>
      </c>
      <c r="C300" s="3">
        <v>43739</v>
      </c>
      <c r="D300" s="4">
        <v>43764</v>
      </c>
      <c r="E300" s="2" t="s">
        <v>14</v>
      </c>
      <c r="F300" s="2" t="s">
        <v>16</v>
      </c>
      <c r="G300" s="2" t="s">
        <v>23</v>
      </c>
      <c r="H300" s="2">
        <v>14</v>
      </c>
      <c r="I300" s="2">
        <v>257</v>
      </c>
      <c r="J300" s="5">
        <v>89950</v>
      </c>
      <c r="K300" s="5">
        <v>26985</v>
      </c>
    </row>
    <row r="301" spans="1:11" x14ac:dyDescent="0.25">
      <c r="A301" s="2">
        <v>10300</v>
      </c>
      <c r="B301" s="2">
        <f t="shared" si="4"/>
        <v>2019</v>
      </c>
      <c r="C301" s="3">
        <v>43739</v>
      </c>
      <c r="D301" s="4">
        <v>43765</v>
      </c>
      <c r="E301" s="2" t="s">
        <v>14</v>
      </c>
      <c r="F301" s="2" t="s">
        <v>21</v>
      </c>
      <c r="G301" s="2" t="s">
        <v>15</v>
      </c>
      <c r="H301" s="2">
        <v>29</v>
      </c>
      <c r="I301" s="2">
        <v>341</v>
      </c>
      <c r="J301" s="5">
        <v>170500</v>
      </c>
      <c r="K301" s="5">
        <v>57970.000000000007</v>
      </c>
    </row>
    <row r="302" spans="1:11" x14ac:dyDescent="0.25">
      <c r="A302" s="2">
        <v>10301</v>
      </c>
      <c r="B302" s="2">
        <f t="shared" si="4"/>
        <v>2019</v>
      </c>
      <c r="C302" s="3">
        <v>43739</v>
      </c>
      <c r="D302" s="4">
        <v>43766</v>
      </c>
      <c r="E302" s="2" t="s">
        <v>25</v>
      </c>
      <c r="F302" s="2" t="s">
        <v>12</v>
      </c>
      <c r="G302" s="2" t="s">
        <v>23</v>
      </c>
      <c r="H302" s="2">
        <v>8</v>
      </c>
      <c r="I302" s="2">
        <v>180</v>
      </c>
      <c r="J302" s="5">
        <v>63000</v>
      </c>
      <c r="K302" s="5">
        <v>25200</v>
      </c>
    </row>
    <row r="303" spans="1:11" x14ac:dyDescent="0.25">
      <c r="A303" s="2">
        <v>10302</v>
      </c>
      <c r="B303" s="2">
        <f t="shared" si="4"/>
        <v>2019</v>
      </c>
      <c r="C303" s="3">
        <v>43739</v>
      </c>
      <c r="D303" s="4">
        <v>43767</v>
      </c>
      <c r="E303" s="2" t="s">
        <v>19</v>
      </c>
      <c r="F303" s="2" t="s">
        <v>12</v>
      </c>
      <c r="G303" s="2" t="s">
        <v>17</v>
      </c>
      <c r="H303" s="2">
        <v>18</v>
      </c>
      <c r="I303" s="2">
        <v>205</v>
      </c>
      <c r="J303" s="5">
        <v>51250</v>
      </c>
      <c r="K303" s="5">
        <v>22550</v>
      </c>
    </row>
    <row r="304" spans="1:11" x14ac:dyDescent="0.25">
      <c r="A304" s="2">
        <v>10303</v>
      </c>
      <c r="B304" s="2">
        <f t="shared" si="4"/>
        <v>2019</v>
      </c>
      <c r="C304" s="3">
        <v>43739</v>
      </c>
      <c r="D304" s="4">
        <v>43768</v>
      </c>
      <c r="E304" s="2" t="s">
        <v>25</v>
      </c>
      <c r="F304" s="2" t="s">
        <v>16</v>
      </c>
      <c r="G304" s="2" t="s">
        <v>17</v>
      </c>
      <c r="H304" s="2">
        <v>14</v>
      </c>
      <c r="I304" s="2">
        <v>490</v>
      </c>
      <c r="J304" s="5">
        <v>122500</v>
      </c>
      <c r="K304" s="5">
        <v>40425</v>
      </c>
    </row>
    <row r="305" spans="1:11" x14ac:dyDescent="0.25">
      <c r="A305" s="2">
        <v>10304</v>
      </c>
      <c r="B305" s="2">
        <f t="shared" si="4"/>
        <v>2019</v>
      </c>
      <c r="C305" s="3">
        <v>43739</v>
      </c>
      <c r="D305" s="4">
        <v>43769</v>
      </c>
      <c r="E305" s="2" t="s">
        <v>19</v>
      </c>
      <c r="F305" s="2" t="s">
        <v>21</v>
      </c>
      <c r="G305" s="2" t="s">
        <v>20</v>
      </c>
      <c r="H305" s="2">
        <v>23</v>
      </c>
      <c r="I305" s="2">
        <v>448</v>
      </c>
      <c r="J305" s="5">
        <v>380800</v>
      </c>
      <c r="K305" s="5">
        <v>91392</v>
      </c>
    </row>
    <row r="306" spans="1:11" x14ac:dyDescent="0.25">
      <c r="A306" s="2">
        <v>10305</v>
      </c>
      <c r="B306" s="2">
        <f t="shared" si="4"/>
        <v>2019</v>
      </c>
      <c r="C306" s="3">
        <v>43770</v>
      </c>
      <c r="D306" s="4">
        <v>43770</v>
      </c>
      <c r="E306" s="2" t="s">
        <v>11</v>
      </c>
      <c r="F306" s="2" t="s">
        <v>21</v>
      </c>
      <c r="G306" s="2" t="s">
        <v>13</v>
      </c>
      <c r="H306" s="2">
        <v>8</v>
      </c>
      <c r="I306" s="2">
        <v>238</v>
      </c>
      <c r="J306" s="5">
        <v>178500</v>
      </c>
      <c r="K306" s="5">
        <v>64260</v>
      </c>
    </row>
    <row r="307" spans="1:11" x14ac:dyDescent="0.25">
      <c r="A307" s="2">
        <v>10306</v>
      </c>
      <c r="B307" s="2">
        <f t="shared" si="4"/>
        <v>2019</v>
      </c>
      <c r="C307" s="3">
        <v>43770</v>
      </c>
      <c r="D307" s="4">
        <v>43771</v>
      </c>
      <c r="E307" s="2" t="s">
        <v>25</v>
      </c>
      <c r="F307" s="2" t="s">
        <v>16</v>
      </c>
      <c r="G307" s="2" t="s">
        <v>17</v>
      </c>
      <c r="H307" s="2">
        <v>18</v>
      </c>
      <c r="I307" s="2">
        <v>195</v>
      </c>
      <c r="J307" s="5">
        <v>48750</v>
      </c>
      <c r="K307" s="5">
        <v>21937.5</v>
      </c>
    </row>
    <row r="308" spans="1:11" x14ac:dyDescent="0.25">
      <c r="A308" s="2">
        <v>10307</v>
      </c>
      <c r="B308" s="2">
        <f t="shared" si="4"/>
        <v>2019</v>
      </c>
      <c r="C308" s="3">
        <v>43770</v>
      </c>
      <c r="D308" s="4">
        <v>43772</v>
      </c>
      <c r="E308" s="2" t="s">
        <v>22</v>
      </c>
      <c r="F308" s="2" t="s">
        <v>16</v>
      </c>
      <c r="G308" s="2" t="s">
        <v>15</v>
      </c>
      <c r="H308" s="2">
        <v>5</v>
      </c>
      <c r="I308" s="2">
        <v>311</v>
      </c>
      <c r="J308" s="5">
        <v>155500</v>
      </c>
      <c r="K308" s="5">
        <v>59090</v>
      </c>
    </row>
    <row r="309" spans="1:11" x14ac:dyDescent="0.25">
      <c r="A309" s="2">
        <v>10308</v>
      </c>
      <c r="B309" s="2">
        <f t="shared" si="4"/>
        <v>2019</v>
      </c>
      <c r="C309" s="3">
        <v>43770</v>
      </c>
      <c r="D309" s="4">
        <v>43773</v>
      </c>
      <c r="E309" s="2" t="s">
        <v>11</v>
      </c>
      <c r="F309" s="2" t="s">
        <v>16</v>
      </c>
      <c r="G309" s="2" t="s">
        <v>13</v>
      </c>
      <c r="H309" s="2">
        <v>24</v>
      </c>
      <c r="I309" s="2">
        <v>437</v>
      </c>
      <c r="J309" s="5">
        <v>327750</v>
      </c>
      <c r="K309" s="5">
        <v>111435.00000000001</v>
      </c>
    </row>
    <row r="310" spans="1:11" x14ac:dyDescent="0.25">
      <c r="A310" s="2">
        <v>10309</v>
      </c>
      <c r="B310" s="2">
        <f t="shared" si="4"/>
        <v>2019</v>
      </c>
      <c r="C310" s="3">
        <v>43770</v>
      </c>
      <c r="D310" s="4">
        <v>43774</v>
      </c>
      <c r="E310" s="2" t="s">
        <v>22</v>
      </c>
      <c r="F310" s="2" t="s">
        <v>21</v>
      </c>
      <c r="G310" s="2" t="s">
        <v>23</v>
      </c>
      <c r="H310" s="2">
        <v>14</v>
      </c>
      <c r="I310" s="2">
        <v>392</v>
      </c>
      <c r="J310" s="5">
        <v>137200</v>
      </c>
      <c r="K310" s="5">
        <v>16464</v>
      </c>
    </row>
    <row r="311" spans="1:11" x14ac:dyDescent="0.25">
      <c r="A311" s="2">
        <v>10310</v>
      </c>
      <c r="B311" s="2">
        <f t="shared" si="4"/>
        <v>2019</v>
      </c>
      <c r="C311" s="3">
        <v>43770</v>
      </c>
      <c r="D311" s="4">
        <v>43775</v>
      </c>
      <c r="E311" s="2" t="s">
        <v>19</v>
      </c>
      <c r="F311" s="2" t="s">
        <v>24</v>
      </c>
      <c r="G311" s="2" t="s">
        <v>17</v>
      </c>
      <c r="H311" s="2">
        <v>27</v>
      </c>
      <c r="I311" s="2">
        <v>446</v>
      </c>
      <c r="J311" s="5">
        <v>111500</v>
      </c>
      <c r="K311" s="5">
        <v>41255</v>
      </c>
    </row>
    <row r="312" spans="1:11" x14ac:dyDescent="0.25">
      <c r="A312" s="2">
        <v>10311</v>
      </c>
      <c r="B312" s="2">
        <f t="shared" si="4"/>
        <v>2019</v>
      </c>
      <c r="C312" s="3">
        <v>43770</v>
      </c>
      <c r="D312" s="4">
        <v>43776</v>
      </c>
      <c r="E312" s="2" t="s">
        <v>22</v>
      </c>
      <c r="F312" s="2" t="s">
        <v>18</v>
      </c>
      <c r="G312" s="2" t="s">
        <v>13</v>
      </c>
      <c r="H312" s="2">
        <v>2</v>
      </c>
      <c r="I312" s="2">
        <v>79</v>
      </c>
      <c r="J312" s="5">
        <v>59250</v>
      </c>
      <c r="K312" s="5">
        <v>14220</v>
      </c>
    </row>
    <row r="313" spans="1:11" x14ac:dyDescent="0.25">
      <c r="A313" s="2">
        <v>10312</v>
      </c>
      <c r="B313" s="2">
        <f t="shared" si="4"/>
        <v>2019</v>
      </c>
      <c r="C313" s="3">
        <v>43770</v>
      </c>
      <c r="D313" s="4">
        <v>43777</v>
      </c>
      <c r="E313" s="2" t="s">
        <v>14</v>
      </c>
      <c r="F313" s="2" t="s">
        <v>16</v>
      </c>
      <c r="G313" s="2" t="s">
        <v>13</v>
      </c>
      <c r="H313" s="2">
        <v>4</v>
      </c>
      <c r="I313" s="2">
        <v>160</v>
      </c>
      <c r="J313" s="5">
        <v>120000</v>
      </c>
      <c r="K313" s="5">
        <v>40800</v>
      </c>
    </row>
    <row r="314" spans="1:11" x14ac:dyDescent="0.25">
      <c r="A314" s="2">
        <v>10313</v>
      </c>
      <c r="B314" s="2">
        <f t="shared" si="4"/>
        <v>2019</v>
      </c>
      <c r="C314" s="3">
        <v>43770</v>
      </c>
      <c r="D314" s="4">
        <v>43778</v>
      </c>
      <c r="E314" s="2" t="s">
        <v>25</v>
      </c>
      <c r="F314" s="2" t="s">
        <v>24</v>
      </c>
      <c r="G314" s="2" t="s">
        <v>20</v>
      </c>
      <c r="H314" s="2">
        <v>3</v>
      </c>
      <c r="I314" s="2">
        <v>136</v>
      </c>
      <c r="J314" s="5">
        <v>115600</v>
      </c>
      <c r="K314" s="5">
        <v>12716</v>
      </c>
    </row>
    <row r="315" spans="1:11" x14ac:dyDescent="0.25">
      <c r="A315" s="2">
        <v>10314</v>
      </c>
      <c r="B315" s="2">
        <f t="shared" si="4"/>
        <v>2019</v>
      </c>
      <c r="C315" s="3">
        <v>43770</v>
      </c>
      <c r="D315" s="4">
        <v>43779</v>
      </c>
      <c r="E315" s="2" t="s">
        <v>19</v>
      </c>
      <c r="F315" s="2" t="s">
        <v>24</v>
      </c>
      <c r="G315" s="2" t="s">
        <v>13</v>
      </c>
      <c r="H315" s="2">
        <v>6</v>
      </c>
      <c r="I315" s="2">
        <v>129</v>
      </c>
      <c r="J315" s="5">
        <v>96750</v>
      </c>
      <c r="K315" s="5">
        <v>12577.5</v>
      </c>
    </row>
    <row r="316" spans="1:11" x14ac:dyDescent="0.25">
      <c r="A316" s="2">
        <v>10315</v>
      </c>
      <c r="B316" s="2">
        <f t="shared" si="4"/>
        <v>2019</v>
      </c>
      <c r="C316" s="3">
        <v>43770</v>
      </c>
      <c r="D316" s="4">
        <v>43780</v>
      </c>
      <c r="E316" s="2" t="s">
        <v>25</v>
      </c>
      <c r="F316" s="2" t="s">
        <v>16</v>
      </c>
      <c r="G316" s="2" t="s">
        <v>15</v>
      </c>
      <c r="H316" s="2">
        <v>3</v>
      </c>
      <c r="I316" s="2">
        <v>46</v>
      </c>
      <c r="J316" s="5">
        <v>23000</v>
      </c>
      <c r="K316" s="5">
        <v>4600</v>
      </c>
    </row>
    <row r="317" spans="1:11" x14ac:dyDescent="0.25">
      <c r="A317" s="2">
        <v>10316</v>
      </c>
      <c r="B317" s="2">
        <f t="shared" si="4"/>
        <v>2019</v>
      </c>
      <c r="C317" s="3">
        <v>43770</v>
      </c>
      <c r="D317" s="4">
        <v>43781</v>
      </c>
      <c r="E317" s="2" t="s">
        <v>14</v>
      </c>
      <c r="F317" s="2" t="s">
        <v>16</v>
      </c>
      <c r="G317" s="2" t="s">
        <v>13</v>
      </c>
      <c r="H317" s="2">
        <v>12</v>
      </c>
      <c r="I317" s="2">
        <v>219</v>
      </c>
      <c r="J317" s="5">
        <v>164250</v>
      </c>
      <c r="K317" s="5">
        <v>60772.5</v>
      </c>
    </row>
    <row r="318" spans="1:11" x14ac:dyDescent="0.25">
      <c r="A318" s="2">
        <v>10317</v>
      </c>
      <c r="B318" s="2">
        <f t="shared" si="4"/>
        <v>2019</v>
      </c>
      <c r="C318" s="3">
        <v>43770</v>
      </c>
      <c r="D318" s="4">
        <v>43782</v>
      </c>
      <c r="E318" s="2" t="s">
        <v>14</v>
      </c>
      <c r="F318" s="2" t="s">
        <v>12</v>
      </c>
      <c r="G318" s="2" t="s">
        <v>15</v>
      </c>
      <c r="H318" s="2">
        <v>26</v>
      </c>
      <c r="I318" s="2">
        <v>320</v>
      </c>
      <c r="J318" s="5">
        <v>160000</v>
      </c>
      <c r="K318" s="5">
        <v>59200</v>
      </c>
    </row>
    <row r="319" spans="1:11" x14ac:dyDescent="0.25">
      <c r="A319" s="2">
        <v>10318</v>
      </c>
      <c r="B319" s="2">
        <f t="shared" si="4"/>
        <v>2019</v>
      </c>
      <c r="C319" s="3">
        <v>43770</v>
      </c>
      <c r="D319" s="4">
        <v>43783</v>
      </c>
      <c r="E319" s="2" t="s">
        <v>11</v>
      </c>
      <c r="F319" s="2" t="s">
        <v>16</v>
      </c>
      <c r="G319" s="2" t="s">
        <v>17</v>
      </c>
      <c r="H319" s="2">
        <v>40</v>
      </c>
      <c r="I319" s="2">
        <v>463</v>
      </c>
      <c r="J319" s="5">
        <v>115750</v>
      </c>
      <c r="K319" s="5">
        <v>20835</v>
      </c>
    </row>
    <row r="320" spans="1:11" x14ac:dyDescent="0.25">
      <c r="A320" s="2">
        <v>10319</v>
      </c>
      <c r="B320" s="2">
        <f t="shared" si="4"/>
        <v>2019</v>
      </c>
      <c r="C320" s="3">
        <v>43770</v>
      </c>
      <c r="D320" s="4">
        <v>43784</v>
      </c>
      <c r="E320" s="2" t="s">
        <v>22</v>
      </c>
      <c r="F320" s="2" t="s">
        <v>12</v>
      </c>
      <c r="G320" s="2" t="s">
        <v>23</v>
      </c>
      <c r="H320" s="2">
        <v>6</v>
      </c>
      <c r="I320" s="2">
        <v>85</v>
      </c>
      <c r="J320" s="5">
        <v>29750</v>
      </c>
      <c r="K320" s="5">
        <v>11900</v>
      </c>
    </row>
    <row r="321" spans="1:11" x14ac:dyDescent="0.25">
      <c r="A321" s="2">
        <v>10320</v>
      </c>
      <c r="B321" s="2">
        <f t="shared" si="4"/>
        <v>2019</v>
      </c>
      <c r="C321" s="3">
        <v>43770</v>
      </c>
      <c r="D321" s="4">
        <v>43785</v>
      </c>
      <c r="E321" s="2" t="s">
        <v>25</v>
      </c>
      <c r="F321" s="2" t="s">
        <v>16</v>
      </c>
      <c r="G321" s="2" t="s">
        <v>20</v>
      </c>
      <c r="H321" s="2">
        <v>15</v>
      </c>
      <c r="I321" s="2">
        <v>316</v>
      </c>
      <c r="J321" s="5">
        <v>268600</v>
      </c>
      <c r="K321" s="5">
        <v>64464</v>
      </c>
    </row>
    <row r="322" spans="1:11" x14ac:dyDescent="0.25">
      <c r="A322" s="2">
        <v>10321</v>
      </c>
      <c r="B322" s="2">
        <f t="shared" si="4"/>
        <v>2019</v>
      </c>
      <c r="C322" s="3">
        <v>43770</v>
      </c>
      <c r="D322" s="4">
        <v>43786</v>
      </c>
      <c r="E322" s="2" t="s">
        <v>14</v>
      </c>
      <c r="F322" s="2" t="s">
        <v>12</v>
      </c>
      <c r="G322" s="2" t="s">
        <v>23</v>
      </c>
      <c r="H322" s="2">
        <v>1</v>
      </c>
      <c r="I322" s="2">
        <v>15</v>
      </c>
      <c r="J322" s="5">
        <v>5250</v>
      </c>
      <c r="K322" s="5">
        <v>2257.5</v>
      </c>
    </row>
    <row r="323" spans="1:11" x14ac:dyDescent="0.25">
      <c r="A323" s="2">
        <v>10322</v>
      </c>
      <c r="B323" s="2">
        <f t="shared" ref="B323:B386" si="5">YEAR(C323)</f>
        <v>2019</v>
      </c>
      <c r="C323" s="3">
        <v>43770</v>
      </c>
      <c r="D323" s="4">
        <v>43787</v>
      </c>
      <c r="E323" s="2" t="s">
        <v>14</v>
      </c>
      <c r="F323" s="2" t="s">
        <v>21</v>
      </c>
      <c r="G323" s="2" t="s">
        <v>15</v>
      </c>
      <c r="H323" s="2">
        <v>17</v>
      </c>
      <c r="I323" s="2">
        <v>402</v>
      </c>
      <c r="J323" s="5">
        <v>201000</v>
      </c>
      <c r="K323" s="5">
        <v>90450</v>
      </c>
    </row>
    <row r="324" spans="1:11" x14ac:dyDescent="0.25">
      <c r="A324" s="2">
        <v>10323</v>
      </c>
      <c r="B324" s="2">
        <f t="shared" si="5"/>
        <v>2019</v>
      </c>
      <c r="C324" s="3">
        <v>43770</v>
      </c>
      <c r="D324" s="4">
        <v>43788</v>
      </c>
      <c r="E324" s="2" t="s">
        <v>22</v>
      </c>
      <c r="F324" s="2" t="s">
        <v>24</v>
      </c>
      <c r="G324" s="2" t="s">
        <v>15</v>
      </c>
      <c r="H324" s="2">
        <v>10</v>
      </c>
      <c r="I324" s="2">
        <v>111</v>
      </c>
      <c r="J324" s="5">
        <v>55500</v>
      </c>
      <c r="K324" s="5">
        <v>8325</v>
      </c>
    </row>
    <row r="325" spans="1:11" x14ac:dyDescent="0.25">
      <c r="A325" s="2">
        <v>10324</v>
      </c>
      <c r="B325" s="2">
        <f t="shared" si="5"/>
        <v>2019</v>
      </c>
      <c r="C325" s="3">
        <v>43770</v>
      </c>
      <c r="D325" s="4">
        <v>43789</v>
      </c>
      <c r="E325" s="2" t="s">
        <v>11</v>
      </c>
      <c r="F325" s="2" t="s">
        <v>12</v>
      </c>
      <c r="G325" s="2" t="s">
        <v>15</v>
      </c>
      <c r="H325" s="2">
        <v>6</v>
      </c>
      <c r="I325" s="2">
        <v>265</v>
      </c>
      <c r="J325" s="5">
        <v>132500</v>
      </c>
      <c r="K325" s="5">
        <v>50350</v>
      </c>
    </row>
    <row r="326" spans="1:11" x14ac:dyDescent="0.25">
      <c r="A326" s="2">
        <v>10325</v>
      </c>
      <c r="B326" s="2">
        <f t="shared" si="5"/>
        <v>2019</v>
      </c>
      <c r="C326" s="3">
        <v>43770</v>
      </c>
      <c r="D326" s="4">
        <v>43790</v>
      </c>
      <c r="E326" s="2" t="s">
        <v>19</v>
      </c>
      <c r="F326" s="2" t="s">
        <v>16</v>
      </c>
      <c r="G326" s="2" t="s">
        <v>15</v>
      </c>
      <c r="H326" s="2">
        <v>8</v>
      </c>
      <c r="I326" s="2">
        <v>190</v>
      </c>
      <c r="J326" s="5">
        <v>95000</v>
      </c>
      <c r="K326" s="5">
        <v>31350</v>
      </c>
    </row>
    <row r="327" spans="1:11" x14ac:dyDescent="0.25">
      <c r="A327" s="2">
        <v>10326</v>
      </c>
      <c r="B327" s="2">
        <f t="shared" si="5"/>
        <v>2019</v>
      </c>
      <c r="C327" s="3">
        <v>43770</v>
      </c>
      <c r="D327" s="4">
        <v>43791</v>
      </c>
      <c r="E327" s="2" t="s">
        <v>19</v>
      </c>
      <c r="F327" s="2" t="s">
        <v>16</v>
      </c>
      <c r="G327" s="2" t="s">
        <v>15</v>
      </c>
      <c r="H327" s="2">
        <v>6</v>
      </c>
      <c r="I327" s="2">
        <v>62</v>
      </c>
      <c r="J327" s="5">
        <v>31000</v>
      </c>
      <c r="K327" s="5">
        <v>9300</v>
      </c>
    </row>
    <row r="328" spans="1:11" x14ac:dyDescent="0.25">
      <c r="A328" s="2">
        <v>10327</v>
      </c>
      <c r="B328" s="2">
        <f t="shared" si="5"/>
        <v>2019</v>
      </c>
      <c r="C328" s="3">
        <v>43770</v>
      </c>
      <c r="D328" s="4">
        <v>43792</v>
      </c>
      <c r="E328" s="2" t="s">
        <v>22</v>
      </c>
      <c r="F328" s="2" t="s">
        <v>12</v>
      </c>
      <c r="G328" s="2" t="s">
        <v>17</v>
      </c>
      <c r="H328" s="2">
        <v>1</v>
      </c>
      <c r="I328" s="2">
        <v>46</v>
      </c>
      <c r="J328" s="5">
        <v>11500</v>
      </c>
      <c r="K328" s="5">
        <v>4945</v>
      </c>
    </row>
    <row r="329" spans="1:11" x14ac:dyDescent="0.25">
      <c r="A329" s="2">
        <v>10328</v>
      </c>
      <c r="B329" s="2">
        <f t="shared" si="5"/>
        <v>2019</v>
      </c>
      <c r="C329" s="3">
        <v>43770</v>
      </c>
      <c r="D329" s="4">
        <v>43793</v>
      </c>
      <c r="E329" s="2" t="s">
        <v>11</v>
      </c>
      <c r="F329" s="2" t="s">
        <v>18</v>
      </c>
      <c r="G329" s="2" t="s">
        <v>13</v>
      </c>
      <c r="H329" s="2">
        <v>9</v>
      </c>
      <c r="I329" s="2">
        <v>279</v>
      </c>
      <c r="J329" s="5">
        <v>209250</v>
      </c>
      <c r="K329" s="5">
        <v>31387.5</v>
      </c>
    </row>
    <row r="330" spans="1:11" x14ac:dyDescent="0.25">
      <c r="A330" s="2">
        <v>10329</v>
      </c>
      <c r="B330" s="2">
        <f t="shared" si="5"/>
        <v>2019</v>
      </c>
      <c r="C330" s="3">
        <v>43770</v>
      </c>
      <c r="D330" s="4">
        <v>43794</v>
      </c>
      <c r="E330" s="2" t="s">
        <v>14</v>
      </c>
      <c r="F330" s="2" t="s">
        <v>16</v>
      </c>
      <c r="G330" s="2" t="s">
        <v>15</v>
      </c>
      <c r="H330" s="2">
        <v>16</v>
      </c>
      <c r="I330" s="2">
        <v>243</v>
      </c>
      <c r="J330" s="5">
        <v>121500</v>
      </c>
      <c r="K330" s="5">
        <v>32805</v>
      </c>
    </row>
    <row r="331" spans="1:11" x14ac:dyDescent="0.25">
      <c r="A331" s="2">
        <v>10330</v>
      </c>
      <c r="B331" s="2">
        <f t="shared" si="5"/>
        <v>2019</v>
      </c>
      <c r="C331" s="3">
        <v>43770</v>
      </c>
      <c r="D331" s="4">
        <v>43795</v>
      </c>
      <c r="E331" s="2" t="s">
        <v>14</v>
      </c>
      <c r="F331" s="2" t="s">
        <v>16</v>
      </c>
      <c r="G331" s="2" t="s">
        <v>13</v>
      </c>
      <c r="H331" s="2">
        <v>27</v>
      </c>
      <c r="I331" s="2">
        <v>314</v>
      </c>
      <c r="J331" s="5">
        <v>235500</v>
      </c>
      <c r="K331" s="5">
        <v>82425</v>
      </c>
    </row>
    <row r="332" spans="1:11" x14ac:dyDescent="0.25">
      <c r="A332" s="2">
        <v>10331</v>
      </c>
      <c r="B332" s="2">
        <f t="shared" si="5"/>
        <v>2019</v>
      </c>
      <c r="C332" s="3">
        <v>43770</v>
      </c>
      <c r="D332" s="4">
        <v>43796</v>
      </c>
      <c r="E332" s="2" t="s">
        <v>25</v>
      </c>
      <c r="F332" s="2" t="s">
        <v>24</v>
      </c>
      <c r="G332" s="2" t="s">
        <v>17</v>
      </c>
      <c r="H332" s="2">
        <v>11</v>
      </c>
      <c r="I332" s="2">
        <v>194</v>
      </c>
      <c r="J332" s="5">
        <v>48500</v>
      </c>
      <c r="K332" s="5">
        <v>15035</v>
      </c>
    </row>
    <row r="333" spans="1:11" x14ac:dyDescent="0.25">
      <c r="A333" s="2">
        <v>10332</v>
      </c>
      <c r="B333" s="2">
        <f t="shared" si="5"/>
        <v>2019</v>
      </c>
      <c r="C333" s="3">
        <v>43770</v>
      </c>
      <c r="D333" s="4">
        <v>43797</v>
      </c>
      <c r="E333" s="2" t="s">
        <v>25</v>
      </c>
      <c r="F333" s="2" t="s">
        <v>24</v>
      </c>
      <c r="G333" s="2" t="s">
        <v>13</v>
      </c>
      <c r="H333" s="2">
        <v>36</v>
      </c>
      <c r="I333" s="2">
        <v>395</v>
      </c>
      <c r="J333" s="5">
        <v>296250</v>
      </c>
      <c r="K333" s="5">
        <v>65175</v>
      </c>
    </row>
    <row r="334" spans="1:11" x14ac:dyDescent="0.25">
      <c r="A334" s="2">
        <v>10333</v>
      </c>
      <c r="B334" s="2">
        <f t="shared" si="5"/>
        <v>2019</v>
      </c>
      <c r="C334" s="3">
        <v>43770</v>
      </c>
      <c r="D334" s="4">
        <v>43798</v>
      </c>
      <c r="E334" s="2" t="s">
        <v>14</v>
      </c>
      <c r="F334" s="2" t="s">
        <v>21</v>
      </c>
      <c r="G334" s="2" t="s">
        <v>17</v>
      </c>
      <c r="H334" s="2">
        <v>6</v>
      </c>
      <c r="I334" s="2">
        <v>234</v>
      </c>
      <c r="J334" s="5">
        <v>58500</v>
      </c>
      <c r="K334" s="5">
        <v>7020</v>
      </c>
    </row>
    <row r="335" spans="1:11" x14ac:dyDescent="0.25">
      <c r="A335" s="2">
        <v>10334</v>
      </c>
      <c r="B335" s="2">
        <f t="shared" si="5"/>
        <v>2019</v>
      </c>
      <c r="C335" s="3">
        <v>43770</v>
      </c>
      <c r="D335" s="4">
        <v>43799</v>
      </c>
      <c r="E335" s="2" t="s">
        <v>11</v>
      </c>
      <c r="F335" s="2" t="s">
        <v>16</v>
      </c>
      <c r="G335" s="2" t="s">
        <v>15</v>
      </c>
      <c r="H335" s="2">
        <v>1</v>
      </c>
      <c r="I335" s="2">
        <v>10</v>
      </c>
      <c r="J335" s="5">
        <v>5000</v>
      </c>
      <c r="K335" s="5">
        <v>1500</v>
      </c>
    </row>
    <row r="336" spans="1:11" x14ac:dyDescent="0.25">
      <c r="A336" s="2">
        <v>10335</v>
      </c>
      <c r="B336" s="2">
        <f t="shared" si="5"/>
        <v>2019</v>
      </c>
      <c r="C336" s="3">
        <v>43800</v>
      </c>
      <c r="D336" s="4">
        <v>43800</v>
      </c>
      <c r="E336" s="2" t="s">
        <v>25</v>
      </c>
      <c r="F336" s="2" t="s">
        <v>21</v>
      </c>
      <c r="G336" s="2" t="s">
        <v>23</v>
      </c>
      <c r="H336" s="2">
        <v>12</v>
      </c>
      <c r="I336" s="2">
        <v>496</v>
      </c>
      <c r="J336" s="5">
        <v>173600</v>
      </c>
      <c r="K336" s="5">
        <v>74648</v>
      </c>
    </row>
    <row r="337" spans="1:11" x14ac:dyDescent="0.25">
      <c r="A337" s="2">
        <v>10336</v>
      </c>
      <c r="B337" s="2">
        <f t="shared" si="5"/>
        <v>2019</v>
      </c>
      <c r="C337" s="3">
        <v>43800</v>
      </c>
      <c r="D337" s="4">
        <v>43801</v>
      </c>
      <c r="E337" s="2" t="s">
        <v>11</v>
      </c>
      <c r="F337" s="2" t="s">
        <v>16</v>
      </c>
      <c r="G337" s="2" t="s">
        <v>17</v>
      </c>
      <c r="H337" s="2">
        <v>28</v>
      </c>
      <c r="I337" s="2">
        <v>325</v>
      </c>
      <c r="J337" s="5">
        <v>81250</v>
      </c>
      <c r="K337" s="5">
        <v>32500</v>
      </c>
    </row>
    <row r="338" spans="1:11" x14ac:dyDescent="0.25">
      <c r="A338" s="2">
        <v>10337</v>
      </c>
      <c r="B338" s="2">
        <f t="shared" si="5"/>
        <v>2019</v>
      </c>
      <c r="C338" s="3">
        <v>43800</v>
      </c>
      <c r="D338" s="4">
        <v>43802</v>
      </c>
      <c r="E338" s="2" t="s">
        <v>11</v>
      </c>
      <c r="F338" s="2" t="s">
        <v>16</v>
      </c>
      <c r="G338" s="2" t="s">
        <v>13</v>
      </c>
      <c r="H338" s="2">
        <v>13</v>
      </c>
      <c r="I338" s="2">
        <v>241</v>
      </c>
      <c r="J338" s="5">
        <v>180750</v>
      </c>
      <c r="K338" s="5">
        <v>74107.5</v>
      </c>
    </row>
    <row r="339" spans="1:11" x14ac:dyDescent="0.25">
      <c r="A339" s="2">
        <v>10338</v>
      </c>
      <c r="B339" s="2">
        <f t="shared" si="5"/>
        <v>2019</v>
      </c>
      <c r="C339" s="3">
        <v>43800</v>
      </c>
      <c r="D339" s="4">
        <v>43803</v>
      </c>
      <c r="E339" s="2" t="s">
        <v>14</v>
      </c>
      <c r="F339" s="2" t="s">
        <v>12</v>
      </c>
      <c r="G339" s="2" t="s">
        <v>13</v>
      </c>
      <c r="H339" s="2">
        <v>35</v>
      </c>
      <c r="I339" s="2">
        <v>404</v>
      </c>
      <c r="J339" s="5">
        <v>303000</v>
      </c>
      <c r="K339" s="5">
        <v>112110</v>
      </c>
    </row>
    <row r="340" spans="1:11" x14ac:dyDescent="0.25">
      <c r="A340" s="2">
        <v>10339</v>
      </c>
      <c r="B340" s="2">
        <f t="shared" si="5"/>
        <v>2019</v>
      </c>
      <c r="C340" s="3">
        <v>43800</v>
      </c>
      <c r="D340" s="4">
        <v>43804</v>
      </c>
      <c r="E340" s="2" t="s">
        <v>19</v>
      </c>
      <c r="F340" s="2" t="s">
        <v>24</v>
      </c>
      <c r="G340" s="2" t="s">
        <v>15</v>
      </c>
      <c r="H340" s="2">
        <v>9</v>
      </c>
      <c r="I340" s="2">
        <v>203</v>
      </c>
      <c r="J340" s="5">
        <v>101500</v>
      </c>
      <c r="K340" s="5">
        <v>11165</v>
      </c>
    </row>
    <row r="341" spans="1:11" x14ac:dyDescent="0.25">
      <c r="A341" s="2">
        <v>10340</v>
      </c>
      <c r="B341" s="2">
        <f t="shared" si="5"/>
        <v>2019</v>
      </c>
      <c r="C341" s="3">
        <v>43800</v>
      </c>
      <c r="D341" s="4">
        <v>43805</v>
      </c>
      <c r="E341" s="2" t="s">
        <v>11</v>
      </c>
      <c r="F341" s="2" t="s">
        <v>18</v>
      </c>
      <c r="G341" s="2" t="s">
        <v>15</v>
      </c>
      <c r="H341" s="2">
        <v>13</v>
      </c>
      <c r="I341" s="2">
        <v>330</v>
      </c>
      <c r="J341" s="5">
        <v>165000</v>
      </c>
      <c r="K341" s="5">
        <v>59400</v>
      </c>
    </row>
    <row r="342" spans="1:11" x14ac:dyDescent="0.25">
      <c r="A342" s="2">
        <v>10341</v>
      </c>
      <c r="B342" s="2">
        <f t="shared" si="5"/>
        <v>2019</v>
      </c>
      <c r="C342" s="3">
        <v>43800</v>
      </c>
      <c r="D342" s="4">
        <v>43806</v>
      </c>
      <c r="E342" s="2" t="s">
        <v>25</v>
      </c>
      <c r="F342" s="2" t="s">
        <v>24</v>
      </c>
      <c r="G342" s="2" t="s">
        <v>15</v>
      </c>
      <c r="H342" s="2">
        <v>16</v>
      </c>
      <c r="I342" s="2">
        <v>314</v>
      </c>
      <c r="J342" s="5">
        <v>157000</v>
      </c>
      <c r="K342" s="5">
        <v>37680</v>
      </c>
    </row>
    <row r="343" spans="1:11" x14ac:dyDescent="0.25">
      <c r="A343" s="2">
        <v>10342</v>
      </c>
      <c r="B343" s="2">
        <f t="shared" si="5"/>
        <v>2019</v>
      </c>
      <c r="C343" s="3">
        <v>43800</v>
      </c>
      <c r="D343" s="4">
        <v>43807</v>
      </c>
      <c r="E343" s="2" t="s">
        <v>19</v>
      </c>
      <c r="F343" s="2" t="s">
        <v>18</v>
      </c>
      <c r="G343" s="2" t="s">
        <v>17</v>
      </c>
      <c r="H343" s="2">
        <v>24</v>
      </c>
      <c r="I343" s="2">
        <v>466</v>
      </c>
      <c r="J343" s="5">
        <v>116500</v>
      </c>
      <c r="K343" s="5">
        <v>51260</v>
      </c>
    </row>
    <row r="344" spans="1:11" x14ac:dyDescent="0.25">
      <c r="A344" s="2">
        <v>10343</v>
      </c>
      <c r="B344" s="2">
        <f t="shared" si="5"/>
        <v>2019</v>
      </c>
      <c r="C344" s="3">
        <v>43800</v>
      </c>
      <c r="D344" s="4">
        <v>43808</v>
      </c>
      <c r="E344" s="2" t="s">
        <v>14</v>
      </c>
      <c r="F344" s="2" t="s">
        <v>21</v>
      </c>
      <c r="G344" s="2" t="s">
        <v>20</v>
      </c>
      <c r="H344" s="2">
        <v>18</v>
      </c>
      <c r="I344" s="2">
        <v>249</v>
      </c>
      <c r="J344" s="5">
        <v>211650</v>
      </c>
      <c r="K344" s="5">
        <v>71961</v>
      </c>
    </row>
    <row r="345" spans="1:11" x14ac:dyDescent="0.25">
      <c r="A345" s="2">
        <v>10344</v>
      </c>
      <c r="B345" s="2">
        <f t="shared" si="5"/>
        <v>2019</v>
      </c>
      <c r="C345" s="3">
        <v>43800</v>
      </c>
      <c r="D345" s="4">
        <v>43809</v>
      </c>
      <c r="E345" s="2" t="s">
        <v>22</v>
      </c>
      <c r="F345" s="2" t="s">
        <v>16</v>
      </c>
      <c r="G345" s="2" t="s">
        <v>15</v>
      </c>
      <c r="H345" s="2">
        <v>2</v>
      </c>
      <c r="I345" s="2">
        <v>23</v>
      </c>
      <c r="J345" s="5">
        <v>11500</v>
      </c>
      <c r="K345" s="5">
        <v>4255</v>
      </c>
    </row>
    <row r="346" spans="1:11" x14ac:dyDescent="0.25">
      <c r="A346" s="2">
        <v>10345</v>
      </c>
      <c r="B346" s="2">
        <f t="shared" si="5"/>
        <v>2019</v>
      </c>
      <c r="C346" s="3">
        <v>43800</v>
      </c>
      <c r="D346" s="4">
        <v>43810</v>
      </c>
      <c r="E346" s="2" t="s">
        <v>19</v>
      </c>
      <c r="F346" s="2" t="s">
        <v>18</v>
      </c>
      <c r="G346" s="2" t="s">
        <v>17</v>
      </c>
      <c r="H346" s="2">
        <v>10</v>
      </c>
      <c r="I346" s="2">
        <v>263</v>
      </c>
      <c r="J346" s="5">
        <v>65750</v>
      </c>
      <c r="K346" s="5">
        <v>25642.5</v>
      </c>
    </row>
    <row r="347" spans="1:11" x14ac:dyDescent="0.25">
      <c r="A347" s="2">
        <v>10346</v>
      </c>
      <c r="B347" s="2">
        <f t="shared" si="5"/>
        <v>2019</v>
      </c>
      <c r="C347" s="3">
        <v>43800</v>
      </c>
      <c r="D347" s="4">
        <v>43811</v>
      </c>
      <c r="E347" s="2" t="s">
        <v>14</v>
      </c>
      <c r="F347" s="2" t="s">
        <v>21</v>
      </c>
      <c r="G347" s="2" t="s">
        <v>20</v>
      </c>
      <c r="H347" s="2">
        <v>10</v>
      </c>
      <c r="I347" s="2">
        <v>141</v>
      </c>
      <c r="J347" s="5">
        <v>119850</v>
      </c>
      <c r="K347" s="5">
        <v>53932.5</v>
      </c>
    </row>
    <row r="348" spans="1:11" x14ac:dyDescent="0.25">
      <c r="A348" s="2">
        <v>10347</v>
      </c>
      <c r="B348" s="2">
        <f t="shared" si="5"/>
        <v>2019</v>
      </c>
      <c r="C348" s="3">
        <v>43800</v>
      </c>
      <c r="D348" s="4">
        <v>43812</v>
      </c>
      <c r="E348" s="2" t="s">
        <v>19</v>
      </c>
      <c r="F348" s="2" t="s">
        <v>21</v>
      </c>
      <c r="G348" s="2" t="s">
        <v>15</v>
      </c>
      <c r="H348" s="2">
        <v>15</v>
      </c>
      <c r="I348" s="2">
        <v>347</v>
      </c>
      <c r="J348" s="5">
        <v>173500</v>
      </c>
      <c r="K348" s="5">
        <v>69400</v>
      </c>
    </row>
    <row r="349" spans="1:11" x14ac:dyDescent="0.25">
      <c r="A349" s="2">
        <v>10348</v>
      </c>
      <c r="B349" s="2">
        <f t="shared" si="5"/>
        <v>2019</v>
      </c>
      <c r="C349" s="3">
        <v>43800</v>
      </c>
      <c r="D349" s="4">
        <v>43813</v>
      </c>
      <c r="E349" s="2" t="s">
        <v>25</v>
      </c>
      <c r="F349" s="2" t="s">
        <v>21</v>
      </c>
      <c r="G349" s="2" t="s">
        <v>15</v>
      </c>
      <c r="H349" s="2">
        <v>15</v>
      </c>
      <c r="I349" s="2">
        <v>486</v>
      </c>
      <c r="J349" s="5">
        <v>243000</v>
      </c>
      <c r="K349" s="5">
        <v>77760</v>
      </c>
    </row>
    <row r="350" spans="1:11" x14ac:dyDescent="0.25">
      <c r="A350" s="2">
        <v>10349</v>
      </c>
      <c r="B350" s="2">
        <f t="shared" si="5"/>
        <v>2019</v>
      </c>
      <c r="C350" s="3">
        <v>43800</v>
      </c>
      <c r="D350" s="4">
        <v>43814</v>
      </c>
      <c r="E350" s="2" t="s">
        <v>19</v>
      </c>
      <c r="F350" s="2" t="s">
        <v>12</v>
      </c>
      <c r="G350" s="2" t="s">
        <v>17</v>
      </c>
      <c r="H350" s="2">
        <v>16</v>
      </c>
      <c r="I350" s="2">
        <v>383</v>
      </c>
      <c r="J350" s="5">
        <v>95750</v>
      </c>
      <c r="K350" s="5">
        <v>14362.5</v>
      </c>
    </row>
    <row r="351" spans="1:11" x14ac:dyDescent="0.25">
      <c r="A351" s="2">
        <v>10350</v>
      </c>
      <c r="B351" s="2">
        <f t="shared" si="5"/>
        <v>2019</v>
      </c>
      <c r="C351" s="3">
        <v>43800</v>
      </c>
      <c r="D351" s="4">
        <v>43815</v>
      </c>
      <c r="E351" s="2" t="s">
        <v>14</v>
      </c>
      <c r="F351" s="2" t="s">
        <v>18</v>
      </c>
      <c r="G351" s="2" t="s">
        <v>23</v>
      </c>
      <c r="H351" s="2">
        <v>6</v>
      </c>
      <c r="I351" s="2">
        <v>324</v>
      </c>
      <c r="J351" s="5">
        <v>113400</v>
      </c>
      <c r="K351" s="5">
        <v>26082</v>
      </c>
    </row>
    <row r="352" spans="1:11" x14ac:dyDescent="0.25">
      <c r="A352" s="2">
        <v>10351</v>
      </c>
      <c r="B352" s="2">
        <f t="shared" si="5"/>
        <v>2019</v>
      </c>
      <c r="C352" s="3">
        <v>43800</v>
      </c>
      <c r="D352" s="4">
        <v>43816</v>
      </c>
      <c r="E352" s="2" t="s">
        <v>11</v>
      </c>
      <c r="F352" s="2" t="s">
        <v>18</v>
      </c>
      <c r="G352" s="2" t="s">
        <v>13</v>
      </c>
      <c r="H352" s="2">
        <v>3</v>
      </c>
      <c r="I352" s="2">
        <v>269</v>
      </c>
      <c r="J352" s="5">
        <v>201750</v>
      </c>
      <c r="K352" s="5">
        <v>54472.5</v>
      </c>
    </row>
    <row r="353" spans="1:11" x14ac:dyDescent="0.25">
      <c r="A353" s="2">
        <v>10352</v>
      </c>
      <c r="B353" s="2">
        <f t="shared" si="5"/>
        <v>2019</v>
      </c>
      <c r="C353" s="3">
        <v>43800</v>
      </c>
      <c r="D353" s="4">
        <v>43817</v>
      </c>
      <c r="E353" s="2" t="s">
        <v>25</v>
      </c>
      <c r="F353" s="2" t="s">
        <v>21</v>
      </c>
      <c r="G353" s="2" t="s">
        <v>15</v>
      </c>
      <c r="H353" s="2">
        <v>3</v>
      </c>
      <c r="I353" s="2">
        <v>235</v>
      </c>
      <c r="J353" s="5">
        <v>117500</v>
      </c>
      <c r="K353" s="5">
        <v>16450</v>
      </c>
    </row>
    <row r="354" spans="1:11" x14ac:dyDescent="0.25">
      <c r="A354" s="2">
        <v>10353</v>
      </c>
      <c r="B354" s="2">
        <f t="shared" si="5"/>
        <v>2019</v>
      </c>
      <c r="C354" s="3">
        <v>43800</v>
      </c>
      <c r="D354" s="4">
        <v>43818</v>
      </c>
      <c r="E354" s="2" t="s">
        <v>19</v>
      </c>
      <c r="F354" s="2" t="s">
        <v>16</v>
      </c>
      <c r="G354" s="2" t="s">
        <v>15</v>
      </c>
      <c r="H354" s="2">
        <v>18</v>
      </c>
      <c r="I354" s="2">
        <v>204</v>
      </c>
      <c r="J354" s="5">
        <v>102000</v>
      </c>
      <c r="K354" s="5">
        <v>27540</v>
      </c>
    </row>
    <row r="355" spans="1:11" x14ac:dyDescent="0.25">
      <c r="A355" s="2">
        <v>10354</v>
      </c>
      <c r="B355" s="2">
        <f t="shared" si="5"/>
        <v>2019</v>
      </c>
      <c r="C355" s="3">
        <v>43800</v>
      </c>
      <c r="D355" s="4">
        <v>43819</v>
      </c>
      <c r="E355" s="2" t="s">
        <v>14</v>
      </c>
      <c r="F355" s="2" t="s">
        <v>21</v>
      </c>
      <c r="G355" s="2" t="s">
        <v>23</v>
      </c>
      <c r="H355" s="2">
        <v>18</v>
      </c>
      <c r="I355" s="2">
        <v>224</v>
      </c>
      <c r="J355" s="5">
        <v>78400</v>
      </c>
      <c r="K355" s="5">
        <v>16464</v>
      </c>
    </row>
    <row r="356" spans="1:11" x14ac:dyDescent="0.25">
      <c r="A356" s="2">
        <v>10355</v>
      </c>
      <c r="B356" s="2">
        <f t="shared" si="5"/>
        <v>2019</v>
      </c>
      <c r="C356" s="3">
        <v>43800</v>
      </c>
      <c r="D356" s="4">
        <v>43820</v>
      </c>
      <c r="E356" s="2" t="s">
        <v>25</v>
      </c>
      <c r="F356" s="2" t="s">
        <v>18</v>
      </c>
      <c r="G356" s="2" t="s">
        <v>23</v>
      </c>
      <c r="H356" s="2">
        <v>1</v>
      </c>
      <c r="I356" s="2">
        <v>70</v>
      </c>
      <c r="J356" s="5">
        <v>24500</v>
      </c>
      <c r="K356" s="5">
        <v>10780</v>
      </c>
    </row>
    <row r="357" spans="1:11" x14ac:dyDescent="0.25">
      <c r="A357" s="2">
        <v>10356</v>
      </c>
      <c r="B357" s="2">
        <f t="shared" si="5"/>
        <v>2019</v>
      </c>
      <c r="C357" s="3">
        <v>43800</v>
      </c>
      <c r="D357" s="4">
        <v>43821</v>
      </c>
      <c r="E357" s="2" t="s">
        <v>11</v>
      </c>
      <c r="F357" s="2" t="s">
        <v>21</v>
      </c>
      <c r="G357" s="2" t="s">
        <v>23</v>
      </c>
      <c r="H357" s="2">
        <v>42</v>
      </c>
      <c r="I357" s="2">
        <v>426</v>
      </c>
      <c r="J357" s="5">
        <v>149100</v>
      </c>
      <c r="K357" s="5">
        <v>47712</v>
      </c>
    </row>
    <row r="358" spans="1:11" x14ac:dyDescent="0.25">
      <c r="A358" s="2">
        <v>10357</v>
      </c>
      <c r="B358" s="2">
        <f t="shared" si="5"/>
        <v>2019</v>
      </c>
      <c r="C358" s="3">
        <v>43800</v>
      </c>
      <c r="D358" s="4">
        <v>43822</v>
      </c>
      <c r="E358" s="2" t="s">
        <v>22</v>
      </c>
      <c r="F358" s="2" t="s">
        <v>24</v>
      </c>
      <c r="G358" s="2" t="s">
        <v>20</v>
      </c>
      <c r="H358" s="2">
        <v>3</v>
      </c>
      <c r="I358" s="2">
        <v>223</v>
      </c>
      <c r="J358" s="5">
        <v>189550</v>
      </c>
      <c r="K358" s="5">
        <v>79611</v>
      </c>
    </row>
    <row r="359" spans="1:11" x14ac:dyDescent="0.25">
      <c r="A359" s="2">
        <v>10358</v>
      </c>
      <c r="B359" s="2">
        <f t="shared" si="5"/>
        <v>2019</v>
      </c>
      <c r="C359" s="3">
        <v>43800</v>
      </c>
      <c r="D359" s="4">
        <v>43823</v>
      </c>
      <c r="E359" s="2" t="s">
        <v>14</v>
      </c>
      <c r="F359" s="2" t="s">
        <v>21</v>
      </c>
      <c r="G359" s="2" t="s">
        <v>13</v>
      </c>
      <c r="H359" s="2">
        <v>24</v>
      </c>
      <c r="I359" s="2">
        <v>440</v>
      </c>
      <c r="J359" s="5">
        <v>330000</v>
      </c>
      <c r="K359" s="5">
        <v>75900</v>
      </c>
    </row>
    <row r="360" spans="1:11" x14ac:dyDescent="0.25">
      <c r="A360" s="2">
        <v>10359</v>
      </c>
      <c r="B360" s="2">
        <f t="shared" si="5"/>
        <v>2019</v>
      </c>
      <c r="C360" s="3">
        <v>43800</v>
      </c>
      <c r="D360" s="4">
        <v>43824</v>
      </c>
      <c r="E360" s="2" t="s">
        <v>11</v>
      </c>
      <c r="F360" s="2" t="s">
        <v>12</v>
      </c>
      <c r="G360" s="2" t="s">
        <v>13</v>
      </c>
      <c r="H360" s="2">
        <v>25</v>
      </c>
      <c r="I360" s="2">
        <v>401</v>
      </c>
      <c r="J360" s="5">
        <v>300750</v>
      </c>
      <c r="K360" s="5">
        <v>57142.5</v>
      </c>
    </row>
    <row r="361" spans="1:11" x14ac:dyDescent="0.25">
      <c r="A361" s="2">
        <v>10360</v>
      </c>
      <c r="B361" s="2">
        <f t="shared" si="5"/>
        <v>2019</v>
      </c>
      <c r="C361" s="3">
        <v>43800</v>
      </c>
      <c r="D361" s="4">
        <v>43825</v>
      </c>
      <c r="E361" s="2" t="s">
        <v>22</v>
      </c>
      <c r="F361" s="2" t="s">
        <v>18</v>
      </c>
      <c r="G361" s="2" t="s">
        <v>23</v>
      </c>
      <c r="H361" s="2">
        <v>21</v>
      </c>
      <c r="I361" s="2">
        <v>273</v>
      </c>
      <c r="J361" s="5">
        <v>95550</v>
      </c>
      <c r="K361" s="5">
        <v>34398</v>
      </c>
    </row>
    <row r="362" spans="1:11" x14ac:dyDescent="0.25">
      <c r="A362" s="2">
        <v>10361</v>
      </c>
      <c r="B362" s="2">
        <f t="shared" si="5"/>
        <v>2019</v>
      </c>
      <c r="C362" s="3">
        <v>43800</v>
      </c>
      <c r="D362" s="4">
        <v>43826</v>
      </c>
      <c r="E362" s="2" t="s">
        <v>11</v>
      </c>
      <c r="F362" s="2" t="s">
        <v>12</v>
      </c>
      <c r="G362" s="2" t="s">
        <v>15</v>
      </c>
      <c r="H362" s="2">
        <v>12</v>
      </c>
      <c r="I362" s="2">
        <v>284</v>
      </c>
      <c r="J362" s="5">
        <v>142000</v>
      </c>
      <c r="K362" s="5">
        <v>58220</v>
      </c>
    </row>
    <row r="363" spans="1:11" x14ac:dyDescent="0.25">
      <c r="A363" s="2">
        <v>10362</v>
      </c>
      <c r="B363" s="2">
        <f t="shared" si="5"/>
        <v>2019</v>
      </c>
      <c r="C363" s="3">
        <v>43800</v>
      </c>
      <c r="D363" s="4">
        <v>43827</v>
      </c>
      <c r="E363" s="2" t="s">
        <v>22</v>
      </c>
      <c r="F363" s="2" t="s">
        <v>18</v>
      </c>
      <c r="G363" s="2" t="s">
        <v>23</v>
      </c>
      <c r="H363" s="2">
        <v>1</v>
      </c>
      <c r="I363" s="2">
        <v>28</v>
      </c>
      <c r="J363" s="5">
        <v>9800</v>
      </c>
      <c r="K363" s="5">
        <v>2940</v>
      </c>
    </row>
    <row r="364" spans="1:11" x14ac:dyDescent="0.25">
      <c r="A364" s="2">
        <v>10363</v>
      </c>
      <c r="B364" s="2">
        <f t="shared" si="5"/>
        <v>2019</v>
      </c>
      <c r="C364" s="3">
        <v>43800</v>
      </c>
      <c r="D364" s="4">
        <v>43828</v>
      </c>
      <c r="E364" s="2" t="s">
        <v>14</v>
      </c>
      <c r="F364" s="2" t="s">
        <v>12</v>
      </c>
      <c r="G364" s="2" t="s">
        <v>13</v>
      </c>
      <c r="H364" s="2">
        <v>15</v>
      </c>
      <c r="I364" s="2">
        <v>168</v>
      </c>
      <c r="J364" s="5">
        <v>126000</v>
      </c>
      <c r="K364" s="5">
        <v>50400</v>
      </c>
    </row>
    <row r="365" spans="1:11" x14ac:dyDescent="0.25">
      <c r="A365" s="2">
        <v>10364</v>
      </c>
      <c r="B365" s="2">
        <f t="shared" si="5"/>
        <v>2019</v>
      </c>
      <c r="C365" s="3">
        <v>43800</v>
      </c>
      <c r="D365" s="4">
        <v>43829</v>
      </c>
      <c r="E365" s="2" t="s">
        <v>22</v>
      </c>
      <c r="F365" s="2" t="s">
        <v>21</v>
      </c>
      <c r="G365" s="2" t="s">
        <v>15</v>
      </c>
      <c r="H365" s="2">
        <v>4</v>
      </c>
      <c r="I365" s="2">
        <v>140</v>
      </c>
      <c r="J365" s="5">
        <v>70000</v>
      </c>
      <c r="K365" s="5">
        <v>30100</v>
      </c>
    </row>
    <row r="366" spans="1:11" x14ac:dyDescent="0.25">
      <c r="A366" s="2">
        <v>10365</v>
      </c>
      <c r="B366" s="2">
        <f t="shared" si="5"/>
        <v>2019</v>
      </c>
      <c r="C366" s="3">
        <v>43800</v>
      </c>
      <c r="D366" s="4">
        <v>43830</v>
      </c>
      <c r="E366" s="2" t="s">
        <v>22</v>
      </c>
      <c r="F366" s="2" t="s">
        <v>21</v>
      </c>
      <c r="G366" s="2" t="s">
        <v>20</v>
      </c>
      <c r="H366" s="2">
        <v>1</v>
      </c>
      <c r="I366" s="2">
        <v>33</v>
      </c>
      <c r="J366" s="5">
        <v>28050</v>
      </c>
      <c r="K366" s="5">
        <v>11220</v>
      </c>
    </row>
    <row r="367" spans="1:11" x14ac:dyDescent="0.25">
      <c r="A367" s="2">
        <v>10366</v>
      </c>
      <c r="B367" s="2">
        <f t="shared" si="5"/>
        <v>2020</v>
      </c>
      <c r="C367" s="3">
        <v>43831</v>
      </c>
      <c r="D367" s="4">
        <v>43831</v>
      </c>
      <c r="E367" s="2" t="s">
        <v>22</v>
      </c>
      <c r="F367" s="2" t="s">
        <v>16</v>
      </c>
      <c r="G367" s="2" t="s">
        <v>15</v>
      </c>
      <c r="H367" s="2">
        <v>9</v>
      </c>
      <c r="I367" s="2">
        <v>132</v>
      </c>
      <c r="J367" s="5">
        <v>66000</v>
      </c>
      <c r="K367" s="5">
        <v>17160</v>
      </c>
    </row>
    <row r="368" spans="1:11" x14ac:dyDescent="0.25">
      <c r="A368" s="2">
        <v>10367</v>
      </c>
      <c r="B368" s="2">
        <f t="shared" si="5"/>
        <v>2020</v>
      </c>
      <c r="C368" s="3">
        <v>43831</v>
      </c>
      <c r="D368" s="4">
        <v>43832</v>
      </c>
      <c r="E368" s="2" t="s">
        <v>22</v>
      </c>
      <c r="F368" s="2" t="s">
        <v>24</v>
      </c>
      <c r="G368" s="2" t="s">
        <v>15</v>
      </c>
      <c r="H368" s="2">
        <v>12</v>
      </c>
      <c r="I368" s="2">
        <v>349</v>
      </c>
      <c r="J368" s="5">
        <v>174500</v>
      </c>
      <c r="K368" s="5">
        <v>22685</v>
      </c>
    </row>
    <row r="369" spans="1:11" x14ac:dyDescent="0.25">
      <c r="A369" s="2">
        <v>10368</v>
      </c>
      <c r="B369" s="2">
        <f t="shared" si="5"/>
        <v>2020</v>
      </c>
      <c r="C369" s="3">
        <v>43831</v>
      </c>
      <c r="D369" s="4">
        <v>43833</v>
      </c>
      <c r="E369" s="2" t="s">
        <v>14</v>
      </c>
      <c r="F369" s="2" t="s">
        <v>21</v>
      </c>
      <c r="G369" s="2" t="s">
        <v>20</v>
      </c>
      <c r="H369" s="2">
        <v>7</v>
      </c>
      <c r="I369" s="2">
        <v>248</v>
      </c>
      <c r="J369" s="5">
        <v>210800</v>
      </c>
      <c r="K369" s="5">
        <v>35836</v>
      </c>
    </row>
    <row r="370" spans="1:11" x14ac:dyDescent="0.25">
      <c r="A370" s="2">
        <v>10369</v>
      </c>
      <c r="B370" s="2">
        <f t="shared" si="5"/>
        <v>2020</v>
      </c>
      <c r="C370" s="3">
        <v>43831</v>
      </c>
      <c r="D370" s="4">
        <v>43834</v>
      </c>
      <c r="E370" s="2" t="s">
        <v>14</v>
      </c>
      <c r="F370" s="2" t="s">
        <v>24</v>
      </c>
      <c r="G370" s="2" t="s">
        <v>15</v>
      </c>
      <c r="H370" s="2">
        <v>1</v>
      </c>
      <c r="I370" s="2">
        <v>60</v>
      </c>
      <c r="J370" s="5">
        <v>30000</v>
      </c>
      <c r="K370" s="5">
        <v>6900</v>
      </c>
    </row>
    <row r="371" spans="1:11" x14ac:dyDescent="0.25">
      <c r="A371" s="2">
        <v>10370</v>
      </c>
      <c r="B371" s="2">
        <f t="shared" si="5"/>
        <v>2020</v>
      </c>
      <c r="C371" s="3">
        <v>43831</v>
      </c>
      <c r="D371" s="4">
        <v>43835</v>
      </c>
      <c r="E371" s="2" t="s">
        <v>11</v>
      </c>
      <c r="F371" s="2" t="s">
        <v>24</v>
      </c>
      <c r="G371" s="2" t="s">
        <v>15</v>
      </c>
      <c r="H371" s="2">
        <v>3</v>
      </c>
      <c r="I371" s="2">
        <v>225</v>
      </c>
      <c r="J371" s="5">
        <v>112500</v>
      </c>
      <c r="K371" s="5">
        <v>11250</v>
      </c>
    </row>
    <row r="372" spans="1:11" x14ac:dyDescent="0.25">
      <c r="A372" s="2">
        <v>10371</v>
      </c>
      <c r="B372" s="2">
        <f t="shared" si="5"/>
        <v>2020</v>
      </c>
      <c r="C372" s="3">
        <v>43831</v>
      </c>
      <c r="D372" s="4">
        <v>43836</v>
      </c>
      <c r="E372" s="2" t="s">
        <v>14</v>
      </c>
      <c r="F372" s="2" t="s">
        <v>24</v>
      </c>
      <c r="G372" s="2" t="s">
        <v>15</v>
      </c>
      <c r="H372" s="2">
        <v>40</v>
      </c>
      <c r="I372" s="2">
        <v>437</v>
      </c>
      <c r="J372" s="5">
        <v>218500</v>
      </c>
      <c r="K372" s="5">
        <v>43700</v>
      </c>
    </row>
    <row r="373" spans="1:11" x14ac:dyDescent="0.25">
      <c r="A373" s="2">
        <v>10372</v>
      </c>
      <c r="B373" s="2">
        <f t="shared" si="5"/>
        <v>2020</v>
      </c>
      <c r="C373" s="3">
        <v>43831</v>
      </c>
      <c r="D373" s="4">
        <v>43837</v>
      </c>
      <c r="E373" s="2" t="s">
        <v>19</v>
      </c>
      <c r="F373" s="2" t="s">
        <v>24</v>
      </c>
      <c r="G373" s="2" t="s">
        <v>23</v>
      </c>
      <c r="H373" s="2">
        <v>18</v>
      </c>
      <c r="I373" s="2">
        <v>207</v>
      </c>
      <c r="J373" s="5">
        <v>72450</v>
      </c>
      <c r="K373" s="5">
        <v>26082</v>
      </c>
    </row>
    <row r="374" spans="1:11" x14ac:dyDescent="0.25">
      <c r="A374" s="2">
        <v>10373</v>
      </c>
      <c r="B374" s="2">
        <f t="shared" si="5"/>
        <v>2020</v>
      </c>
      <c r="C374" s="3">
        <v>43831</v>
      </c>
      <c r="D374" s="4">
        <v>43838</v>
      </c>
      <c r="E374" s="2" t="s">
        <v>22</v>
      </c>
      <c r="F374" s="2" t="s">
        <v>18</v>
      </c>
      <c r="G374" s="2" t="s">
        <v>17</v>
      </c>
      <c r="H374" s="2">
        <v>1</v>
      </c>
      <c r="I374" s="2">
        <v>22</v>
      </c>
      <c r="J374" s="5">
        <v>5500</v>
      </c>
      <c r="K374" s="5">
        <v>1540.0000000000002</v>
      </c>
    </row>
    <row r="375" spans="1:11" x14ac:dyDescent="0.25">
      <c r="A375" s="2">
        <v>10374</v>
      </c>
      <c r="B375" s="2">
        <f t="shared" si="5"/>
        <v>2020</v>
      </c>
      <c r="C375" s="3">
        <v>43831</v>
      </c>
      <c r="D375" s="4">
        <v>43839</v>
      </c>
      <c r="E375" s="2" t="s">
        <v>14</v>
      </c>
      <c r="F375" s="2" t="s">
        <v>24</v>
      </c>
      <c r="G375" s="2" t="s">
        <v>17</v>
      </c>
      <c r="H375" s="2">
        <v>4</v>
      </c>
      <c r="I375" s="2">
        <v>155</v>
      </c>
      <c r="J375" s="5">
        <v>38750</v>
      </c>
      <c r="K375" s="5">
        <v>13175.000000000002</v>
      </c>
    </row>
    <row r="376" spans="1:11" x14ac:dyDescent="0.25">
      <c r="A376" s="2">
        <v>10375</v>
      </c>
      <c r="B376" s="2">
        <f t="shared" si="5"/>
        <v>2020</v>
      </c>
      <c r="C376" s="3">
        <v>43831</v>
      </c>
      <c r="D376" s="4">
        <v>43840</v>
      </c>
      <c r="E376" s="2" t="s">
        <v>14</v>
      </c>
      <c r="F376" s="2" t="s">
        <v>12</v>
      </c>
      <c r="G376" s="2" t="s">
        <v>15</v>
      </c>
      <c r="H376" s="2">
        <v>35</v>
      </c>
      <c r="I376" s="2">
        <v>442</v>
      </c>
      <c r="J376" s="5">
        <v>221000</v>
      </c>
      <c r="K376" s="5">
        <v>26520</v>
      </c>
    </row>
    <row r="377" spans="1:11" x14ac:dyDescent="0.25">
      <c r="A377" s="2">
        <v>10376</v>
      </c>
      <c r="B377" s="2">
        <f t="shared" si="5"/>
        <v>2020</v>
      </c>
      <c r="C377" s="3">
        <v>43831</v>
      </c>
      <c r="D377" s="4">
        <v>43841</v>
      </c>
      <c r="E377" s="2" t="s">
        <v>22</v>
      </c>
      <c r="F377" s="2" t="s">
        <v>16</v>
      </c>
      <c r="G377" s="2" t="s">
        <v>23</v>
      </c>
      <c r="H377" s="2">
        <v>33</v>
      </c>
      <c r="I377" s="2">
        <v>417</v>
      </c>
      <c r="J377" s="5">
        <v>145950</v>
      </c>
      <c r="K377" s="5">
        <v>45244.5</v>
      </c>
    </row>
    <row r="378" spans="1:11" x14ac:dyDescent="0.25">
      <c r="A378" s="2">
        <v>10377</v>
      </c>
      <c r="B378" s="2">
        <f t="shared" si="5"/>
        <v>2020</v>
      </c>
      <c r="C378" s="3">
        <v>43831</v>
      </c>
      <c r="D378" s="4">
        <v>43842</v>
      </c>
      <c r="E378" s="2" t="s">
        <v>11</v>
      </c>
      <c r="F378" s="2" t="s">
        <v>12</v>
      </c>
      <c r="G378" s="2" t="s">
        <v>20</v>
      </c>
      <c r="H378" s="2">
        <v>7</v>
      </c>
      <c r="I378" s="2">
        <v>99</v>
      </c>
      <c r="J378" s="5">
        <v>84150</v>
      </c>
      <c r="K378" s="5">
        <v>19354.5</v>
      </c>
    </row>
    <row r="379" spans="1:11" x14ac:dyDescent="0.25">
      <c r="A379" s="2">
        <v>10378</v>
      </c>
      <c r="B379" s="2">
        <f t="shared" si="5"/>
        <v>2020</v>
      </c>
      <c r="C379" s="3">
        <v>43831</v>
      </c>
      <c r="D379" s="4">
        <v>43843</v>
      </c>
      <c r="E379" s="2" t="s">
        <v>11</v>
      </c>
      <c r="F379" s="2" t="s">
        <v>21</v>
      </c>
      <c r="G379" s="2" t="s">
        <v>15</v>
      </c>
      <c r="H379" s="2">
        <v>16</v>
      </c>
      <c r="I379" s="2">
        <v>237</v>
      </c>
      <c r="J379" s="5">
        <v>118500</v>
      </c>
      <c r="K379" s="5">
        <v>53325</v>
      </c>
    </row>
    <row r="380" spans="1:11" x14ac:dyDescent="0.25">
      <c r="A380" s="2">
        <v>10379</v>
      </c>
      <c r="B380" s="2">
        <f t="shared" si="5"/>
        <v>2020</v>
      </c>
      <c r="C380" s="3">
        <v>43831</v>
      </c>
      <c r="D380" s="4">
        <v>43844</v>
      </c>
      <c r="E380" s="2" t="s">
        <v>14</v>
      </c>
      <c r="F380" s="2" t="s">
        <v>16</v>
      </c>
      <c r="G380" s="2" t="s">
        <v>20</v>
      </c>
      <c r="H380" s="2">
        <v>6</v>
      </c>
      <c r="I380" s="2">
        <v>90</v>
      </c>
      <c r="J380" s="5">
        <v>76500</v>
      </c>
      <c r="K380" s="5">
        <v>7650</v>
      </c>
    </row>
    <row r="381" spans="1:11" x14ac:dyDescent="0.25">
      <c r="A381" s="2">
        <v>10380</v>
      </c>
      <c r="B381" s="2">
        <f t="shared" si="5"/>
        <v>2020</v>
      </c>
      <c r="C381" s="3">
        <v>43831</v>
      </c>
      <c r="D381" s="4">
        <v>43845</v>
      </c>
      <c r="E381" s="2" t="s">
        <v>14</v>
      </c>
      <c r="F381" s="2" t="s">
        <v>16</v>
      </c>
      <c r="G381" s="2" t="s">
        <v>13</v>
      </c>
      <c r="H381" s="2">
        <v>7</v>
      </c>
      <c r="I381" s="2">
        <v>77</v>
      </c>
      <c r="J381" s="5">
        <v>57750</v>
      </c>
      <c r="K381" s="5">
        <v>12705</v>
      </c>
    </row>
    <row r="382" spans="1:11" x14ac:dyDescent="0.25">
      <c r="A382" s="2">
        <v>10381</v>
      </c>
      <c r="B382" s="2">
        <f t="shared" si="5"/>
        <v>2020</v>
      </c>
      <c r="C382" s="3">
        <v>43831</v>
      </c>
      <c r="D382" s="4">
        <v>43846</v>
      </c>
      <c r="E382" s="2" t="s">
        <v>11</v>
      </c>
      <c r="F382" s="2" t="s">
        <v>21</v>
      </c>
      <c r="G382" s="2" t="s">
        <v>13</v>
      </c>
      <c r="H382" s="2">
        <v>25</v>
      </c>
      <c r="I382" s="2">
        <v>472</v>
      </c>
      <c r="J382" s="5">
        <v>354000</v>
      </c>
      <c r="K382" s="5">
        <v>63720</v>
      </c>
    </row>
    <row r="383" spans="1:11" x14ac:dyDescent="0.25">
      <c r="A383" s="2">
        <v>10382</v>
      </c>
      <c r="B383" s="2">
        <f t="shared" si="5"/>
        <v>2020</v>
      </c>
      <c r="C383" s="3">
        <v>43831</v>
      </c>
      <c r="D383" s="4">
        <v>43847</v>
      </c>
      <c r="E383" s="2" t="s">
        <v>25</v>
      </c>
      <c r="F383" s="2" t="s">
        <v>12</v>
      </c>
      <c r="G383" s="2" t="s">
        <v>15</v>
      </c>
      <c r="H383" s="2">
        <v>8</v>
      </c>
      <c r="I383" s="2">
        <v>138</v>
      </c>
      <c r="J383" s="5">
        <v>69000</v>
      </c>
      <c r="K383" s="5">
        <v>13110</v>
      </c>
    </row>
    <row r="384" spans="1:11" x14ac:dyDescent="0.25">
      <c r="A384" s="2">
        <v>10383</v>
      </c>
      <c r="B384" s="2">
        <f t="shared" si="5"/>
        <v>2020</v>
      </c>
      <c r="C384" s="3">
        <v>43831</v>
      </c>
      <c r="D384" s="4">
        <v>43848</v>
      </c>
      <c r="E384" s="2" t="s">
        <v>22</v>
      </c>
      <c r="F384" s="2" t="s">
        <v>18</v>
      </c>
      <c r="G384" s="2" t="s">
        <v>15</v>
      </c>
      <c r="H384" s="2">
        <v>17</v>
      </c>
      <c r="I384" s="2">
        <v>186</v>
      </c>
      <c r="J384" s="5">
        <v>93000</v>
      </c>
      <c r="K384" s="5">
        <v>19530</v>
      </c>
    </row>
    <row r="385" spans="1:11" x14ac:dyDescent="0.25">
      <c r="A385" s="2">
        <v>10384</v>
      </c>
      <c r="B385" s="2">
        <f t="shared" si="5"/>
        <v>2020</v>
      </c>
      <c r="C385" s="3">
        <v>43831</v>
      </c>
      <c r="D385" s="4">
        <v>43849</v>
      </c>
      <c r="E385" s="2" t="s">
        <v>25</v>
      </c>
      <c r="F385" s="2" t="s">
        <v>21</v>
      </c>
      <c r="G385" s="2" t="s">
        <v>15</v>
      </c>
      <c r="H385" s="2">
        <v>9</v>
      </c>
      <c r="I385" s="2">
        <v>336</v>
      </c>
      <c r="J385" s="5">
        <v>168000</v>
      </c>
      <c r="K385" s="5">
        <v>48720</v>
      </c>
    </row>
    <row r="386" spans="1:11" x14ac:dyDescent="0.25">
      <c r="A386" s="2">
        <v>10385</v>
      </c>
      <c r="B386" s="2">
        <f t="shared" si="5"/>
        <v>2020</v>
      </c>
      <c r="C386" s="3">
        <v>43831</v>
      </c>
      <c r="D386" s="4">
        <v>43850</v>
      </c>
      <c r="E386" s="2" t="s">
        <v>14</v>
      </c>
      <c r="F386" s="2" t="s">
        <v>12</v>
      </c>
      <c r="G386" s="2" t="s">
        <v>15</v>
      </c>
      <c r="H386" s="2">
        <v>18</v>
      </c>
      <c r="I386" s="2">
        <v>208</v>
      </c>
      <c r="J386" s="5">
        <v>104000</v>
      </c>
      <c r="K386" s="5">
        <v>28080.000000000004</v>
      </c>
    </row>
    <row r="387" spans="1:11" x14ac:dyDescent="0.25">
      <c r="A387" s="2">
        <v>10386</v>
      </c>
      <c r="B387" s="2">
        <f t="shared" ref="B387:B450" si="6">YEAR(C387)</f>
        <v>2020</v>
      </c>
      <c r="C387" s="3">
        <v>43831</v>
      </c>
      <c r="D387" s="4">
        <v>43851</v>
      </c>
      <c r="E387" s="2" t="s">
        <v>22</v>
      </c>
      <c r="F387" s="2" t="s">
        <v>18</v>
      </c>
      <c r="G387" s="2" t="s">
        <v>20</v>
      </c>
      <c r="H387" s="2">
        <v>32</v>
      </c>
      <c r="I387" s="2">
        <v>342</v>
      </c>
      <c r="J387" s="5">
        <v>290700</v>
      </c>
      <c r="K387" s="5">
        <v>127908</v>
      </c>
    </row>
    <row r="388" spans="1:11" x14ac:dyDescent="0.25">
      <c r="A388" s="2">
        <v>10387</v>
      </c>
      <c r="B388" s="2">
        <f t="shared" si="6"/>
        <v>2020</v>
      </c>
      <c r="C388" s="3">
        <v>43831</v>
      </c>
      <c r="D388" s="4">
        <v>43852</v>
      </c>
      <c r="E388" s="2" t="s">
        <v>11</v>
      </c>
      <c r="F388" s="2" t="s">
        <v>18</v>
      </c>
      <c r="G388" s="2" t="s">
        <v>23</v>
      </c>
      <c r="H388" s="2">
        <v>3</v>
      </c>
      <c r="I388" s="2">
        <v>66</v>
      </c>
      <c r="J388" s="5">
        <v>23100</v>
      </c>
      <c r="K388" s="5">
        <v>3465</v>
      </c>
    </row>
    <row r="389" spans="1:11" x14ac:dyDescent="0.25">
      <c r="A389" s="2">
        <v>10388</v>
      </c>
      <c r="B389" s="2">
        <f t="shared" si="6"/>
        <v>2020</v>
      </c>
      <c r="C389" s="3">
        <v>43831</v>
      </c>
      <c r="D389" s="4">
        <v>43853</v>
      </c>
      <c r="E389" s="2" t="s">
        <v>14</v>
      </c>
      <c r="F389" s="2" t="s">
        <v>21</v>
      </c>
      <c r="G389" s="2" t="s">
        <v>17</v>
      </c>
      <c r="H389" s="2">
        <v>9</v>
      </c>
      <c r="I389" s="2">
        <v>220</v>
      </c>
      <c r="J389" s="5">
        <v>55000</v>
      </c>
      <c r="K389" s="5">
        <v>5500</v>
      </c>
    </row>
    <row r="390" spans="1:11" x14ac:dyDescent="0.25">
      <c r="A390" s="2">
        <v>10389</v>
      </c>
      <c r="B390" s="2">
        <f t="shared" si="6"/>
        <v>2020</v>
      </c>
      <c r="C390" s="3">
        <v>43831</v>
      </c>
      <c r="D390" s="4">
        <v>43854</v>
      </c>
      <c r="E390" s="2" t="s">
        <v>22</v>
      </c>
      <c r="F390" s="2" t="s">
        <v>12</v>
      </c>
      <c r="G390" s="2" t="s">
        <v>13</v>
      </c>
      <c r="H390" s="2">
        <v>7</v>
      </c>
      <c r="I390" s="2">
        <v>87</v>
      </c>
      <c r="J390" s="5">
        <v>65250</v>
      </c>
      <c r="K390" s="5">
        <v>19575</v>
      </c>
    </row>
    <row r="391" spans="1:11" x14ac:dyDescent="0.25">
      <c r="A391" s="2">
        <v>10390</v>
      </c>
      <c r="B391" s="2">
        <f t="shared" si="6"/>
        <v>2020</v>
      </c>
      <c r="C391" s="3">
        <v>43831</v>
      </c>
      <c r="D391" s="4">
        <v>43855</v>
      </c>
      <c r="E391" s="2" t="s">
        <v>25</v>
      </c>
      <c r="F391" s="2" t="s">
        <v>24</v>
      </c>
      <c r="G391" s="2" t="s">
        <v>20</v>
      </c>
      <c r="H391" s="2">
        <v>1</v>
      </c>
      <c r="I391" s="2">
        <v>42</v>
      </c>
      <c r="J391" s="5">
        <v>35700</v>
      </c>
      <c r="K391" s="5">
        <v>8211</v>
      </c>
    </row>
    <row r="392" spans="1:11" x14ac:dyDescent="0.25">
      <c r="A392" s="2">
        <v>10391</v>
      </c>
      <c r="B392" s="2">
        <f t="shared" si="6"/>
        <v>2020</v>
      </c>
      <c r="C392" s="3">
        <v>43831</v>
      </c>
      <c r="D392" s="4">
        <v>43856</v>
      </c>
      <c r="E392" s="2" t="s">
        <v>19</v>
      </c>
      <c r="F392" s="2" t="s">
        <v>24</v>
      </c>
      <c r="G392" s="2" t="s">
        <v>23</v>
      </c>
      <c r="H392" s="2">
        <v>42</v>
      </c>
      <c r="I392" s="2">
        <v>497</v>
      </c>
      <c r="J392" s="5">
        <v>173950</v>
      </c>
      <c r="K392" s="5">
        <v>76538</v>
      </c>
    </row>
    <row r="393" spans="1:11" x14ac:dyDescent="0.25">
      <c r="A393" s="2">
        <v>10392</v>
      </c>
      <c r="B393" s="2">
        <f t="shared" si="6"/>
        <v>2020</v>
      </c>
      <c r="C393" s="3">
        <v>43831</v>
      </c>
      <c r="D393" s="4">
        <v>43857</v>
      </c>
      <c r="E393" s="2" t="s">
        <v>11</v>
      </c>
      <c r="F393" s="2" t="s">
        <v>24</v>
      </c>
      <c r="G393" s="2" t="s">
        <v>20</v>
      </c>
      <c r="H393" s="2">
        <v>35</v>
      </c>
      <c r="I393" s="2">
        <v>356</v>
      </c>
      <c r="J393" s="5">
        <v>302600</v>
      </c>
      <c r="K393" s="5">
        <v>133144</v>
      </c>
    </row>
    <row r="394" spans="1:11" x14ac:dyDescent="0.25">
      <c r="A394" s="2">
        <v>10393</v>
      </c>
      <c r="B394" s="2">
        <f t="shared" si="6"/>
        <v>2020</v>
      </c>
      <c r="C394" s="3">
        <v>43831</v>
      </c>
      <c r="D394" s="4">
        <v>43858</v>
      </c>
      <c r="E394" s="2" t="s">
        <v>22</v>
      </c>
      <c r="F394" s="2" t="s">
        <v>12</v>
      </c>
      <c r="G394" s="2" t="s">
        <v>13</v>
      </c>
      <c r="H394" s="2">
        <v>11</v>
      </c>
      <c r="I394" s="2">
        <v>121</v>
      </c>
      <c r="J394" s="5">
        <v>90750</v>
      </c>
      <c r="K394" s="5">
        <v>16335</v>
      </c>
    </row>
    <row r="395" spans="1:11" x14ac:dyDescent="0.25">
      <c r="A395" s="2">
        <v>10394</v>
      </c>
      <c r="B395" s="2">
        <f t="shared" si="6"/>
        <v>2020</v>
      </c>
      <c r="C395" s="3">
        <v>43831</v>
      </c>
      <c r="D395" s="4">
        <v>43859</v>
      </c>
      <c r="E395" s="2" t="s">
        <v>19</v>
      </c>
      <c r="F395" s="2" t="s">
        <v>12</v>
      </c>
      <c r="G395" s="2" t="s">
        <v>17</v>
      </c>
      <c r="H395" s="2">
        <v>1</v>
      </c>
      <c r="I395" s="2">
        <v>72</v>
      </c>
      <c r="J395" s="5">
        <v>18000</v>
      </c>
      <c r="K395" s="5">
        <v>7740</v>
      </c>
    </row>
    <row r="396" spans="1:11" x14ac:dyDescent="0.25">
      <c r="A396" s="2">
        <v>10395</v>
      </c>
      <c r="B396" s="2">
        <f t="shared" si="6"/>
        <v>2020</v>
      </c>
      <c r="C396" s="3">
        <v>43831</v>
      </c>
      <c r="D396" s="4">
        <v>43860</v>
      </c>
      <c r="E396" s="2" t="s">
        <v>14</v>
      </c>
      <c r="F396" s="2" t="s">
        <v>24</v>
      </c>
      <c r="G396" s="2" t="s">
        <v>23</v>
      </c>
      <c r="H396" s="2">
        <v>9</v>
      </c>
      <c r="I396" s="2">
        <v>366</v>
      </c>
      <c r="J396" s="5">
        <v>128100</v>
      </c>
      <c r="K396" s="5">
        <v>48678</v>
      </c>
    </row>
    <row r="397" spans="1:11" x14ac:dyDescent="0.25">
      <c r="A397" s="2">
        <v>10396</v>
      </c>
      <c r="B397" s="2">
        <f t="shared" si="6"/>
        <v>2020</v>
      </c>
      <c r="C397" s="3">
        <v>43831</v>
      </c>
      <c r="D397" s="4">
        <v>43861</v>
      </c>
      <c r="E397" s="2" t="s">
        <v>22</v>
      </c>
      <c r="F397" s="2" t="s">
        <v>24</v>
      </c>
      <c r="G397" s="2" t="s">
        <v>23</v>
      </c>
      <c r="H397" s="2">
        <v>26</v>
      </c>
      <c r="I397" s="2">
        <v>264</v>
      </c>
      <c r="J397" s="5">
        <v>92400</v>
      </c>
      <c r="K397" s="5">
        <v>13860</v>
      </c>
    </row>
    <row r="398" spans="1:11" x14ac:dyDescent="0.25">
      <c r="A398" s="2">
        <v>10397</v>
      </c>
      <c r="B398" s="2">
        <f t="shared" si="6"/>
        <v>2020</v>
      </c>
      <c r="C398" s="3">
        <v>43862</v>
      </c>
      <c r="D398" s="4">
        <v>43862</v>
      </c>
      <c r="E398" s="2" t="s">
        <v>22</v>
      </c>
      <c r="F398" s="2" t="s">
        <v>16</v>
      </c>
      <c r="G398" s="2" t="s">
        <v>17</v>
      </c>
      <c r="H398" s="2">
        <v>5</v>
      </c>
      <c r="I398" s="2">
        <v>167</v>
      </c>
      <c r="J398" s="5">
        <v>41750</v>
      </c>
      <c r="K398" s="5">
        <v>6680</v>
      </c>
    </row>
    <row r="399" spans="1:11" x14ac:dyDescent="0.25">
      <c r="A399" s="2">
        <v>10398</v>
      </c>
      <c r="B399" s="2">
        <f t="shared" si="6"/>
        <v>2020</v>
      </c>
      <c r="C399" s="3">
        <v>43862</v>
      </c>
      <c r="D399" s="4">
        <v>43863</v>
      </c>
      <c r="E399" s="2" t="s">
        <v>14</v>
      </c>
      <c r="F399" s="2" t="s">
        <v>18</v>
      </c>
      <c r="G399" s="2" t="s">
        <v>13</v>
      </c>
      <c r="H399" s="2">
        <v>12</v>
      </c>
      <c r="I399" s="2">
        <v>496</v>
      </c>
      <c r="J399" s="5">
        <v>372000</v>
      </c>
      <c r="K399" s="5">
        <v>89280</v>
      </c>
    </row>
    <row r="400" spans="1:11" x14ac:dyDescent="0.25">
      <c r="A400" s="2">
        <v>10399</v>
      </c>
      <c r="B400" s="2">
        <f t="shared" si="6"/>
        <v>2020</v>
      </c>
      <c r="C400" s="3">
        <v>43862</v>
      </c>
      <c r="D400" s="4">
        <v>43864</v>
      </c>
      <c r="E400" s="2" t="s">
        <v>11</v>
      </c>
      <c r="F400" s="2" t="s">
        <v>21</v>
      </c>
      <c r="G400" s="2" t="s">
        <v>15</v>
      </c>
      <c r="H400" s="2">
        <v>23</v>
      </c>
      <c r="I400" s="2">
        <v>279</v>
      </c>
      <c r="J400" s="5">
        <v>139500</v>
      </c>
      <c r="K400" s="5">
        <v>19530.000000000004</v>
      </c>
    </row>
    <row r="401" spans="1:11" x14ac:dyDescent="0.25">
      <c r="A401" s="2">
        <v>10400</v>
      </c>
      <c r="B401" s="2">
        <f t="shared" si="6"/>
        <v>2020</v>
      </c>
      <c r="C401" s="3">
        <v>43862</v>
      </c>
      <c r="D401" s="4">
        <v>43865</v>
      </c>
      <c r="E401" s="2" t="s">
        <v>19</v>
      </c>
      <c r="F401" s="2" t="s">
        <v>21</v>
      </c>
      <c r="G401" s="2" t="s">
        <v>17</v>
      </c>
      <c r="H401" s="2">
        <v>37</v>
      </c>
      <c r="I401" s="2">
        <v>477</v>
      </c>
      <c r="J401" s="5">
        <v>119250</v>
      </c>
      <c r="K401" s="5">
        <v>50085</v>
      </c>
    </row>
    <row r="402" spans="1:11" x14ac:dyDescent="0.25">
      <c r="A402" s="2">
        <v>10401</v>
      </c>
      <c r="B402" s="2">
        <f t="shared" si="6"/>
        <v>2020</v>
      </c>
      <c r="C402" s="3">
        <v>43862</v>
      </c>
      <c r="D402" s="4">
        <v>43866</v>
      </c>
      <c r="E402" s="2" t="s">
        <v>22</v>
      </c>
      <c r="F402" s="2" t="s">
        <v>24</v>
      </c>
      <c r="G402" s="2" t="s">
        <v>17</v>
      </c>
      <c r="H402" s="2">
        <v>7</v>
      </c>
      <c r="I402" s="2">
        <v>306</v>
      </c>
      <c r="J402" s="5">
        <v>76500</v>
      </c>
      <c r="K402" s="5">
        <v>13770</v>
      </c>
    </row>
    <row r="403" spans="1:11" x14ac:dyDescent="0.25">
      <c r="A403" s="2">
        <v>10402</v>
      </c>
      <c r="B403" s="2">
        <f t="shared" si="6"/>
        <v>2020</v>
      </c>
      <c r="C403" s="3">
        <v>43862</v>
      </c>
      <c r="D403" s="4">
        <v>43867</v>
      </c>
      <c r="E403" s="2" t="s">
        <v>19</v>
      </c>
      <c r="F403" s="2" t="s">
        <v>21</v>
      </c>
      <c r="G403" s="2" t="s">
        <v>15</v>
      </c>
      <c r="H403" s="2">
        <v>46</v>
      </c>
      <c r="I403" s="2">
        <v>492</v>
      </c>
      <c r="J403" s="5">
        <v>246000</v>
      </c>
      <c r="K403" s="5">
        <v>76260</v>
      </c>
    </row>
    <row r="404" spans="1:11" x14ac:dyDescent="0.25">
      <c r="A404" s="2">
        <v>10403</v>
      </c>
      <c r="B404" s="2">
        <f t="shared" si="6"/>
        <v>2020</v>
      </c>
      <c r="C404" s="3">
        <v>43862</v>
      </c>
      <c r="D404" s="4">
        <v>43868</v>
      </c>
      <c r="E404" s="2" t="s">
        <v>11</v>
      </c>
      <c r="F404" s="2" t="s">
        <v>16</v>
      </c>
      <c r="G404" s="2" t="s">
        <v>17</v>
      </c>
      <c r="H404" s="2">
        <v>9</v>
      </c>
      <c r="I404" s="2">
        <v>365</v>
      </c>
      <c r="J404" s="5">
        <v>91250</v>
      </c>
      <c r="K404" s="5">
        <v>10037.5</v>
      </c>
    </row>
    <row r="405" spans="1:11" x14ac:dyDescent="0.25">
      <c r="A405" s="2">
        <v>10404</v>
      </c>
      <c r="B405" s="2">
        <f t="shared" si="6"/>
        <v>2020</v>
      </c>
      <c r="C405" s="3">
        <v>43862</v>
      </c>
      <c r="D405" s="4">
        <v>43869</v>
      </c>
      <c r="E405" s="2" t="s">
        <v>14</v>
      </c>
      <c r="F405" s="2" t="s">
        <v>12</v>
      </c>
      <c r="G405" s="2" t="s">
        <v>15</v>
      </c>
      <c r="H405" s="2">
        <v>11</v>
      </c>
      <c r="I405" s="2">
        <v>449</v>
      </c>
      <c r="J405" s="5">
        <v>224500</v>
      </c>
      <c r="K405" s="5">
        <v>101025</v>
      </c>
    </row>
    <row r="406" spans="1:11" x14ac:dyDescent="0.25">
      <c r="A406" s="2">
        <v>10405</v>
      </c>
      <c r="B406" s="2">
        <f t="shared" si="6"/>
        <v>2020</v>
      </c>
      <c r="C406" s="3">
        <v>43862</v>
      </c>
      <c r="D406" s="4">
        <v>43870</v>
      </c>
      <c r="E406" s="2" t="s">
        <v>22</v>
      </c>
      <c r="F406" s="2" t="s">
        <v>24</v>
      </c>
      <c r="G406" s="2" t="s">
        <v>13</v>
      </c>
      <c r="H406" s="2">
        <v>3</v>
      </c>
      <c r="I406" s="2">
        <v>41</v>
      </c>
      <c r="J406" s="5">
        <v>30750</v>
      </c>
      <c r="K406" s="5">
        <v>7380</v>
      </c>
    </row>
    <row r="407" spans="1:11" x14ac:dyDescent="0.25">
      <c r="A407" s="2">
        <v>10406</v>
      </c>
      <c r="B407" s="2">
        <f t="shared" si="6"/>
        <v>2020</v>
      </c>
      <c r="C407" s="3">
        <v>43862</v>
      </c>
      <c r="D407" s="4">
        <v>43871</v>
      </c>
      <c r="E407" s="2" t="s">
        <v>25</v>
      </c>
      <c r="F407" s="2" t="s">
        <v>18</v>
      </c>
      <c r="G407" s="2" t="s">
        <v>20</v>
      </c>
      <c r="H407" s="2">
        <v>6</v>
      </c>
      <c r="I407" s="2">
        <v>149</v>
      </c>
      <c r="J407" s="5">
        <v>126650</v>
      </c>
      <c r="K407" s="5">
        <v>16464.5</v>
      </c>
    </row>
    <row r="408" spans="1:11" x14ac:dyDescent="0.25">
      <c r="A408" s="2">
        <v>10407</v>
      </c>
      <c r="B408" s="2">
        <f t="shared" si="6"/>
        <v>2020</v>
      </c>
      <c r="C408" s="3">
        <v>43862</v>
      </c>
      <c r="D408" s="4">
        <v>43872</v>
      </c>
      <c r="E408" s="2" t="s">
        <v>11</v>
      </c>
      <c r="F408" s="2" t="s">
        <v>18</v>
      </c>
      <c r="G408" s="2" t="s">
        <v>23</v>
      </c>
      <c r="H408" s="2">
        <v>24</v>
      </c>
      <c r="I408" s="2">
        <v>279</v>
      </c>
      <c r="J408" s="5">
        <v>97650</v>
      </c>
      <c r="K408" s="5">
        <v>27342.000000000004</v>
      </c>
    </row>
    <row r="409" spans="1:11" x14ac:dyDescent="0.25">
      <c r="A409" s="2">
        <v>10408</v>
      </c>
      <c r="B409" s="2">
        <f t="shared" si="6"/>
        <v>2020</v>
      </c>
      <c r="C409" s="3">
        <v>43862</v>
      </c>
      <c r="D409" s="4">
        <v>43873</v>
      </c>
      <c r="E409" s="2" t="s">
        <v>19</v>
      </c>
      <c r="F409" s="2" t="s">
        <v>21</v>
      </c>
      <c r="G409" s="2" t="s">
        <v>13</v>
      </c>
      <c r="H409" s="2">
        <v>14</v>
      </c>
      <c r="I409" s="2">
        <v>142</v>
      </c>
      <c r="J409" s="5">
        <v>106500</v>
      </c>
      <c r="K409" s="5">
        <v>15975</v>
      </c>
    </row>
    <row r="410" spans="1:11" x14ac:dyDescent="0.25">
      <c r="A410" s="2">
        <v>10409</v>
      </c>
      <c r="B410" s="2">
        <f t="shared" si="6"/>
        <v>2020</v>
      </c>
      <c r="C410" s="3">
        <v>43862</v>
      </c>
      <c r="D410" s="4">
        <v>43874</v>
      </c>
      <c r="E410" s="2" t="s">
        <v>14</v>
      </c>
      <c r="F410" s="2" t="s">
        <v>21</v>
      </c>
      <c r="G410" s="2" t="s">
        <v>17</v>
      </c>
      <c r="H410" s="2">
        <v>3</v>
      </c>
      <c r="I410" s="2">
        <v>107</v>
      </c>
      <c r="J410" s="5">
        <v>26750</v>
      </c>
      <c r="K410" s="5">
        <v>12037.5</v>
      </c>
    </row>
    <row r="411" spans="1:11" x14ac:dyDescent="0.25">
      <c r="A411" s="2">
        <v>10410</v>
      </c>
      <c r="B411" s="2">
        <f t="shared" si="6"/>
        <v>2020</v>
      </c>
      <c r="C411" s="3">
        <v>43862</v>
      </c>
      <c r="D411" s="4">
        <v>43875</v>
      </c>
      <c r="E411" s="2" t="s">
        <v>25</v>
      </c>
      <c r="F411" s="2" t="s">
        <v>21</v>
      </c>
      <c r="G411" s="2" t="s">
        <v>23</v>
      </c>
      <c r="H411" s="2">
        <v>16</v>
      </c>
      <c r="I411" s="2">
        <v>246</v>
      </c>
      <c r="J411" s="5">
        <v>86100</v>
      </c>
      <c r="K411" s="5">
        <v>24969</v>
      </c>
    </row>
    <row r="412" spans="1:11" x14ac:dyDescent="0.25">
      <c r="A412" s="2">
        <v>10411</v>
      </c>
      <c r="B412" s="2">
        <f t="shared" si="6"/>
        <v>2020</v>
      </c>
      <c r="C412" s="3">
        <v>43862</v>
      </c>
      <c r="D412" s="4">
        <v>43876</v>
      </c>
      <c r="E412" s="2" t="s">
        <v>11</v>
      </c>
      <c r="F412" s="2" t="s">
        <v>21</v>
      </c>
      <c r="G412" s="2" t="s">
        <v>15</v>
      </c>
      <c r="H412" s="2">
        <v>1</v>
      </c>
      <c r="I412" s="2">
        <v>78</v>
      </c>
      <c r="J412" s="5">
        <v>39000</v>
      </c>
      <c r="K412" s="5">
        <v>13650</v>
      </c>
    </row>
    <row r="413" spans="1:11" x14ac:dyDescent="0.25">
      <c r="A413" s="2">
        <v>10412</v>
      </c>
      <c r="B413" s="2">
        <f t="shared" si="6"/>
        <v>2020</v>
      </c>
      <c r="C413" s="3">
        <v>43862</v>
      </c>
      <c r="D413" s="4">
        <v>43877</v>
      </c>
      <c r="E413" s="2" t="s">
        <v>25</v>
      </c>
      <c r="F413" s="2" t="s">
        <v>12</v>
      </c>
      <c r="G413" s="2" t="s">
        <v>20</v>
      </c>
      <c r="H413" s="2">
        <v>2</v>
      </c>
      <c r="I413" s="2">
        <v>98</v>
      </c>
      <c r="J413" s="5">
        <v>83300</v>
      </c>
      <c r="K413" s="5">
        <v>14994</v>
      </c>
    </row>
    <row r="414" spans="1:11" x14ac:dyDescent="0.25">
      <c r="A414" s="2">
        <v>10413</v>
      </c>
      <c r="B414" s="2">
        <f t="shared" si="6"/>
        <v>2020</v>
      </c>
      <c r="C414" s="3">
        <v>43862</v>
      </c>
      <c r="D414" s="4">
        <v>43878</v>
      </c>
      <c r="E414" s="2" t="s">
        <v>22</v>
      </c>
      <c r="F414" s="2" t="s">
        <v>16</v>
      </c>
      <c r="G414" s="2" t="s">
        <v>15</v>
      </c>
      <c r="H414" s="2">
        <v>1</v>
      </c>
      <c r="I414" s="2">
        <v>16</v>
      </c>
      <c r="J414" s="5">
        <v>8000</v>
      </c>
      <c r="K414" s="5">
        <v>1920</v>
      </c>
    </row>
    <row r="415" spans="1:11" x14ac:dyDescent="0.25">
      <c r="A415" s="2">
        <v>10414</v>
      </c>
      <c r="B415" s="2">
        <f t="shared" si="6"/>
        <v>2020</v>
      </c>
      <c r="C415" s="3">
        <v>43862</v>
      </c>
      <c r="D415" s="4">
        <v>43879</v>
      </c>
      <c r="E415" s="2" t="s">
        <v>11</v>
      </c>
      <c r="F415" s="2" t="s">
        <v>21</v>
      </c>
      <c r="G415" s="2" t="s">
        <v>20</v>
      </c>
      <c r="H415" s="2">
        <v>3</v>
      </c>
      <c r="I415" s="2">
        <v>48</v>
      </c>
      <c r="J415" s="5">
        <v>40800</v>
      </c>
      <c r="K415" s="5">
        <v>6120</v>
      </c>
    </row>
    <row r="416" spans="1:11" x14ac:dyDescent="0.25">
      <c r="A416" s="2">
        <v>10415</v>
      </c>
      <c r="B416" s="2">
        <f t="shared" si="6"/>
        <v>2020</v>
      </c>
      <c r="C416" s="3">
        <v>43862</v>
      </c>
      <c r="D416" s="4">
        <v>43880</v>
      </c>
      <c r="E416" s="2" t="s">
        <v>25</v>
      </c>
      <c r="F416" s="2" t="s">
        <v>12</v>
      </c>
      <c r="G416" s="2" t="s">
        <v>20</v>
      </c>
      <c r="H416" s="2">
        <v>1</v>
      </c>
      <c r="I416" s="2">
        <v>63</v>
      </c>
      <c r="J416" s="5">
        <v>53550</v>
      </c>
      <c r="K416" s="5">
        <v>18207</v>
      </c>
    </row>
    <row r="417" spans="1:11" x14ac:dyDescent="0.25">
      <c r="A417" s="2">
        <v>10416</v>
      </c>
      <c r="B417" s="2">
        <f t="shared" si="6"/>
        <v>2020</v>
      </c>
      <c r="C417" s="3">
        <v>43862</v>
      </c>
      <c r="D417" s="4">
        <v>43881</v>
      </c>
      <c r="E417" s="2" t="s">
        <v>11</v>
      </c>
      <c r="F417" s="2" t="s">
        <v>24</v>
      </c>
      <c r="G417" s="2" t="s">
        <v>15</v>
      </c>
      <c r="H417" s="2">
        <v>37</v>
      </c>
      <c r="I417" s="2">
        <v>376</v>
      </c>
      <c r="J417" s="5">
        <v>188000</v>
      </c>
      <c r="K417" s="5">
        <v>24440</v>
      </c>
    </row>
    <row r="418" spans="1:11" x14ac:dyDescent="0.25">
      <c r="A418" s="2">
        <v>10417</v>
      </c>
      <c r="B418" s="2">
        <f t="shared" si="6"/>
        <v>2020</v>
      </c>
      <c r="C418" s="3">
        <v>43862</v>
      </c>
      <c r="D418" s="4">
        <v>43882</v>
      </c>
      <c r="E418" s="2" t="s">
        <v>14</v>
      </c>
      <c r="F418" s="2" t="s">
        <v>21</v>
      </c>
      <c r="G418" s="2" t="s">
        <v>13</v>
      </c>
      <c r="H418" s="2">
        <v>12</v>
      </c>
      <c r="I418" s="2">
        <v>291</v>
      </c>
      <c r="J418" s="5">
        <v>218250</v>
      </c>
      <c r="K418" s="5">
        <v>65475</v>
      </c>
    </row>
    <row r="419" spans="1:11" x14ac:dyDescent="0.25">
      <c r="A419" s="2">
        <v>10418</v>
      </c>
      <c r="B419" s="2">
        <f t="shared" si="6"/>
        <v>2020</v>
      </c>
      <c r="C419" s="3">
        <v>43862</v>
      </c>
      <c r="D419" s="4">
        <v>43883</v>
      </c>
      <c r="E419" s="2" t="s">
        <v>11</v>
      </c>
      <c r="F419" s="2" t="s">
        <v>16</v>
      </c>
      <c r="G419" s="2" t="s">
        <v>23</v>
      </c>
      <c r="H419" s="2">
        <v>9</v>
      </c>
      <c r="I419" s="2">
        <v>271</v>
      </c>
      <c r="J419" s="5">
        <v>94850</v>
      </c>
      <c r="K419" s="5">
        <v>19918.5</v>
      </c>
    </row>
    <row r="420" spans="1:11" x14ac:dyDescent="0.25">
      <c r="A420" s="2">
        <v>10419</v>
      </c>
      <c r="B420" s="2">
        <f t="shared" si="6"/>
        <v>2020</v>
      </c>
      <c r="C420" s="3">
        <v>43862</v>
      </c>
      <c r="D420" s="4">
        <v>43884</v>
      </c>
      <c r="E420" s="2" t="s">
        <v>14</v>
      </c>
      <c r="F420" s="2" t="s">
        <v>16</v>
      </c>
      <c r="G420" s="2" t="s">
        <v>23</v>
      </c>
      <c r="H420" s="2">
        <v>17</v>
      </c>
      <c r="I420" s="2">
        <v>223</v>
      </c>
      <c r="J420" s="5">
        <v>78050</v>
      </c>
      <c r="K420" s="5">
        <v>25756.5</v>
      </c>
    </row>
    <row r="421" spans="1:11" x14ac:dyDescent="0.25">
      <c r="A421" s="2">
        <v>10420</v>
      </c>
      <c r="B421" s="2">
        <f t="shared" si="6"/>
        <v>2020</v>
      </c>
      <c r="C421" s="3">
        <v>43862</v>
      </c>
      <c r="D421" s="4">
        <v>43885</v>
      </c>
      <c r="E421" s="2" t="s">
        <v>14</v>
      </c>
      <c r="F421" s="2" t="s">
        <v>21</v>
      </c>
      <c r="G421" s="2" t="s">
        <v>17</v>
      </c>
      <c r="H421" s="2">
        <v>28</v>
      </c>
      <c r="I421" s="2">
        <v>344</v>
      </c>
      <c r="J421" s="5">
        <v>86000</v>
      </c>
      <c r="K421" s="5">
        <v>18060</v>
      </c>
    </row>
    <row r="422" spans="1:11" x14ac:dyDescent="0.25">
      <c r="A422" s="2">
        <v>10421</v>
      </c>
      <c r="B422" s="2">
        <f t="shared" si="6"/>
        <v>2020</v>
      </c>
      <c r="C422" s="3">
        <v>43862</v>
      </c>
      <c r="D422" s="4">
        <v>43886</v>
      </c>
      <c r="E422" s="2" t="s">
        <v>25</v>
      </c>
      <c r="F422" s="2" t="s">
        <v>18</v>
      </c>
      <c r="G422" s="2" t="s">
        <v>23</v>
      </c>
      <c r="H422" s="2">
        <v>23</v>
      </c>
      <c r="I422" s="2">
        <v>435</v>
      </c>
      <c r="J422" s="5">
        <v>152250</v>
      </c>
      <c r="K422" s="5">
        <v>18270</v>
      </c>
    </row>
    <row r="423" spans="1:11" x14ac:dyDescent="0.25">
      <c r="A423" s="2">
        <v>10422</v>
      </c>
      <c r="B423" s="2">
        <f t="shared" si="6"/>
        <v>2020</v>
      </c>
      <c r="C423" s="3">
        <v>43862</v>
      </c>
      <c r="D423" s="4">
        <v>43887</v>
      </c>
      <c r="E423" s="2" t="s">
        <v>14</v>
      </c>
      <c r="F423" s="2" t="s">
        <v>24</v>
      </c>
      <c r="G423" s="2" t="s">
        <v>23</v>
      </c>
      <c r="H423" s="2">
        <v>5</v>
      </c>
      <c r="I423" s="2">
        <v>436</v>
      </c>
      <c r="J423" s="5">
        <v>152600</v>
      </c>
      <c r="K423" s="5">
        <v>16786</v>
      </c>
    </row>
    <row r="424" spans="1:11" x14ac:dyDescent="0.25">
      <c r="A424" s="2">
        <v>10423</v>
      </c>
      <c r="B424" s="2">
        <f t="shared" si="6"/>
        <v>2020</v>
      </c>
      <c r="C424" s="3">
        <v>43862</v>
      </c>
      <c r="D424" s="4">
        <v>43888</v>
      </c>
      <c r="E424" s="2" t="s">
        <v>19</v>
      </c>
      <c r="F424" s="2" t="s">
        <v>24</v>
      </c>
      <c r="G424" s="2" t="s">
        <v>17</v>
      </c>
      <c r="H424" s="2">
        <v>35</v>
      </c>
      <c r="I424" s="2">
        <v>472</v>
      </c>
      <c r="J424" s="5">
        <v>118000</v>
      </c>
      <c r="K424" s="5">
        <v>28320</v>
      </c>
    </row>
    <row r="425" spans="1:11" x14ac:dyDescent="0.25">
      <c r="A425" s="2">
        <v>10424</v>
      </c>
      <c r="B425" s="2">
        <f t="shared" si="6"/>
        <v>2020</v>
      </c>
      <c r="C425" s="3">
        <v>43862</v>
      </c>
      <c r="D425" s="4">
        <v>43889</v>
      </c>
      <c r="E425" s="2" t="s">
        <v>22</v>
      </c>
      <c r="F425" s="2" t="s">
        <v>12</v>
      </c>
      <c r="G425" s="2" t="s">
        <v>20</v>
      </c>
      <c r="H425" s="2">
        <v>6</v>
      </c>
      <c r="I425" s="2">
        <v>178</v>
      </c>
      <c r="J425" s="5">
        <v>151300</v>
      </c>
      <c r="K425" s="5">
        <v>30260</v>
      </c>
    </row>
    <row r="426" spans="1:11" x14ac:dyDescent="0.25">
      <c r="A426" s="2">
        <v>10425</v>
      </c>
      <c r="B426" s="2">
        <f t="shared" si="6"/>
        <v>2020</v>
      </c>
      <c r="C426" s="3">
        <v>43862</v>
      </c>
      <c r="D426" s="4">
        <v>43890</v>
      </c>
      <c r="E426" s="2" t="s">
        <v>11</v>
      </c>
      <c r="F426" s="2" t="s">
        <v>24</v>
      </c>
      <c r="G426" s="2" t="s">
        <v>17</v>
      </c>
      <c r="H426" s="2">
        <v>30</v>
      </c>
      <c r="I426" s="2">
        <v>363</v>
      </c>
      <c r="J426" s="5">
        <v>90750</v>
      </c>
      <c r="K426" s="5">
        <v>39930</v>
      </c>
    </row>
    <row r="427" spans="1:11" x14ac:dyDescent="0.25">
      <c r="A427" s="2">
        <v>10426</v>
      </c>
      <c r="B427" s="2">
        <f t="shared" si="6"/>
        <v>2020</v>
      </c>
      <c r="C427" s="3">
        <v>43891</v>
      </c>
      <c r="D427" s="4">
        <v>43891</v>
      </c>
      <c r="E427" s="2" t="s">
        <v>11</v>
      </c>
      <c r="F427" s="2" t="s">
        <v>16</v>
      </c>
      <c r="G427" s="2" t="s">
        <v>20</v>
      </c>
      <c r="H427" s="2">
        <v>1</v>
      </c>
      <c r="I427" s="2">
        <v>24</v>
      </c>
      <c r="J427" s="5">
        <v>20400</v>
      </c>
      <c r="K427" s="5">
        <v>8568</v>
      </c>
    </row>
    <row r="428" spans="1:11" x14ac:dyDescent="0.25">
      <c r="A428" s="2">
        <v>10427</v>
      </c>
      <c r="B428" s="2">
        <f t="shared" si="6"/>
        <v>2020</v>
      </c>
      <c r="C428" s="3">
        <v>43891</v>
      </c>
      <c r="D428" s="4">
        <v>43892</v>
      </c>
      <c r="E428" s="2" t="s">
        <v>11</v>
      </c>
      <c r="F428" s="2" t="s">
        <v>24</v>
      </c>
      <c r="G428" s="2" t="s">
        <v>13</v>
      </c>
      <c r="H428" s="2">
        <v>12</v>
      </c>
      <c r="I428" s="2">
        <v>124</v>
      </c>
      <c r="J428" s="5">
        <v>93000</v>
      </c>
      <c r="K428" s="5">
        <v>32549.999999999996</v>
      </c>
    </row>
    <row r="429" spans="1:11" x14ac:dyDescent="0.25">
      <c r="A429" s="2">
        <v>10428</v>
      </c>
      <c r="B429" s="2">
        <f t="shared" si="6"/>
        <v>2020</v>
      </c>
      <c r="C429" s="3">
        <v>43891</v>
      </c>
      <c r="D429" s="4">
        <v>43893</v>
      </c>
      <c r="E429" s="2" t="s">
        <v>11</v>
      </c>
      <c r="F429" s="2" t="s">
        <v>21</v>
      </c>
      <c r="G429" s="2" t="s">
        <v>20</v>
      </c>
      <c r="H429" s="2">
        <v>35</v>
      </c>
      <c r="I429" s="2">
        <v>429</v>
      </c>
      <c r="J429" s="5">
        <v>364650</v>
      </c>
      <c r="K429" s="5">
        <v>98455.5</v>
      </c>
    </row>
    <row r="430" spans="1:11" x14ac:dyDescent="0.25">
      <c r="A430" s="2">
        <v>10429</v>
      </c>
      <c r="B430" s="2">
        <f t="shared" si="6"/>
        <v>2020</v>
      </c>
      <c r="C430" s="3">
        <v>43891</v>
      </c>
      <c r="D430" s="4">
        <v>43894</v>
      </c>
      <c r="E430" s="2" t="s">
        <v>25</v>
      </c>
      <c r="F430" s="2" t="s">
        <v>24</v>
      </c>
      <c r="G430" s="2" t="s">
        <v>17</v>
      </c>
      <c r="H430" s="2">
        <v>25</v>
      </c>
      <c r="I430" s="2">
        <v>338</v>
      </c>
      <c r="J430" s="5">
        <v>84500</v>
      </c>
      <c r="K430" s="5">
        <v>22815</v>
      </c>
    </row>
    <row r="431" spans="1:11" x14ac:dyDescent="0.25">
      <c r="A431" s="2">
        <v>10430</v>
      </c>
      <c r="B431" s="2">
        <f t="shared" si="6"/>
        <v>2020</v>
      </c>
      <c r="C431" s="3">
        <v>43891</v>
      </c>
      <c r="D431" s="4">
        <v>43895</v>
      </c>
      <c r="E431" s="2" t="s">
        <v>14</v>
      </c>
      <c r="F431" s="2" t="s">
        <v>21</v>
      </c>
      <c r="G431" s="2" t="s">
        <v>23</v>
      </c>
      <c r="H431" s="2">
        <v>15</v>
      </c>
      <c r="I431" s="2">
        <v>175</v>
      </c>
      <c r="J431" s="5">
        <v>61250</v>
      </c>
      <c r="K431" s="5">
        <v>15925</v>
      </c>
    </row>
    <row r="432" spans="1:11" x14ac:dyDescent="0.25">
      <c r="A432" s="2">
        <v>10431</v>
      </c>
      <c r="B432" s="2">
        <f t="shared" si="6"/>
        <v>2020</v>
      </c>
      <c r="C432" s="3">
        <v>43891</v>
      </c>
      <c r="D432" s="4">
        <v>43896</v>
      </c>
      <c r="E432" s="2" t="s">
        <v>11</v>
      </c>
      <c r="F432" s="2" t="s">
        <v>24</v>
      </c>
      <c r="G432" s="2" t="s">
        <v>20</v>
      </c>
      <c r="H432" s="2">
        <v>1</v>
      </c>
      <c r="I432" s="2">
        <v>18</v>
      </c>
      <c r="J432" s="5">
        <v>15300</v>
      </c>
      <c r="K432" s="5">
        <v>6732</v>
      </c>
    </row>
    <row r="433" spans="1:11" x14ac:dyDescent="0.25">
      <c r="A433" s="2">
        <v>10432</v>
      </c>
      <c r="B433" s="2">
        <f t="shared" si="6"/>
        <v>2020</v>
      </c>
      <c r="C433" s="3">
        <v>43891</v>
      </c>
      <c r="D433" s="4">
        <v>43897</v>
      </c>
      <c r="E433" s="2" t="s">
        <v>25</v>
      </c>
      <c r="F433" s="2" t="s">
        <v>18</v>
      </c>
      <c r="G433" s="2" t="s">
        <v>17</v>
      </c>
      <c r="H433" s="2">
        <v>6</v>
      </c>
      <c r="I433" s="2">
        <v>327</v>
      </c>
      <c r="J433" s="5">
        <v>81750</v>
      </c>
      <c r="K433" s="5">
        <v>30247.5</v>
      </c>
    </row>
    <row r="434" spans="1:11" x14ac:dyDescent="0.25">
      <c r="A434" s="2">
        <v>10433</v>
      </c>
      <c r="B434" s="2">
        <f t="shared" si="6"/>
        <v>2020</v>
      </c>
      <c r="C434" s="3">
        <v>43891</v>
      </c>
      <c r="D434" s="4">
        <v>43898</v>
      </c>
      <c r="E434" s="2" t="s">
        <v>22</v>
      </c>
      <c r="F434" s="2" t="s">
        <v>12</v>
      </c>
      <c r="G434" s="2" t="s">
        <v>20</v>
      </c>
      <c r="H434" s="2">
        <v>13</v>
      </c>
      <c r="I434" s="2">
        <v>330</v>
      </c>
      <c r="J434" s="5">
        <v>280500</v>
      </c>
      <c r="K434" s="5">
        <v>100980</v>
      </c>
    </row>
    <row r="435" spans="1:11" x14ac:dyDescent="0.25">
      <c r="A435" s="2">
        <v>10434</v>
      </c>
      <c r="B435" s="2">
        <f t="shared" si="6"/>
        <v>2020</v>
      </c>
      <c r="C435" s="3">
        <v>43891</v>
      </c>
      <c r="D435" s="4">
        <v>43899</v>
      </c>
      <c r="E435" s="2" t="s">
        <v>25</v>
      </c>
      <c r="F435" s="2" t="s">
        <v>16</v>
      </c>
      <c r="G435" s="2" t="s">
        <v>13</v>
      </c>
      <c r="H435" s="2">
        <v>8</v>
      </c>
      <c r="I435" s="2">
        <v>185</v>
      </c>
      <c r="J435" s="5">
        <v>138750</v>
      </c>
      <c r="K435" s="5">
        <v>36075</v>
      </c>
    </row>
    <row r="436" spans="1:11" x14ac:dyDescent="0.25">
      <c r="A436" s="2">
        <v>10435</v>
      </c>
      <c r="B436" s="2">
        <f t="shared" si="6"/>
        <v>2020</v>
      </c>
      <c r="C436" s="3">
        <v>43891</v>
      </c>
      <c r="D436" s="4">
        <v>43900</v>
      </c>
      <c r="E436" s="2" t="s">
        <v>25</v>
      </c>
      <c r="F436" s="2" t="s">
        <v>12</v>
      </c>
      <c r="G436" s="2" t="s">
        <v>17</v>
      </c>
      <c r="H436" s="2">
        <v>6</v>
      </c>
      <c r="I436" s="2">
        <v>221</v>
      </c>
      <c r="J436" s="5">
        <v>55250</v>
      </c>
      <c r="K436" s="5">
        <v>8840</v>
      </c>
    </row>
    <row r="437" spans="1:11" x14ac:dyDescent="0.25">
      <c r="A437" s="2">
        <v>10436</v>
      </c>
      <c r="B437" s="2">
        <f t="shared" si="6"/>
        <v>2020</v>
      </c>
      <c r="C437" s="3">
        <v>43891</v>
      </c>
      <c r="D437" s="4">
        <v>43901</v>
      </c>
      <c r="E437" s="2" t="s">
        <v>25</v>
      </c>
      <c r="F437" s="2" t="s">
        <v>12</v>
      </c>
      <c r="G437" s="2" t="s">
        <v>23</v>
      </c>
      <c r="H437" s="2">
        <v>22</v>
      </c>
      <c r="I437" s="2">
        <v>475</v>
      </c>
      <c r="J437" s="5">
        <v>166250</v>
      </c>
      <c r="K437" s="5">
        <v>21612.5</v>
      </c>
    </row>
    <row r="438" spans="1:11" x14ac:dyDescent="0.25">
      <c r="A438" s="2">
        <v>10437</v>
      </c>
      <c r="B438" s="2">
        <f t="shared" si="6"/>
        <v>2020</v>
      </c>
      <c r="C438" s="3">
        <v>43891</v>
      </c>
      <c r="D438" s="4">
        <v>43902</v>
      </c>
      <c r="E438" s="2" t="s">
        <v>22</v>
      </c>
      <c r="F438" s="2" t="s">
        <v>16</v>
      </c>
      <c r="G438" s="2" t="s">
        <v>17</v>
      </c>
      <c r="H438" s="2">
        <v>6</v>
      </c>
      <c r="I438" s="2">
        <v>246</v>
      </c>
      <c r="J438" s="5">
        <v>61500</v>
      </c>
      <c r="K438" s="5">
        <v>12300</v>
      </c>
    </row>
    <row r="439" spans="1:11" x14ac:dyDescent="0.25">
      <c r="A439" s="2">
        <v>10438</v>
      </c>
      <c r="B439" s="2">
        <f t="shared" si="6"/>
        <v>2020</v>
      </c>
      <c r="C439" s="3">
        <v>43891</v>
      </c>
      <c r="D439" s="4">
        <v>43903</v>
      </c>
      <c r="E439" s="2" t="s">
        <v>22</v>
      </c>
      <c r="F439" s="2" t="s">
        <v>21</v>
      </c>
      <c r="G439" s="2" t="s">
        <v>23</v>
      </c>
      <c r="H439" s="2">
        <v>23</v>
      </c>
      <c r="I439" s="2">
        <v>326</v>
      </c>
      <c r="J439" s="5">
        <v>114100</v>
      </c>
      <c r="K439" s="5">
        <v>23961</v>
      </c>
    </row>
    <row r="440" spans="1:11" x14ac:dyDescent="0.25">
      <c r="A440" s="2">
        <v>10439</v>
      </c>
      <c r="B440" s="2">
        <f t="shared" si="6"/>
        <v>2020</v>
      </c>
      <c r="C440" s="3">
        <v>43891</v>
      </c>
      <c r="D440" s="4">
        <v>43904</v>
      </c>
      <c r="E440" s="2" t="s">
        <v>22</v>
      </c>
      <c r="F440" s="2" t="s">
        <v>24</v>
      </c>
      <c r="G440" s="2" t="s">
        <v>20</v>
      </c>
      <c r="H440" s="2">
        <v>2</v>
      </c>
      <c r="I440" s="2">
        <v>39</v>
      </c>
      <c r="J440" s="5">
        <v>33150</v>
      </c>
      <c r="K440" s="5">
        <v>5967</v>
      </c>
    </row>
    <row r="441" spans="1:11" x14ac:dyDescent="0.25">
      <c r="A441" s="2">
        <v>10440</v>
      </c>
      <c r="B441" s="2">
        <f t="shared" si="6"/>
        <v>2020</v>
      </c>
      <c r="C441" s="3">
        <v>43891</v>
      </c>
      <c r="D441" s="4">
        <v>43905</v>
      </c>
      <c r="E441" s="2" t="s">
        <v>25</v>
      </c>
      <c r="F441" s="2" t="s">
        <v>12</v>
      </c>
      <c r="G441" s="2" t="s">
        <v>15</v>
      </c>
      <c r="H441" s="2">
        <v>1</v>
      </c>
      <c r="I441" s="2">
        <v>11</v>
      </c>
      <c r="J441" s="5">
        <v>5500</v>
      </c>
      <c r="K441" s="5">
        <v>2200</v>
      </c>
    </row>
    <row r="442" spans="1:11" x14ac:dyDescent="0.25">
      <c r="A442" s="2">
        <v>10441</v>
      </c>
      <c r="B442" s="2">
        <f t="shared" si="6"/>
        <v>2020</v>
      </c>
      <c r="C442" s="3">
        <v>43891</v>
      </c>
      <c r="D442" s="4">
        <v>43906</v>
      </c>
      <c r="E442" s="2" t="s">
        <v>19</v>
      </c>
      <c r="F442" s="2" t="s">
        <v>24</v>
      </c>
      <c r="G442" s="2" t="s">
        <v>20</v>
      </c>
      <c r="H442" s="2">
        <v>1</v>
      </c>
      <c r="I442" s="2">
        <v>13</v>
      </c>
      <c r="J442" s="5">
        <v>11050</v>
      </c>
      <c r="K442" s="5">
        <v>2431</v>
      </c>
    </row>
    <row r="443" spans="1:11" x14ac:dyDescent="0.25">
      <c r="A443" s="2">
        <v>10442</v>
      </c>
      <c r="B443" s="2">
        <f t="shared" si="6"/>
        <v>2020</v>
      </c>
      <c r="C443" s="3">
        <v>43891</v>
      </c>
      <c r="D443" s="4">
        <v>43907</v>
      </c>
      <c r="E443" s="2" t="s">
        <v>11</v>
      </c>
      <c r="F443" s="2" t="s">
        <v>18</v>
      </c>
      <c r="G443" s="2" t="s">
        <v>13</v>
      </c>
      <c r="H443" s="2">
        <v>31</v>
      </c>
      <c r="I443" s="2">
        <v>390</v>
      </c>
      <c r="J443" s="5">
        <v>292500</v>
      </c>
      <c r="K443" s="5">
        <v>40950.000000000007</v>
      </c>
    </row>
    <row r="444" spans="1:11" x14ac:dyDescent="0.25">
      <c r="A444" s="2">
        <v>10443</v>
      </c>
      <c r="B444" s="2">
        <f t="shared" si="6"/>
        <v>2020</v>
      </c>
      <c r="C444" s="3">
        <v>43891</v>
      </c>
      <c r="D444" s="4">
        <v>43908</v>
      </c>
      <c r="E444" s="2" t="s">
        <v>14</v>
      </c>
      <c r="F444" s="2" t="s">
        <v>18</v>
      </c>
      <c r="G444" s="2" t="s">
        <v>20</v>
      </c>
      <c r="H444" s="2">
        <v>3</v>
      </c>
      <c r="I444" s="2">
        <v>95</v>
      </c>
      <c r="J444" s="5">
        <v>80750</v>
      </c>
      <c r="K444" s="5">
        <v>9690</v>
      </c>
    </row>
    <row r="445" spans="1:11" x14ac:dyDescent="0.25">
      <c r="A445" s="2">
        <v>10444</v>
      </c>
      <c r="B445" s="2">
        <f t="shared" si="6"/>
        <v>2020</v>
      </c>
      <c r="C445" s="3">
        <v>43891</v>
      </c>
      <c r="D445" s="4">
        <v>43909</v>
      </c>
      <c r="E445" s="2" t="s">
        <v>22</v>
      </c>
      <c r="F445" s="2" t="s">
        <v>24</v>
      </c>
      <c r="G445" s="2" t="s">
        <v>23</v>
      </c>
      <c r="H445" s="2">
        <v>21</v>
      </c>
      <c r="I445" s="2">
        <v>294</v>
      </c>
      <c r="J445" s="5">
        <v>102900</v>
      </c>
      <c r="K445" s="5">
        <v>45276</v>
      </c>
    </row>
    <row r="446" spans="1:11" x14ac:dyDescent="0.25">
      <c r="A446" s="2">
        <v>10445</v>
      </c>
      <c r="B446" s="2">
        <f t="shared" si="6"/>
        <v>2020</v>
      </c>
      <c r="C446" s="3">
        <v>43891</v>
      </c>
      <c r="D446" s="4">
        <v>43910</v>
      </c>
      <c r="E446" s="2" t="s">
        <v>14</v>
      </c>
      <c r="F446" s="2" t="s">
        <v>16</v>
      </c>
      <c r="G446" s="2" t="s">
        <v>23</v>
      </c>
      <c r="H446" s="2">
        <v>28</v>
      </c>
      <c r="I446" s="2">
        <v>413</v>
      </c>
      <c r="J446" s="5">
        <v>144550</v>
      </c>
      <c r="K446" s="5">
        <v>57820</v>
      </c>
    </row>
    <row r="447" spans="1:11" x14ac:dyDescent="0.25">
      <c r="A447" s="2">
        <v>10446</v>
      </c>
      <c r="B447" s="2">
        <f t="shared" si="6"/>
        <v>2020</v>
      </c>
      <c r="C447" s="3">
        <v>43891</v>
      </c>
      <c r="D447" s="4">
        <v>43911</v>
      </c>
      <c r="E447" s="2" t="s">
        <v>22</v>
      </c>
      <c r="F447" s="2" t="s">
        <v>16</v>
      </c>
      <c r="G447" s="2" t="s">
        <v>17</v>
      </c>
      <c r="H447" s="2">
        <v>9</v>
      </c>
      <c r="I447" s="2">
        <v>103</v>
      </c>
      <c r="J447" s="5">
        <v>25750</v>
      </c>
      <c r="K447" s="5">
        <v>10300</v>
      </c>
    </row>
    <row r="448" spans="1:11" x14ac:dyDescent="0.25">
      <c r="A448" s="2">
        <v>10447</v>
      </c>
      <c r="B448" s="2">
        <f t="shared" si="6"/>
        <v>2020</v>
      </c>
      <c r="C448" s="3">
        <v>43891</v>
      </c>
      <c r="D448" s="4">
        <v>43912</v>
      </c>
      <c r="E448" s="2" t="s">
        <v>14</v>
      </c>
      <c r="F448" s="2" t="s">
        <v>24</v>
      </c>
      <c r="G448" s="2" t="s">
        <v>17</v>
      </c>
      <c r="H448" s="2">
        <v>6</v>
      </c>
      <c r="I448" s="2">
        <v>177</v>
      </c>
      <c r="J448" s="5">
        <v>44250</v>
      </c>
      <c r="K448" s="5">
        <v>9292.5</v>
      </c>
    </row>
    <row r="449" spans="1:11" x14ac:dyDescent="0.25">
      <c r="A449" s="2">
        <v>10448</v>
      </c>
      <c r="B449" s="2">
        <f t="shared" si="6"/>
        <v>2020</v>
      </c>
      <c r="C449" s="3">
        <v>43891</v>
      </c>
      <c r="D449" s="4">
        <v>43913</v>
      </c>
      <c r="E449" s="2" t="s">
        <v>22</v>
      </c>
      <c r="F449" s="2" t="s">
        <v>21</v>
      </c>
      <c r="G449" s="2" t="s">
        <v>17</v>
      </c>
      <c r="H449" s="2">
        <v>2</v>
      </c>
      <c r="I449" s="2">
        <v>104</v>
      </c>
      <c r="J449" s="5">
        <v>26000</v>
      </c>
      <c r="K449" s="5">
        <v>2600</v>
      </c>
    </row>
    <row r="450" spans="1:11" x14ac:dyDescent="0.25">
      <c r="A450" s="2">
        <v>10449</v>
      </c>
      <c r="B450" s="2">
        <f t="shared" si="6"/>
        <v>2020</v>
      </c>
      <c r="C450" s="3">
        <v>43891</v>
      </c>
      <c r="D450" s="4">
        <v>43914</v>
      </c>
      <c r="E450" s="2" t="s">
        <v>25</v>
      </c>
      <c r="F450" s="2" t="s">
        <v>24</v>
      </c>
      <c r="G450" s="2" t="s">
        <v>23</v>
      </c>
      <c r="H450" s="2">
        <v>28</v>
      </c>
      <c r="I450" s="2">
        <v>294</v>
      </c>
      <c r="J450" s="5">
        <v>102900</v>
      </c>
      <c r="K450" s="5">
        <v>28812.000000000004</v>
      </c>
    </row>
    <row r="451" spans="1:11" x14ac:dyDescent="0.25">
      <c r="A451" s="2">
        <v>10450</v>
      </c>
      <c r="B451" s="2">
        <f t="shared" ref="B451:B514" si="7">YEAR(C451)</f>
        <v>2020</v>
      </c>
      <c r="C451" s="3">
        <v>43891</v>
      </c>
      <c r="D451" s="4">
        <v>43915</v>
      </c>
      <c r="E451" s="2" t="s">
        <v>19</v>
      </c>
      <c r="F451" s="2" t="s">
        <v>21</v>
      </c>
      <c r="G451" s="2" t="s">
        <v>13</v>
      </c>
      <c r="H451" s="2">
        <v>4</v>
      </c>
      <c r="I451" s="2">
        <v>44</v>
      </c>
      <c r="J451" s="5">
        <v>33000</v>
      </c>
      <c r="K451" s="5">
        <v>8910</v>
      </c>
    </row>
    <row r="452" spans="1:11" x14ac:dyDescent="0.25">
      <c r="A452" s="2">
        <v>10451</v>
      </c>
      <c r="B452" s="2">
        <f t="shared" si="7"/>
        <v>2020</v>
      </c>
      <c r="C452" s="3">
        <v>43891</v>
      </c>
      <c r="D452" s="4">
        <v>43916</v>
      </c>
      <c r="E452" s="2" t="s">
        <v>25</v>
      </c>
      <c r="F452" s="2" t="s">
        <v>12</v>
      </c>
      <c r="G452" s="2" t="s">
        <v>15</v>
      </c>
      <c r="H452" s="2">
        <v>10</v>
      </c>
      <c r="I452" s="2">
        <v>337</v>
      </c>
      <c r="J452" s="5">
        <v>168500</v>
      </c>
      <c r="K452" s="5">
        <v>23590.000000000004</v>
      </c>
    </row>
    <row r="453" spans="1:11" x14ac:dyDescent="0.25">
      <c r="A453" s="2">
        <v>10452</v>
      </c>
      <c r="B453" s="2">
        <f t="shared" si="7"/>
        <v>2020</v>
      </c>
      <c r="C453" s="3">
        <v>43891</v>
      </c>
      <c r="D453" s="4">
        <v>43917</v>
      </c>
      <c r="E453" s="2" t="s">
        <v>22</v>
      </c>
      <c r="F453" s="2" t="s">
        <v>12</v>
      </c>
      <c r="G453" s="2" t="s">
        <v>23</v>
      </c>
      <c r="H453" s="2">
        <v>10</v>
      </c>
      <c r="I453" s="2">
        <v>339</v>
      </c>
      <c r="J453" s="5">
        <v>118650</v>
      </c>
      <c r="K453" s="5">
        <v>26103</v>
      </c>
    </row>
    <row r="454" spans="1:11" x14ac:dyDescent="0.25">
      <c r="A454" s="2">
        <v>10453</v>
      </c>
      <c r="B454" s="2">
        <f t="shared" si="7"/>
        <v>2020</v>
      </c>
      <c r="C454" s="3">
        <v>43891</v>
      </c>
      <c r="D454" s="4">
        <v>43918</v>
      </c>
      <c r="E454" s="2" t="s">
        <v>14</v>
      </c>
      <c r="F454" s="2" t="s">
        <v>21</v>
      </c>
      <c r="G454" s="2" t="s">
        <v>20</v>
      </c>
      <c r="H454" s="2">
        <v>10</v>
      </c>
      <c r="I454" s="2">
        <v>331</v>
      </c>
      <c r="J454" s="5">
        <v>281350</v>
      </c>
      <c r="K454" s="5">
        <v>118167</v>
      </c>
    </row>
    <row r="455" spans="1:11" x14ac:dyDescent="0.25">
      <c r="A455" s="2">
        <v>10454</v>
      </c>
      <c r="B455" s="2">
        <f t="shared" si="7"/>
        <v>2020</v>
      </c>
      <c r="C455" s="3">
        <v>43891</v>
      </c>
      <c r="D455" s="4">
        <v>43919</v>
      </c>
      <c r="E455" s="2" t="s">
        <v>19</v>
      </c>
      <c r="F455" s="2" t="s">
        <v>21</v>
      </c>
      <c r="G455" s="2" t="s">
        <v>13</v>
      </c>
      <c r="H455" s="2">
        <v>19</v>
      </c>
      <c r="I455" s="2">
        <v>444</v>
      </c>
      <c r="J455" s="5">
        <v>333000</v>
      </c>
      <c r="K455" s="5">
        <v>123210</v>
      </c>
    </row>
    <row r="456" spans="1:11" x14ac:dyDescent="0.25">
      <c r="A456" s="2">
        <v>10455</v>
      </c>
      <c r="B456" s="2">
        <f t="shared" si="7"/>
        <v>2020</v>
      </c>
      <c r="C456" s="3">
        <v>43891</v>
      </c>
      <c r="D456" s="4">
        <v>43920</v>
      </c>
      <c r="E456" s="2" t="s">
        <v>19</v>
      </c>
      <c r="F456" s="2" t="s">
        <v>18</v>
      </c>
      <c r="G456" s="2" t="s">
        <v>17</v>
      </c>
      <c r="H456" s="2">
        <v>15</v>
      </c>
      <c r="I456" s="2">
        <v>173</v>
      </c>
      <c r="J456" s="5">
        <v>43250</v>
      </c>
      <c r="K456" s="5">
        <v>6055.0000000000009</v>
      </c>
    </row>
    <row r="457" spans="1:11" x14ac:dyDescent="0.25">
      <c r="A457" s="2">
        <v>10456</v>
      </c>
      <c r="B457" s="2">
        <f t="shared" si="7"/>
        <v>2020</v>
      </c>
      <c r="C457" s="3">
        <v>43891</v>
      </c>
      <c r="D457" s="4">
        <v>43921</v>
      </c>
      <c r="E457" s="2" t="s">
        <v>11</v>
      </c>
      <c r="F457" s="2" t="s">
        <v>18</v>
      </c>
      <c r="G457" s="2" t="s">
        <v>13</v>
      </c>
      <c r="H457" s="2">
        <v>1</v>
      </c>
      <c r="I457" s="2">
        <v>32</v>
      </c>
      <c r="J457" s="5">
        <v>24000</v>
      </c>
      <c r="K457" s="5">
        <v>2880</v>
      </c>
    </row>
    <row r="458" spans="1:11" x14ac:dyDescent="0.25">
      <c r="A458" s="2">
        <v>10457</v>
      </c>
      <c r="B458" s="2">
        <f t="shared" si="7"/>
        <v>2020</v>
      </c>
      <c r="C458" s="3">
        <v>43922</v>
      </c>
      <c r="D458" s="4">
        <v>43922</v>
      </c>
      <c r="E458" s="2" t="s">
        <v>22</v>
      </c>
      <c r="F458" s="2" t="s">
        <v>16</v>
      </c>
      <c r="G458" s="2" t="s">
        <v>17</v>
      </c>
      <c r="H458" s="2">
        <v>13</v>
      </c>
      <c r="I458" s="2">
        <v>500</v>
      </c>
      <c r="J458" s="5">
        <v>125000</v>
      </c>
      <c r="K458" s="5">
        <v>28750</v>
      </c>
    </row>
    <row r="459" spans="1:11" x14ac:dyDescent="0.25">
      <c r="A459" s="2">
        <v>10458</v>
      </c>
      <c r="B459" s="2">
        <f t="shared" si="7"/>
        <v>2020</v>
      </c>
      <c r="C459" s="3">
        <v>43922</v>
      </c>
      <c r="D459" s="4">
        <v>43923</v>
      </c>
      <c r="E459" s="2" t="s">
        <v>22</v>
      </c>
      <c r="F459" s="2" t="s">
        <v>16</v>
      </c>
      <c r="G459" s="2" t="s">
        <v>23</v>
      </c>
      <c r="H459" s="2">
        <v>8</v>
      </c>
      <c r="I459" s="2">
        <v>116</v>
      </c>
      <c r="J459" s="5">
        <v>40600</v>
      </c>
      <c r="K459" s="5">
        <v>6496</v>
      </c>
    </row>
    <row r="460" spans="1:11" x14ac:dyDescent="0.25">
      <c r="A460" s="2">
        <v>10459</v>
      </c>
      <c r="B460" s="2">
        <f t="shared" si="7"/>
        <v>2020</v>
      </c>
      <c r="C460" s="3">
        <v>43922</v>
      </c>
      <c r="D460" s="4">
        <v>43924</v>
      </c>
      <c r="E460" s="2" t="s">
        <v>19</v>
      </c>
      <c r="F460" s="2" t="s">
        <v>12</v>
      </c>
      <c r="G460" s="2" t="s">
        <v>20</v>
      </c>
      <c r="H460" s="2">
        <v>35</v>
      </c>
      <c r="I460" s="2">
        <v>386</v>
      </c>
      <c r="J460" s="5">
        <v>328100</v>
      </c>
      <c r="K460" s="5">
        <v>137802</v>
      </c>
    </row>
    <row r="461" spans="1:11" x14ac:dyDescent="0.25">
      <c r="A461" s="2">
        <v>10460</v>
      </c>
      <c r="B461" s="2">
        <f t="shared" si="7"/>
        <v>2020</v>
      </c>
      <c r="C461" s="3">
        <v>43922</v>
      </c>
      <c r="D461" s="4">
        <v>43925</v>
      </c>
      <c r="E461" s="2" t="s">
        <v>22</v>
      </c>
      <c r="F461" s="2" t="s">
        <v>21</v>
      </c>
      <c r="G461" s="2" t="s">
        <v>23</v>
      </c>
      <c r="H461" s="2">
        <v>9</v>
      </c>
      <c r="I461" s="2">
        <v>384</v>
      </c>
      <c r="J461" s="5">
        <v>134400</v>
      </c>
      <c r="K461" s="5">
        <v>22848</v>
      </c>
    </row>
    <row r="462" spans="1:11" x14ac:dyDescent="0.25">
      <c r="A462" s="2">
        <v>10461</v>
      </c>
      <c r="B462" s="2">
        <f t="shared" si="7"/>
        <v>2020</v>
      </c>
      <c r="C462" s="3">
        <v>43922</v>
      </c>
      <c r="D462" s="4">
        <v>43926</v>
      </c>
      <c r="E462" s="2" t="s">
        <v>22</v>
      </c>
      <c r="F462" s="2" t="s">
        <v>16</v>
      </c>
      <c r="G462" s="2" t="s">
        <v>20</v>
      </c>
      <c r="H462" s="2">
        <v>25</v>
      </c>
      <c r="I462" s="2">
        <v>418</v>
      </c>
      <c r="J462" s="5">
        <v>355300</v>
      </c>
      <c r="K462" s="5">
        <v>78166</v>
      </c>
    </row>
    <row r="463" spans="1:11" x14ac:dyDescent="0.25">
      <c r="A463" s="2">
        <v>10462</v>
      </c>
      <c r="B463" s="2">
        <f t="shared" si="7"/>
        <v>2020</v>
      </c>
      <c r="C463" s="3">
        <v>43922</v>
      </c>
      <c r="D463" s="4">
        <v>43927</v>
      </c>
      <c r="E463" s="2" t="s">
        <v>25</v>
      </c>
      <c r="F463" s="2" t="s">
        <v>21</v>
      </c>
      <c r="G463" s="2" t="s">
        <v>23</v>
      </c>
      <c r="H463" s="2">
        <v>5</v>
      </c>
      <c r="I463" s="2">
        <v>115</v>
      </c>
      <c r="J463" s="5">
        <v>40250</v>
      </c>
      <c r="K463" s="5">
        <v>8452.5</v>
      </c>
    </row>
    <row r="464" spans="1:11" x14ac:dyDescent="0.25">
      <c r="A464" s="2">
        <v>10463</v>
      </c>
      <c r="B464" s="2">
        <f t="shared" si="7"/>
        <v>2020</v>
      </c>
      <c r="C464" s="3">
        <v>43922</v>
      </c>
      <c r="D464" s="4">
        <v>43928</v>
      </c>
      <c r="E464" s="2" t="s">
        <v>22</v>
      </c>
      <c r="F464" s="2" t="s">
        <v>21</v>
      </c>
      <c r="G464" s="2" t="s">
        <v>20</v>
      </c>
      <c r="H464" s="2">
        <v>14</v>
      </c>
      <c r="I464" s="2">
        <v>152</v>
      </c>
      <c r="J464" s="5">
        <v>129200</v>
      </c>
      <c r="K464" s="5">
        <v>25840</v>
      </c>
    </row>
    <row r="465" spans="1:11" x14ac:dyDescent="0.25">
      <c r="A465" s="2">
        <v>10464</v>
      </c>
      <c r="B465" s="2">
        <f t="shared" si="7"/>
        <v>2020</v>
      </c>
      <c r="C465" s="3">
        <v>43922</v>
      </c>
      <c r="D465" s="4">
        <v>43929</v>
      </c>
      <c r="E465" s="2" t="s">
        <v>19</v>
      </c>
      <c r="F465" s="2" t="s">
        <v>18</v>
      </c>
      <c r="G465" s="2" t="s">
        <v>13</v>
      </c>
      <c r="H465" s="2">
        <v>5</v>
      </c>
      <c r="I465" s="2">
        <v>362</v>
      </c>
      <c r="J465" s="5">
        <v>271500</v>
      </c>
      <c r="K465" s="5">
        <v>40725</v>
      </c>
    </row>
    <row r="466" spans="1:11" x14ac:dyDescent="0.25">
      <c r="A466" s="2">
        <v>10465</v>
      </c>
      <c r="B466" s="2">
        <f t="shared" si="7"/>
        <v>2020</v>
      </c>
      <c r="C466" s="3">
        <v>43922</v>
      </c>
      <c r="D466" s="4">
        <v>43930</v>
      </c>
      <c r="E466" s="2" t="s">
        <v>11</v>
      </c>
      <c r="F466" s="2" t="s">
        <v>16</v>
      </c>
      <c r="G466" s="2" t="s">
        <v>20</v>
      </c>
      <c r="H466" s="2">
        <v>12</v>
      </c>
      <c r="I466" s="2">
        <v>405</v>
      </c>
      <c r="J466" s="5">
        <v>344250</v>
      </c>
      <c r="K466" s="5">
        <v>130815</v>
      </c>
    </row>
    <row r="467" spans="1:11" x14ac:dyDescent="0.25">
      <c r="A467" s="2">
        <v>10466</v>
      </c>
      <c r="B467" s="2">
        <f t="shared" si="7"/>
        <v>2020</v>
      </c>
      <c r="C467" s="3">
        <v>43922</v>
      </c>
      <c r="D467" s="4">
        <v>43931</v>
      </c>
      <c r="E467" s="2" t="s">
        <v>19</v>
      </c>
      <c r="F467" s="2" t="s">
        <v>24</v>
      </c>
      <c r="G467" s="2" t="s">
        <v>23</v>
      </c>
      <c r="H467" s="2">
        <v>6</v>
      </c>
      <c r="I467" s="2">
        <v>90</v>
      </c>
      <c r="J467" s="5">
        <v>31500</v>
      </c>
      <c r="K467" s="5">
        <v>8190</v>
      </c>
    </row>
    <row r="468" spans="1:11" x14ac:dyDescent="0.25">
      <c r="A468" s="2">
        <v>10467</v>
      </c>
      <c r="B468" s="2">
        <f t="shared" si="7"/>
        <v>2020</v>
      </c>
      <c r="C468" s="3">
        <v>43922</v>
      </c>
      <c r="D468" s="4">
        <v>43932</v>
      </c>
      <c r="E468" s="2" t="s">
        <v>25</v>
      </c>
      <c r="F468" s="2" t="s">
        <v>21</v>
      </c>
      <c r="G468" s="2" t="s">
        <v>15</v>
      </c>
      <c r="H468" s="2">
        <v>26</v>
      </c>
      <c r="I468" s="2">
        <v>339</v>
      </c>
      <c r="J468" s="5">
        <v>169500</v>
      </c>
      <c r="K468" s="5">
        <v>74580</v>
      </c>
    </row>
    <row r="469" spans="1:11" x14ac:dyDescent="0.25">
      <c r="A469" s="2">
        <v>10468</v>
      </c>
      <c r="B469" s="2">
        <f t="shared" si="7"/>
        <v>2020</v>
      </c>
      <c r="C469" s="3">
        <v>43922</v>
      </c>
      <c r="D469" s="4">
        <v>43933</v>
      </c>
      <c r="E469" s="2" t="s">
        <v>14</v>
      </c>
      <c r="F469" s="2" t="s">
        <v>24</v>
      </c>
      <c r="G469" s="2" t="s">
        <v>13</v>
      </c>
      <c r="H469" s="2">
        <v>8</v>
      </c>
      <c r="I469" s="2">
        <v>152</v>
      </c>
      <c r="J469" s="5">
        <v>114000</v>
      </c>
      <c r="K469" s="5">
        <v>15960.000000000002</v>
      </c>
    </row>
    <row r="470" spans="1:11" x14ac:dyDescent="0.25">
      <c r="A470" s="2">
        <v>10469</v>
      </c>
      <c r="B470" s="2">
        <f t="shared" si="7"/>
        <v>2020</v>
      </c>
      <c r="C470" s="3">
        <v>43922</v>
      </c>
      <c r="D470" s="4">
        <v>43934</v>
      </c>
      <c r="E470" s="2" t="s">
        <v>14</v>
      </c>
      <c r="F470" s="2" t="s">
        <v>18</v>
      </c>
      <c r="G470" s="2" t="s">
        <v>13</v>
      </c>
      <c r="H470" s="2">
        <v>42</v>
      </c>
      <c r="I470" s="2">
        <v>484</v>
      </c>
      <c r="J470" s="5">
        <v>363000</v>
      </c>
      <c r="K470" s="5">
        <v>152460</v>
      </c>
    </row>
    <row r="471" spans="1:11" x14ac:dyDescent="0.25">
      <c r="A471" s="2">
        <v>10470</v>
      </c>
      <c r="B471" s="2">
        <f t="shared" si="7"/>
        <v>2020</v>
      </c>
      <c r="C471" s="3">
        <v>43922</v>
      </c>
      <c r="D471" s="4">
        <v>43935</v>
      </c>
      <c r="E471" s="2" t="s">
        <v>11</v>
      </c>
      <c r="F471" s="2" t="s">
        <v>24</v>
      </c>
      <c r="G471" s="2" t="s">
        <v>17</v>
      </c>
      <c r="H471" s="2">
        <v>1</v>
      </c>
      <c r="I471" s="2">
        <v>61</v>
      </c>
      <c r="J471" s="5">
        <v>15250</v>
      </c>
      <c r="K471" s="5">
        <v>3660</v>
      </c>
    </row>
    <row r="472" spans="1:11" x14ac:dyDescent="0.25">
      <c r="A472" s="2">
        <v>10471</v>
      </c>
      <c r="B472" s="2">
        <f t="shared" si="7"/>
        <v>2020</v>
      </c>
      <c r="C472" s="3">
        <v>43922</v>
      </c>
      <c r="D472" s="4">
        <v>43936</v>
      </c>
      <c r="E472" s="2" t="s">
        <v>22</v>
      </c>
      <c r="F472" s="2" t="s">
        <v>16</v>
      </c>
      <c r="G472" s="2" t="s">
        <v>17</v>
      </c>
      <c r="H472" s="2">
        <v>14</v>
      </c>
      <c r="I472" s="2">
        <v>292</v>
      </c>
      <c r="J472" s="5">
        <v>73000</v>
      </c>
      <c r="K472" s="5">
        <v>8030</v>
      </c>
    </row>
    <row r="473" spans="1:11" x14ac:dyDescent="0.25">
      <c r="A473" s="2">
        <v>10472</v>
      </c>
      <c r="B473" s="2">
        <f t="shared" si="7"/>
        <v>2020</v>
      </c>
      <c r="C473" s="3">
        <v>43922</v>
      </c>
      <c r="D473" s="4">
        <v>43937</v>
      </c>
      <c r="E473" s="2" t="s">
        <v>22</v>
      </c>
      <c r="F473" s="2" t="s">
        <v>12</v>
      </c>
      <c r="G473" s="2" t="s">
        <v>15</v>
      </c>
      <c r="H473" s="2">
        <v>22</v>
      </c>
      <c r="I473" s="2">
        <v>375</v>
      </c>
      <c r="J473" s="5">
        <v>187500</v>
      </c>
      <c r="K473" s="5">
        <v>48750</v>
      </c>
    </row>
    <row r="474" spans="1:11" x14ac:dyDescent="0.25">
      <c r="A474" s="2">
        <v>10473</v>
      </c>
      <c r="B474" s="2">
        <f t="shared" si="7"/>
        <v>2020</v>
      </c>
      <c r="C474" s="3">
        <v>43922</v>
      </c>
      <c r="D474" s="4">
        <v>43938</v>
      </c>
      <c r="E474" s="2" t="s">
        <v>25</v>
      </c>
      <c r="F474" s="2" t="s">
        <v>12</v>
      </c>
      <c r="G474" s="2" t="s">
        <v>17</v>
      </c>
      <c r="H474" s="2">
        <v>2</v>
      </c>
      <c r="I474" s="2">
        <v>74</v>
      </c>
      <c r="J474" s="5">
        <v>18500</v>
      </c>
      <c r="K474" s="5">
        <v>6475</v>
      </c>
    </row>
    <row r="475" spans="1:11" x14ac:dyDescent="0.25">
      <c r="A475" s="2">
        <v>10474</v>
      </c>
      <c r="B475" s="2">
        <f t="shared" si="7"/>
        <v>2020</v>
      </c>
      <c r="C475" s="3">
        <v>43922</v>
      </c>
      <c r="D475" s="4">
        <v>43939</v>
      </c>
      <c r="E475" s="2" t="s">
        <v>19</v>
      </c>
      <c r="F475" s="2" t="s">
        <v>21</v>
      </c>
      <c r="G475" s="2" t="s">
        <v>17</v>
      </c>
      <c r="H475" s="2">
        <v>6</v>
      </c>
      <c r="I475" s="2">
        <v>70</v>
      </c>
      <c r="J475" s="5">
        <v>17500</v>
      </c>
      <c r="K475" s="5">
        <v>3325</v>
      </c>
    </row>
    <row r="476" spans="1:11" x14ac:dyDescent="0.25">
      <c r="A476" s="2">
        <v>10475</v>
      </c>
      <c r="B476" s="2">
        <f t="shared" si="7"/>
        <v>2020</v>
      </c>
      <c r="C476" s="3">
        <v>43922</v>
      </c>
      <c r="D476" s="4">
        <v>43940</v>
      </c>
      <c r="E476" s="2" t="s">
        <v>22</v>
      </c>
      <c r="F476" s="2" t="s">
        <v>12</v>
      </c>
      <c r="G476" s="2" t="s">
        <v>20</v>
      </c>
      <c r="H476" s="2">
        <v>11</v>
      </c>
      <c r="I476" s="2">
        <v>367</v>
      </c>
      <c r="J476" s="5">
        <v>311950</v>
      </c>
      <c r="K476" s="5">
        <v>49912</v>
      </c>
    </row>
    <row r="477" spans="1:11" x14ac:dyDescent="0.25">
      <c r="A477" s="2">
        <v>10476</v>
      </c>
      <c r="B477" s="2">
        <f t="shared" si="7"/>
        <v>2020</v>
      </c>
      <c r="C477" s="3">
        <v>43922</v>
      </c>
      <c r="D477" s="4">
        <v>43941</v>
      </c>
      <c r="E477" s="2" t="s">
        <v>14</v>
      </c>
      <c r="F477" s="2" t="s">
        <v>21</v>
      </c>
      <c r="G477" s="2" t="s">
        <v>13</v>
      </c>
      <c r="H477" s="2">
        <v>21</v>
      </c>
      <c r="I477" s="2">
        <v>395</v>
      </c>
      <c r="J477" s="5">
        <v>296250</v>
      </c>
      <c r="K477" s="5">
        <v>85912.5</v>
      </c>
    </row>
    <row r="478" spans="1:11" x14ac:dyDescent="0.25">
      <c r="A478" s="2">
        <v>10477</v>
      </c>
      <c r="B478" s="2">
        <f t="shared" si="7"/>
        <v>2020</v>
      </c>
      <c r="C478" s="3">
        <v>43922</v>
      </c>
      <c r="D478" s="4">
        <v>43942</v>
      </c>
      <c r="E478" s="2" t="s">
        <v>25</v>
      </c>
      <c r="F478" s="2" t="s">
        <v>24</v>
      </c>
      <c r="G478" s="2" t="s">
        <v>15</v>
      </c>
      <c r="H478" s="2">
        <v>4</v>
      </c>
      <c r="I478" s="2">
        <v>211</v>
      </c>
      <c r="J478" s="5">
        <v>105500</v>
      </c>
      <c r="K478" s="5">
        <v>13715</v>
      </c>
    </row>
    <row r="479" spans="1:11" x14ac:dyDescent="0.25">
      <c r="A479" s="2">
        <v>10478</v>
      </c>
      <c r="B479" s="2">
        <f t="shared" si="7"/>
        <v>2020</v>
      </c>
      <c r="C479" s="3">
        <v>43922</v>
      </c>
      <c r="D479" s="4">
        <v>43943</v>
      </c>
      <c r="E479" s="2" t="s">
        <v>14</v>
      </c>
      <c r="F479" s="2" t="s">
        <v>16</v>
      </c>
      <c r="G479" s="2" t="s">
        <v>20</v>
      </c>
      <c r="H479" s="2">
        <v>2</v>
      </c>
      <c r="I479" s="2">
        <v>37</v>
      </c>
      <c r="J479" s="5">
        <v>31450</v>
      </c>
      <c r="K479" s="5">
        <v>9749.5</v>
      </c>
    </row>
    <row r="480" spans="1:11" x14ac:dyDescent="0.25">
      <c r="A480" s="2">
        <v>10479</v>
      </c>
      <c r="B480" s="2">
        <f t="shared" si="7"/>
        <v>2020</v>
      </c>
      <c r="C480" s="3">
        <v>43922</v>
      </c>
      <c r="D480" s="4">
        <v>43944</v>
      </c>
      <c r="E480" s="2" t="s">
        <v>22</v>
      </c>
      <c r="F480" s="2" t="s">
        <v>18</v>
      </c>
      <c r="G480" s="2" t="s">
        <v>23</v>
      </c>
      <c r="H480" s="2">
        <v>5</v>
      </c>
      <c r="I480" s="2">
        <v>150</v>
      </c>
      <c r="J480" s="5">
        <v>52500</v>
      </c>
      <c r="K480" s="5">
        <v>6825</v>
      </c>
    </row>
    <row r="481" spans="1:11" x14ac:dyDescent="0.25">
      <c r="A481" s="2">
        <v>10480</v>
      </c>
      <c r="B481" s="2">
        <f t="shared" si="7"/>
        <v>2020</v>
      </c>
      <c r="C481" s="3">
        <v>43922</v>
      </c>
      <c r="D481" s="4">
        <v>43945</v>
      </c>
      <c r="E481" s="2" t="s">
        <v>19</v>
      </c>
      <c r="F481" s="2" t="s">
        <v>24</v>
      </c>
      <c r="G481" s="2" t="s">
        <v>20</v>
      </c>
      <c r="H481" s="2">
        <v>3</v>
      </c>
      <c r="I481" s="2">
        <v>133</v>
      </c>
      <c r="J481" s="5">
        <v>113050</v>
      </c>
      <c r="K481" s="5">
        <v>39567.5</v>
      </c>
    </row>
    <row r="482" spans="1:11" x14ac:dyDescent="0.25">
      <c r="A482" s="2">
        <v>10481</v>
      </c>
      <c r="B482" s="2">
        <f t="shared" si="7"/>
        <v>2020</v>
      </c>
      <c r="C482" s="3">
        <v>43922</v>
      </c>
      <c r="D482" s="4">
        <v>43946</v>
      </c>
      <c r="E482" s="2" t="s">
        <v>22</v>
      </c>
      <c r="F482" s="2" t="s">
        <v>18</v>
      </c>
      <c r="G482" s="2" t="s">
        <v>20</v>
      </c>
      <c r="H482" s="2">
        <v>21</v>
      </c>
      <c r="I482" s="2">
        <v>359</v>
      </c>
      <c r="J482" s="5">
        <v>305150</v>
      </c>
      <c r="K482" s="5">
        <v>82390.5</v>
      </c>
    </row>
    <row r="483" spans="1:11" x14ac:dyDescent="0.25">
      <c r="A483" s="2">
        <v>10482</v>
      </c>
      <c r="B483" s="2">
        <f t="shared" si="7"/>
        <v>2020</v>
      </c>
      <c r="C483" s="3">
        <v>43922</v>
      </c>
      <c r="D483" s="4">
        <v>43947</v>
      </c>
      <c r="E483" s="2" t="s">
        <v>11</v>
      </c>
      <c r="F483" s="2" t="s">
        <v>18</v>
      </c>
      <c r="G483" s="2" t="s">
        <v>23</v>
      </c>
      <c r="H483" s="2">
        <v>14</v>
      </c>
      <c r="I483" s="2">
        <v>229</v>
      </c>
      <c r="J483" s="5">
        <v>80150</v>
      </c>
      <c r="K483" s="5">
        <v>36067.5</v>
      </c>
    </row>
    <row r="484" spans="1:11" x14ac:dyDescent="0.25">
      <c r="A484" s="2">
        <v>10483</v>
      </c>
      <c r="B484" s="2">
        <f t="shared" si="7"/>
        <v>2020</v>
      </c>
      <c r="C484" s="3">
        <v>43922</v>
      </c>
      <c r="D484" s="4">
        <v>43948</v>
      </c>
      <c r="E484" s="2" t="s">
        <v>14</v>
      </c>
      <c r="F484" s="2" t="s">
        <v>18</v>
      </c>
      <c r="G484" s="2" t="s">
        <v>17</v>
      </c>
      <c r="H484" s="2">
        <v>1</v>
      </c>
      <c r="I484" s="2">
        <v>22</v>
      </c>
      <c r="J484" s="5">
        <v>5500</v>
      </c>
      <c r="K484" s="5">
        <v>1980</v>
      </c>
    </row>
    <row r="485" spans="1:11" x14ac:dyDescent="0.25">
      <c r="A485" s="2">
        <v>10484</v>
      </c>
      <c r="B485" s="2">
        <f t="shared" si="7"/>
        <v>2020</v>
      </c>
      <c r="C485" s="3">
        <v>43922</v>
      </c>
      <c r="D485" s="4">
        <v>43949</v>
      </c>
      <c r="E485" s="2" t="s">
        <v>14</v>
      </c>
      <c r="F485" s="2" t="s">
        <v>12</v>
      </c>
      <c r="G485" s="2" t="s">
        <v>15</v>
      </c>
      <c r="H485" s="2">
        <v>2</v>
      </c>
      <c r="I485" s="2">
        <v>41</v>
      </c>
      <c r="J485" s="5">
        <v>20500</v>
      </c>
      <c r="K485" s="5">
        <v>6355</v>
      </c>
    </row>
    <row r="486" spans="1:11" x14ac:dyDescent="0.25">
      <c r="A486" s="2">
        <v>10485</v>
      </c>
      <c r="B486" s="2">
        <f t="shared" si="7"/>
        <v>2020</v>
      </c>
      <c r="C486" s="3">
        <v>43922</v>
      </c>
      <c r="D486" s="4">
        <v>43950</v>
      </c>
      <c r="E486" s="2" t="s">
        <v>19</v>
      </c>
      <c r="F486" s="2" t="s">
        <v>16</v>
      </c>
      <c r="G486" s="2" t="s">
        <v>17</v>
      </c>
      <c r="H486" s="2">
        <v>4</v>
      </c>
      <c r="I486" s="2">
        <v>277</v>
      </c>
      <c r="J486" s="5">
        <v>69250</v>
      </c>
      <c r="K486" s="5">
        <v>24930</v>
      </c>
    </row>
    <row r="487" spans="1:11" x14ac:dyDescent="0.25">
      <c r="A487" s="2">
        <v>10486</v>
      </c>
      <c r="B487" s="2">
        <f t="shared" si="7"/>
        <v>2020</v>
      </c>
      <c r="C487" s="3">
        <v>43922</v>
      </c>
      <c r="D487" s="4">
        <v>43951</v>
      </c>
      <c r="E487" s="2" t="s">
        <v>11</v>
      </c>
      <c r="F487" s="2" t="s">
        <v>18</v>
      </c>
      <c r="G487" s="2" t="s">
        <v>23</v>
      </c>
      <c r="H487" s="2">
        <v>26</v>
      </c>
      <c r="I487" s="2">
        <v>406</v>
      </c>
      <c r="J487" s="5">
        <v>142100</v>
      </c>
      <c r="K487" s="5">
        <v>21315</v>
      </c>
    </row>
    <row r="488" spans="1:11" x14ac:dyDescent="0.25">
      <c r="A488" s="2">
        <v>10487</v>
      </c>
      <c r="B488" s="2">
        <f t="shared" si="7"/>
        <v>2020</v>
      </c>
      <c r="C488" s="3">
        <v>43952</v>
      </c>
      <c r="D488" s="4">
        <v>43952</v>
      </c>
      <c r="E488" s="2" t="s">
        <v>14</v>
      </c>
      <c r="F488" s="2" t="s">
        <v>12</v>
      </c>
      <c r="G488" s="2" t="s">
        <v>13</v>
      </c>
      <c r="H488" s="2">
        <v>39</v>
      </c>
      <c r="I488" s="2">
        <v>396</v>
      </c>
      <c r="J488" s="5">
        <v>297000</v>
      </c>
      <c r="K488" s="5">
        <v>38610</v>
      </c>
    </row>
    <row r="489" spans="1:11" x14ac:dyDescent="0.25">
      <c r="A489" s="2">
        <v>10488</v>
      </c>
      <c r="B489" s="2">
        <f t="shared" si="7"/>
        <v>2020</v>
      </c>
      <c r="C489" s="3">
        <v>43952</v>
      </c>
      <c r="D489" s="4">
        <v>43953</v>
      </c>
      <c r="E489" s="2" t="s">
        <v>19</v>
      </c>
      <c r="F489" s="2" t="s">
        <v>24</v>
      </c>
      <c r="G489" s="2" t="s">
        <v>20</v>
      </c>
      <c r="H489" s="2">
        <v>27</v>
      </c>
      <c r="I489" s="2">
        <v>401</v>
      </c>
      <c r="J489" s="5">
        <v>340850</v>
      </c>
      <c r="K489" s="5">
        <v>71578.5</v>
      </c>
    </row>
    <row r="490" spans="1:11" x14ac:dyDescent="0.25">
      <c r="A490" s="2">
        <v>10489</v>
      </c>
      <c r="B490" s="2">
        <f t="shared" si="7"/>
        <v>2020</v>
      </c>
      <c r="C490" s="3">
        <v>43952</v>
      </c>
      <c r="D490" s="4">
        <v>43954</v>
      </c>
      <c r="E490" s="2" t="s">
        <v>19</v>
      </c>
      <c r="F490" s="2" t="s">
        <v>24</v>
      </c>
      <c r="G490" s="2" t="s">
        <v>17</v>
      </c>
      <c r="H490" s="2">
        <v>1</v>
      </c>
      <c r="I490" s="2">
        <v>27</v>
      </c>
      <c r="J490" s="5">
        <v>6750</v>
      </c>
      <c r="K490" s="5">
        <v>2700</v>
      </c>
    </row>
    <row r="491" spans="1:11" x14ac:dyDescent="0.25">
      <c r="A491" s="2">
        <v>10490</v>
      </c>
      <c r="B491" s="2">
        <f t="shared" si="7"/>
        <v>2020</v>
      </c>
      <c r="C491" s="3">
        <v>43952</v>
      </c>
      <c r="D491" s="4">
        <v>43955</v>
      </c>
      <c r="E491" s="2" t="s">
        <v>11</v>
      </c>
      <c r="F491" s="2" t="s">
        <v>18</v>
      </c>
      <c r="G491" s="2" t="s">
        <v>17</v>
      </c>
      <c r="H491" s="2">
        <v>12</v>
      </c>
      <c r="I491" s="2">
        <v>450</v>
      </c>
      <c r="J491" s="5">
        <v>112500</v>
      </c>
      <c r="K491" s="5">
        <v>20250</v>
      </c>
    </row>
    <row r="492" spans="1:11" x14ac:dyDescent="0.25">
      <c r="A492" s="2">
        <v>10491</v>
      </c>
      <c r="B492" s="2">
        <f t="shared" si="7"/>
        <v>2020</v>
      </c>
      <c r="C492" s="3">
        <v>43952</v>
      </c>
      <c r="D492" s="4">
        <v>43956</v>
      </c>
      <c r="E492" s="2" t="s">
        <v>25</v>
      </c>
      <c r="F492" s="2" t="s">
        <v>16</v>
      </c>
      <c r="G492" s="2" t="s">
        <v>20</v>
      </c>
      <c r="H492" s="2">
        <v>26</v>
      </c>
      <c r="I492" s="2">
        <v>298</v>
      </c>
      <c r="J492" s="5">
        <v>253300</v>
      </c>
      <c r="K492" s="5">
        <v>53193</v>
      </c>
    </row>
    <row r="493" spans="1:11" x14ac:dyDescent="0.25">
      <c r="A493" s="2">
        <v>10492</v>
      </c>
      <c r="B493" s="2">
        <f t="shared" si="7"/>
        <v>2020</v>
      </c>
      <c r="C493" s="3">
        <v>43952</v>
      </c>
      <c r="D493" s="4">
        <v>43957</v>
      </c>
      <c r="E493" s="2" t="s">
        <v>11</v>
      </c>
      <c r="F493" s="2" t="s">
        <v>24</v>
      </c>
      <c r="G493" s="2" t="s">
        <v>13</v>
      </c>
      <c r="H493" s="2">
        <v>8</v>
      </c>
      <c r="I493" s="2">
        <v>91</v>
      </c>
      <c r="J493" s="5">
        <v>68250</v>
      </c>
      <c r="K493" s="5">
        <v>6825</v>
      </c>
    </row>
    <row r="494" spans="1:11" x14ac:dyDescent="0.25">
      <c r="A494" s="2">
        <v>10493</v>
      </c>
      <c r="B494" s="2">
        <f t="shared" si="7"/>
        <v>2020</v>
      </c>
      <c r="C494" s="3">
        <v>43952</v>
      </c>
      <c r="D494" s="4">
        <v>43958</v>
      </c>
      <c r="E494" s="2" t="s">
        <v>22</v>
      </c>
      <c r="F494" s="2" t="s">
        <v>18</v>
      </c>
      <c r="G494" s="2" t="s">
        <v>13</v>
      </c>
      <c r="H494" s="2">
        <v>35</v>
      </c>
      <c r="I494" s="2">
        <v>399</v>
      </c>
      <c r="J494" s="5">
        <v>299250</v>
      </c>
      <c r="K494" s="5">
        <v>62842.5</v>
      </c>
    </row>
    <row r="495" spans="1:11" x14ac:dyDescent="0.25">
      <c r="A495" s="2">
        <v>10494</v>
      </c>
      <c r="B495" s="2">
        <f t="shared" si="7"/>
        <v>2020</v>
      </c>
      <c r="C495" s="3">
        <v>43952</v>
      </c>
      <c r="D495" s="4">
        <v>43959</v>
      </c>
      <c r="E495" s="2" t="s">
        <v>14</v>
      </c>
      <c r="F495" s="2" t="s">
        <v>12</v>
      </c>
      <c r="G495" s="2" t="s">
        <v>17</v>
      </c>
      <c r="H495" s="2">
        <v>14</v>
      </c>
      <c r="I495" s="2">
        <v>345</v>
      </c>
      <c r="J495" s="5">
        <v>86250</v>
      </c>
      <c r="K495" s="5">
        <v>25012.5</v>
      </c>
    </row>
    <row r="496" spans="1:11" x14ac:dyDescent="0.25">
      <c r="A496" s="2">
        <v>10495</v>
      </c>
      <c r="B496" s="2">
        <f t="shared" si="7"/>
        <v>2020</v>
      </c>
      <c r="C496" s="3">
        <v>43952</v>
      </c>
      <c r="D496" s="4">
        <v>43960</v>
      </c>
      <c r="E496" s="2" t="s">
        <v>11</v>
      </c>
      <c r="F496" s="2" t="s">
        <v>12</v>
      </c>
      <c r="G496" s="2" t="s">
        <v>23</v>
      </c>
      <c r="H496" s="2">
        <v>7</v>
      </c>
      <c r="I496" s="2">
        <v>265</v>
      </c>
      <c r="J496" s="5">
        <v>92750</v>
      </c>
      <c r="K496" s="5">
        <v>20405</v>
      </c>
    </row>
    <row r="497" spans="1:11" x14ac:dyDescent="0.25">
      <c r="A497" s="2">
        <v>10496</v>
      </c>
      <c r="B497" s="2">
        <f t="shared" si="7"/>
        <v>2020</v>
      </c>
      <c r="C497" s="3">
        <v>43952</v>
      </c>
      <c r="D497" s="4">
        <v>43961</v>
      </c>
      <c r="E497" s="2" t="s">
        <v>22</v>
      </c>
      <c r="F497" s="2" t="s">
        <v>18</v>
      </c>
      <c r="G497" s="2" t="s">
        <v>13</v>
      </c>
      <c r="H497" s="2">
        <v>13</v>
      </c>
      <c r="I497" s="2">
        <v>422</v>
      </c>
      <c r="J497" s="5">
        <v>316500</v>
      </c>
      <c r="K497" s="5">
        <v>75960</v>
      </c>
    </row>
    <row r="498" spans="1:11" x14ac:dyDescent="0.25">
      <c r="A498" s="2">
        <v>10497</v>
      </c>
      <c r="B498" s="2">
        <f t="shared" si="7"/>
        <v>2020</v>
      </c>
      <c r="C498" s="3">
        <v>43952</v>
      </c>
      <c r="D498" s="4">
        <v>43962</v>
      </c>
      <c r="E498" s="2" t="s">
        <v>25</v>
      </c>
      <c r="F498" s="2" t="s">
        <v>12</v>
      </c>
      <c r="G498" s="2" t="s">
        <v>15</v>
      </c>
      <c r="H498" s="2">
        <v>36</v>
      </c>
      <c r="I498" s="2">
        <v>486</v>
      </c>
      <c r="J498" s="5">
        <v>243000</v>
      </c>
      <c r="K498" s="5">
        <v>65610</v>
      </c>
    </row>
    <row r="499" spans="1:11" x14ac:dyDescent="0.25">
      <c r="A499" s="2">
        <v>10498</v>
      </c>
      <c r="B499" s="2">
        <f t="shared" si="7"/>
        <v>2020</v>
      </c>
      <c r="C499" s="3">
        <v>43952</v>
      </c>
      <c r="D499" s="4">
        <v>43963</v>
      </c>
      <c r="E499" s="2" t="s">
        <v>22</v>
      </c>
      <c r="F499" s="2" t="s">
        <v>24</v>
      </c>
      <c r="G499" s="2" t="s">
        <v>20</v>
      </c>
      <c r="H499" s="2">
        <v>1</v>
      </c>
      <c r="I499" s="2">
        <v>11</v>
      </c>
      <c r="J499" s="5">
        <v>9350</v>
      </c>
      <c r="K499" s="5">
        <v>2431</v>
      </c>
    </row>
    <row r="500" spans="1:11" x14ac:dyDescent="0.25">
      <c r="A500" s="2">
        <v>10499</v>
      </c>
      <c r="B500" s="2">
        <f t="shared" si="7"/>
        <v>2020</v>
      </c>
      <c r="C500" s="3">
        <v>43952</v>
      </c>
      <c r="D500" s="4">
        <v>43964</v>
      </c>
      <c r="E500" s="2" t="s">
        <v>25</v>
      </c>
      <c r="F500" s="2" t="s">
        <v>18</v>
      </c>
      <c r="G500" s="2" t="s">
        <v>23</v>
      </c>
      <c r="H500" s="2">
        <v>21</v>
      </c>
      <c r="I500" s="2">
        <v>357</v>
      </c>
      <c r="J500" s="5">
        <v>124950</v>
      </c>
      <c r="K500" s="5">
        <v>43732.5</v>
      </c>
    </row>
    <row r="501" spans="1:11" x14ac:dyDescent="0.25">
      <c r="A501" s="2">
        <v>10500</v>
      </c>
      <c r="B501" s="2">
        <f t="shared" si="7"/>
        <v>2020</v>
      </c>
      <c r="C501" s="3">
        <v>43952</v>
      </c>
      <c r="D501" s="4">
        <v>43965</v>
      </c>
      <c r="E501" s="2" t="s">
        <v>22</v>
      </c>
      <c r="F501" s="2" t="s">
        <v>16</v>
      </c>
      <c r="G501" s="2" t="s">
        <v>20</v>
      </c>
      <c r="H501" s="2">
        <v>14</v>
      </c>
      <c r="I501" s="2">
        <v>188</v>
      </c>
      <c r="J501" s="5">
        <v>159800</v>
      </c>
      <c r="K501" s="5">
        <v>43146</v>
      </c>
    </row>
    <row r="502" spans="1:11" x14ac:dyDescent="0.25">
      <c r="A502" s="2">
        <v>10501</v>
      </c>
      <c r="B502" s="2">
        <f t="shared" si="7"/>
        <v>2020</v>
      </c>
      <c r="C502" s="3">
        <v>43952</v>
      </c>
      <c r="D502" s="4">
        <v>43966</v>
      </c>
      <c r="E502" s="2" t="s">
        <v>11</v>
      </c>
      <c r="F502" s="2" t="s">
        <v>12</v>
      </c>
      <c r="G502" s="2" t="s">
        <v>15</v>
      </c>
      <c r="H502" s="2">
        <v>14</v>
      </c>
      <c r="I502" s="2">
        <v>144</v>
      </c>
      <c r="J502" s="5">
        <v>72000</v>
      </c>
      <c r="K502" s="5">
        <v>10080.000000000002</v>
      </c>
    </row>
    <row r="503" spans="1:11" x14ac:dyDescent="0.25">
      <c r="A503" s="2">
        <v>10502</v>
      </c>
      <c r="B503" s="2">
        <f t="shared" si="7"/>
        <v>2020</v>
      </c>
      <c r="C503" s="3">
        <v>43952</v>
      </c>
      <c r="D503" s="4">
        <v>43967</v>
      </c>
      <c r="E503" s="2" t="s">
        <v>19</v>
      </c>
      <c r="F503" s="2" t="s">
        <v>21</v>
      </c>
      <c r="G503" s="2" t="s">
        <v>17</v>
      </c>
      <c r="H503" s="2">
        <v>18</v>
      </c>
      <c r="I503" s="2">
        <v>218</v>
      </c>
      <c r="J503" s="5">
        <v>54500</v>
      </c>
      <c r="K503" s="5">
        <v>9810</v>
      </c>
    </row>
    <row r="504" spans="1:11" x14ac:dyDescent="0.25">
      <c r="A504" s="2">
        <v>10503</v>
      </c>
      <c r="B504" s="2">
        <f t="shared" si="7"/>
        <v>2020</v>
      </c>
      <c r="C504" s="3">
        <v>43952</v>
      </c>
      <c r="D504" s="4">
        <v>43968</v>
      </c>
      <c r="E504" s="2" t="s">
        <v>14</v>
      </c>
      <c r="F504" s="2" t="s">
        <v>21</v>
      </c>
      <c r="G504" s="2" t="s">
        <v>15</v>
      </c>
      <c r="H504" s="2">
        <v>3</v>
      </c>
      <c r="I504" s="2">
        <v>119</v>
      </c>
      <c r="J504" s="5">
        <v>59500</v>
      </c>
      <c r="K504" s="5">
        <v>11900</v>
      </c>
    </row>
    <row r="505" spans="1:11" x14ac:dyDescent="0.25">
      <c r="A505" s="2">
        <v>10504</v>
      </c>
      <c r="B505" s="2">
        <f t="shared" si="7"/>
        <v>2020</v>
      </c>
      <c r="C505" s="3">
        <v>43952</v>
      </c>
      <c r="D505" s="4">
        <v>43969</v>
      </c>
      <c r="E505" s="2" t="s">
        <v>14</v>
      </c>
      <c r="F505" s="2" t="s">
        <v>12</v>
      </c>
      <c r="G505" s="2" t="s">
        <v>17</v>
      </c>
      <c r="H505" s="2">
        <v>13</v>
      </c>
      <c r="I505" s="2">
        <v>339</v>
      </c>
      <c r="J505" s="5">
        <v>84750</v>
      </c>
      <c r="K505" s="5">
        <v>21187.5</v>
      </c>
    </row>
    <row r="506" spans="1:11" x14ac:dyDescent="0.25">
      <c r="A506" s="2">
        <v>10505</v>
      </c>
      <c r="B506" s="2">
        <f t="shared" si="7"/>
        <v>2020</v>
      </c>
      <c r="C506" s="3">
        <v>43952</v>
      </c>
      <c r="D506" s="4">
        <v>43970</v>
      </c>
      <c r="E506" s="2" t="s">
        <v>19</v>
      </c>
      <c r="F506" s="2" t="s">
        <v>16</v>
      </c>
      <c r="G506" s="2" t="s">
        <v>15</v>
      </c>
      <c r="H506" s="2">
        <v>10</v>
      </c>
      <c r="I506" s="2">
        <v>276</v>
      </c>
      <c r="J506" s="5">
        <v>138000</v>
      </c>
      <c r="K506" s="5">
        <v>20700</v>
      </c>
    </row>
    <row r="507" spans="1:11" x14ac:dyDescent="0.25">
      <c r="A507" s="2">
        <v>10506</v>
      </c>
      <c r="B507" s="2">
        <f t="shared" si="7"/>
        <v>2020</v>
      </c>
      <c r="C507" s="3">
        <v>43952</v>
      </c>
      <c r="D507" s="4">
        <v>43971</v>
      </c>
      <c r="E507" s="2" t="s">
        <v>22</v>
      </c>
      <c r="F507" s="2" t="s">
        <v>21</v>
      </c>
      <c r="G507" s="2" t="s">
        <v>20</v>
      </c>
      <c r="H507" s="2">
        <v>10</v>
      </c>
      <c r="I507" s="2">
        <v>256</v>
      </c>
      <c r="J507" s="5">
        <v>217600</v>
      </c>
      <c r="K507" s="5">
        <v>65280</v>
      </c>
    </row>
    <row r="508" spans="1:11" x14ac:dyDescent="0.25">
      <c r="A508" s="2">
        <v>10507</v>
      </c>
      <c r="B508" s="2">
        <f t="shared" si="7"/>
        <v>2020</v>
      </c>
      <c r="C508" s="3">
        <v>43952</v>
      </c>
      <c r="D508" s="4">
        <v>43972</v>
      </c>
      <c r="E508" s="2" t="s">
        <v>11</v>
      </c>
      <c r="F508" s="2" t="s">
        <v>16</v>
      </c>
      <c r="G508" s="2" t="s">
        <v>15</v>
      </c>
      <c r="H508" s="2">
        <v>3</v>
      </c>
      <c r="I508" s="2">
        <v>90</v>
      </c>
      <c r="J508" s="5">
        <v>45000</v>
      </c>
      <c r="K508" s="5">
        <v>18900</v>
      </c>
    </row>
    <row r="509" spans="1:11" x14ac:dyDescent="0.25">
      <c r="A509" s="2">
        <v>10508</v>
      </c>
      <c r="B509" s="2">
        <f t="shared" si="7"/>
        <v>2020</v>
      </c>
      <c r="C509" s="3">
        <v>43952</v>
      </c>
      <c r="D509" s="4">
        <v>43973</v>
      </c>
      <c r="E509" s="2" t="s">
        <v>19</v>
      </c>
      <c r="F509" s="2" t="s">
        <v>12</v>
      </c>
      <c r="G509" s="2" t="s">
        <v>23</v>
      </c>
      <c r="H509" s="2">
        <v>8</v>
      </c>
      <c r="I509" s="2">
        <v>223</v>
      </c>
      <c r="J509" s="5">
        <v>78050</v>
      </c>
      <c r="K509" s="5">
        <v>11707.5</v>
      </c>
    </row>
    <row r="510" spans="1:11" x14ac:dyDescent="0.25">
      <c r="A510" s="2">
        <v>10509</v>
      </c>
      <c r="B510" s="2">
        <f t="shared" si="7"/>
        <v>2020</v>
      </c>
      <c r="C510" s="3">
        <v>43952</v>
      </c>
      <c r="D510" s="4">
        <v>43974</v>
      </c>
      <c r="E510" s="2" t="s">
        <v>25</v>
      </c>
      <c r="F510" s="2" t="s">
        <v>16</v>
      </c>
      <c r="G510" s="2" t="s">
        <v>13</v>
      </c>
      <c r="H510" s="2">
        <v>5</v>
      </c>
      <c r="I510" s="2">
        <v>197</v>
      </c>
      <c r="J510" s="5">
        <v>147750</v>
      </c>
      <c r="K510" s="5">
        <v>48757.5</v>
      </c>
    </row>
    <row r="511" spans="1:11" x14ac:dyDescent="0.25">
      <c r="A511" s="2">
        <v>10510</v>
      </c>
      <c r="B511" s="2">
        <f t="shared" si="7"/>
        <v>2020</v>
      </c>
      <c r="C511" s="3">
        <v>43952</v>
      </c>
      <c r="D511" s="4">
        <v>43975</v>
      </c>
      <c r="E511" s="2" t="s">
        <v>14</v>
      </c>
      <c r="F511" s="2" t="s">
        <v>16</v>
      </c>
      <c r="G511" s="2" t="s">
        <v>20</v>
      </c>
      <c r="H511" s="2">
        <v>12</v>
      </c>
      <c r="I511" s="2">
        <v>298</v>
      </c>
      <c r="J511" s="5">
        <v>253300</v>
      </c>
      <c r="K511" s="5">
        <v>103853</v>
      </c>
    </row>
    <row r="512" spans="1:11" x14ac:dyDescent="0.25">
      <c r="A512" s="2">
        <v>10511</v>
      </c>
      <c r="B512" s="2">
        <f t="shared" si="7"/>
        <v>2020</v>
      </c>
      <c r="C512" s="3">
        <v>43952</v>
      </c>
      <c r="D512" s="4">
        <v>43976</v>
      </c>
      <c r="E512" s="2" t="s">
        <v>25</v>
      </c>
      <c r="F512" s="2" t="s">
        <v>24</v>
      </c>
      <c r="G512" s="2" t="s">
        <v>13</v>
      </c>
      <c r="H512" s="2">
        <v>30</v>
      </c>
      <c r="I512" s="2">
        <v>409</v>
      </c>
      <c r="J512" s="5">
        <v>306750</v>
      </c>
      <c r="K512" s="5">
        <v>61350</v>
      </c>
    </row>
    <row r="513" spans="1:11" x14ac:dyDescent="0.25">
      <c r="A513" s="2">
        <v>10512</v>
      </c>
      <c r="B513" s="2">
        <f t="shared" si="7"/>
        <v>2020</v>
      </c>
      <c r="C513" s="3">
        <v>43952</v>
      </c>
      <c r="D513" s="4">
        <v>43977</v>
      </c>
      <c r="E513" s="2" t="s">
        <v>22</v>
      </c>
      <c r="F513" s="2" t="s">
        <v>21</v>
      </c>
      <c r="G513" s="2" t="s">
        <v>15</v>
      </c>
      <c r="H513" s="2">
        <v>25</v>
      </c>
      <c r="I513" s="2">
        <v>379</v>
      </c>
      <c r="J513" s="5">
        <v>189500</v>
      </c>
      <c r="K513" s="5">
        <v>85275</v>
      </c>
    </row>
    <row r="514" spans="1:11" x14ac:dyDescent="0.25">
      <c r="A514" s="2">
        <v>10513</v>
      </c>
      <c r="B514" s="2">
        <f t="shared" si="7"/>
        <v>2020</v>
      </c>
      <c r="C514" s="3">
        <v>43952</v>
      </c>
      <c r="D514" s="4">
        <v>43978</v>
      </c>
      <c r="E514" s="2" t="s">
        <v>22</v>
      </c>
      <c r="F514" s="2" t="s">
        <v>21</v>
      </c>
      <c r="G514" s="2" t="s">
        <v>23</v>
      </c>
      <c r="H514" s="2">
        <v>3</v>
      </c>
      <c r="I514" s="2">
        <v>119</v>
      </c>
      <c r="J514" s="5">
        <v>41650</v>
      </c>
      <c r="K514" s="5">
        <v>6664</v>
      </c>
    </row>
    <row r="515" spans="1:11" x14ac:dyDescent="0.25">
      <c r="A515" s="2">
        <v>10514</v>
      </c>
      <c r="B515" s="2">
        <f t="shared" ref="B515:B578" si="8">YEAR(C515)</f>
        <v>2020</v>
      </c>
      <c r="C515" s="3">
        <v>43952</v>
      </c>
      <c r="D515" s="4">
        <v>43979</v>
      </c>
      <c r="E515" s="2" t="s">
        <v>14</v>
      </c>
      <c r="F515" s="2" t="s">
        <v>18</v>
      </c>
      <c r="G515" s="2" t="s">
        <v>13</v>
      </c>
      <c r="H515" s="2">
        <v>7</v>
      </c>
      <c r="I515" s="2">
        <v>153</v>
      </c>
      <c r="J515" s="5">
        <v>114750</v>
      </c>
      <c r="K515" s="5">
        <v>47047.5</v>
      </c>
    </row>
    <row r="516" spans="1:11" x14ac:dyDescent="0.25">
      <c r="A516" s="2">
        <v>10515</v>
      </c>
      <c r="B516" s="2">
        <f t="shared" si="8"/>
        <v>2020</v>
      </c>
      <c r="C516" s="3">
        <v>43952</v>
      </c>
      <c r="D516" s="4">
        <v>43980</v>
      </c>
      <c r="E516" s="2" t="s">
        <v>14</v>
      </c>
      <c r="F516" s="2" t="s">
        <v>21</v>
      </c>
      <c r="G516" s="2" t="s">
        <v>23</v>
      </c>
      <c r="H516" s="2">
        <v>24</v>
      </c>
      <c r="I516" s="2">
        <v>265</v>
      </c>
      <c r="J516" s="5">
        <v>92750</v>
      </c>
      <c r="K516" s="5">
        <v>27825</v>
      </c>
    </row>
    <row r="517" spans="1:11" x14ac:dyDescent="0.25">
      <c r="A517" s="2">
        <v>10516</v>
      </c>
      <c r="B517" s="2">
        <f t="shared" si="8"/>
        <v>2020</v>
      </c>
      <c r="C517" s="3">
        <v>43952</v>
      </c>
      <c r="D517" s="4">
        <v>43981</v>
      </c>
      <c r="E517" s="2" t="s">
        <v>22</v>
      </c>
      <c r="F517" s="2" t="s">
        <v>12</v>
      </c>
      <c r="G517" s="2" t="s">
        <v>20</v>
      </c>
      <c r="H517" s="2">
        <v>11</v>
      </c>
      <c r="I517" s="2">
        <v>113</v>
      </c>
      <c r="J517" s="5">
        <v>96050</v>
      </c>
      <c r="K517" s="5">
        <v>24973</v>
      </c>
    </row>
    <row r="518" spans="1:11" x14ac:dyDescent="0.25">
      <c r="A518" s="2">
        <v>10517</v>
      </c>
      <c r="B518" s="2">
        <f t="shared" si="8"/>
        <v>2020</v>
      </c>
      <c r="C518" s="3">
        <v>43952</v>
      </c>
      <c r="D518" s="4">
        <v>43982</v>
      </c>
      <c r="E518" s="2" t="s">
        <v>11</v>
      </c>
      <c r="F518" s="2" t="s">
        <v>16</v>
      </c>
      <c r="G518" s="2" t="s">
        <v>15</v>
      </c>
      <c r="H518" s="2">
        <v>11</v>
      </c>
      <c r="I518" s="2">
        <v>196</v>
      </c>
      <c r="J518" s="5">
        <v>98000</v>
      </c>
      <c r="K518" s="5">
        <v>31360</v>
      </c>
    </row>
    <row r="519" spans="1:11" x14ac:dyDescent="0.25">
      <c r="A519" s="2">
        <v>10518</v>
      </c>
      <c r="B519" s="2">
        <f t="shared" si="8"/>
        <v>2020</v>
      </c>
      <c r="C519" s="3">
        <v>43983</v>
      </c>
      <c r="D519" s="4">
        <v>43983</v>
      </c>
      <c r="E519" s="2" t="s">
        <v>14</v>
      </c>
      <c r="F519" s="2" t="s">
        <v>21</v>
      </c>
      <c r="G519" s="2" t="s">
        <v>15</v>
      </c>
      <c r="H519" s="2">
        <v>4</v>
      </c>
      <c r="I519" s="2">
        <v>107</v>
      </c>
      <c r="J519" s="5">
        <v>53500</v>
      </c>
      <c r="K519" s="5">
        <v>12305</v>
      </c>
    </row>
    <row r="520" spans="1:11" x14ac:dyDescent="0.25">
      <c r="A520" s="2">
        <v>10519</v>
      </c>
      <c r="B520" s="2">
        <f t="shared" si="8"/>
        <v>2020</v>
      </c>
      <c r="C520" s="3">
        <v>43983</v>
      </c>
      <c r="D520" s="4">
        <v>43984</v>
      </c>
      <c r="E520" s="2" t="s">
        <v>11</v>
      </c>
      <c r="F520" s="2" t="s">
        <v>24</v>
      </c>
      <c r="G520" s="2" t="s">
        <v>15</v>
      </c>
      <c r="H520" s="2">
        <v>11</v>
      </c>
      <c r="I520" s="2">
        <v>130</v>
      </c>
      <c r="J520" s="5">
        <v>65000</v>
      </c>
      <c r="K520" s="5">
        <v>25350</v>
      </c>
    </row>
    <row r="521" spans="1:11" x14ac:dyDescent="0.25">
      <c r="A521" s="2">
        <v>10520</v>
      </c>
      <c r="B521" s="2">
        <f t="shared" si="8"/>
        <v>2020</v>
      </c>
      <c r="C521" s="3">
        <v>43983</v>
      </c>
      <c r="D521" s="4">
        <v>43985</v>
      </c>
      <c r="E521" s="2" t="s">
        <v>19</v>
      </c>
      <c r="F521" s="2" t="s">
        <v>21</v>
      </c>
      <c r="G521" s="2" t="s">
        <v>20</v>
      </c>
      <c r="H521" s="2">
        <v>28</v>
      </c>
      <c r="I521" s="2">
        <v>285</v>
      </c>
      <c r="J521" s="5">
        <v>242250</v>
      </c>
      <c r="K521" s="5">
        <v>33915</v>
      </c>
    </row>
    <row r="522" spans="1:11" x14ac:dyDescent="0.25">
      <c r="A522" s="2">
        <v>10521</v>
      </c>
      <c r="B522" s="2">
        <f t="shared" si="8"/>
        <v>2020</v>
      </c>
      <c r="C522" s="3">
        <v>43983</v>
      </c>
      <c r="D522" s="4">
        <v>43986</v>
      </c>
      <c r="E522" s="2" t="s">
        <v>19</v>
      </c>
      <c r="F522" s="2" t="s">
        <v>18</v>
      </c>
      <c r="G522" s="2" t="s">
        <v>23</v>
      </c>
      <c r="H522" s="2">
        <v>6</v>
      </c>
      <c r="I522" s="2">
        <v>166</v>
      </c>
      <c r="J522" s="5">
        <v>58100</v>
      </c>
      <c r="K522" s="5">
        <v>7553</v>
      </c>
    </row>
    <row r="523" spans="1:11" x14ac:dyDescent="0.25">
      <c r="A523" s="2">
        <v>10522</v>
      </c>
      <c r="B523" s="2">
        <f t="shared" si="8"/>
        <v>2020</v>
      </c>
      <c r="C523" s="3">
        <v>43983</v>
      </c>
      <c r="D523" s="4">
        <v>43987</v>
      </c>
      <c r="E523" s="2" t="s">
        <v>19</v>
      </c>
      <c r="F523" s="2" t="s">
        <v>16</v>
      </c>
      <c r="G523" s="2" t="s">
        <v>15</v>
      </c>
      <c r="H523" s="2">
        <v>17</v>
      </c>
      <c r="I523" s="2">
        <v>443</v>
      </c>
      <c r="J523" s="5">
        <v>221500</v>
      </c>
      <c r="K523" s="5">
        <v>86385</v>
      </c>
    </row>
    <row r="524" spans="1:11" x14ac:dyDescent="0.25">
      <c r="A524" s="2">
        <v>10523</v>
      </c>
      <c r="B524" s="2">
        <f t="shared" si="8"/>
        <v>2020</v>
      </c>
      <c r="C524" s="3">
        <v>43983</v>
      </c>
      <c r="D524" s="4">
        <v>43988</v>
      </c>
      <c r="E524" s="2" t="s">
        <v>25</v>
      </c>
      <c r="F524" s="2" t="s">
        <v>16</v>
      </c>
      <c r="G524" s="2" t="s">
        <v>13</v>
      </c>
      <c r="H524" s="2">
        <v>15</v>
      </c>
      <c r="I524" s="2">
        <v>375</v>
      </c>
      <c r="J524" s="5">
        <v>281250</v>
      </c>
      <c r="K524" s="5">
        <v>106875</v>
      </c>
    </row>
    <row r="525" spans="1:11" x14ac:dyDescent="0.25">
      <c r="A525" s="2">
        <v>10524</v>
      </c>
      <c r="B525" s="2">
        <f t="shared" si="8"/>
        <v>2020</v>
      </c>
      <c r="C525" s="3">
        <v>43983</v>
      </c>
      <c r="D525" s="4">
        <v>43989</v>
      </c>
      <c r="E525" s="2" t="s">
        <v>22</v>
      </c>
      <c r="F525" s="2" t="s">
        <v>24</v>
      </c>
      <c r="G525" s="2" t="s">
        <v>13</v>
      </c>
      <c r="H525" s="2">
        <v>27</v>
      </c>
      <c r="I525" s="2">
        <v>300</v>
      </c>
      <c r="J525" s="5">
        <v>225000</v>
      </c>
      <c r="K525" s="5">
        <v>31500.000000000004</v>
      </c>
    </row>
    <row r="526" spans="1:11" x14ac:dyDescent="0.25">
      <c r="A526" s="2">
        <v>10525</v>
      </c>
      <c r="B526" s="2">
        <f t="shared" si="8"/>
        <v>2020</v>
      </c>
      <c r="C526" s="3">
        <v>43983</v>
      </c>
      <c r="D526" s="4">
        <v>43990</v>
      </c>
      <c r="E526" s="2" t="s">
        <v>14</v>
      </c>
      <c r="F526" s="2" t="s">
        <v>16</v>
      </c>
      <c r="G526" s="2" t="s">
        <v>23</v>
      </c>
      <c r="H526" s="2">
        <v>12</v>
      </c>
      <c r="I526" s="2">
        <v>207</v>
      </c>
      <c r="J526" s="5">
        <v>72450</v>
      </c>
      <c r="K526" s="5">
        <v>21010.5</v>
      </c>
    </row>
    <row r="527" spans="1:11" x14ac:dyDescent="0.25">
      <c r="A527" s="2">
        <v>10526</v>
      </c>
      <c r="B527" s="2">
        <f t="shared" si="8"/>
        <v>2020</v>
      </c>
      <c r="C527" s="3">
        <v>43983</v>
      </c>
      <c r="D527" s="4">
        <v>43991</v>
      </c>
      <c r="E527" s="2" t="s">
        <v>25</v>
      </c>
      <c r="F527" s="2" t="s">
        <v>21</v>
      </c>
      <c r="G527" s="2" t="s">
        <v>23</v>
      </c>
      <c r="H527" s="2">
        <v>13</v>
      </c>
      <c r="I527" s="2">
        <v>167</v>
      </c>
      <c r="J527" s="5">
        <v>58450</v>
      </c>
      <c r="K527" s="5">
        <v>11105.5</v>
      </c>
    </row>
    <row r="528" spans="1:11" x14ac:dyDescent="0.25">
      <c r="A528" s="2">
        <v>10527</v>
      </c>
      <c r="B528" s="2">
        <f t="shared" si="8"/>
        <v>2020</v>
      </c>
      <c r="C528" s="3">
        <v>43983</v>
      </c>
      <c r="D528" s="4">
        <v>43992</v>
      </c>
      <c r="E528" s="2" t="s">
        <v>11</v>
      </c>
      <c r="F528" s="2" t="s">
        <v>18</v>
      </c>
      <c r="G528" s="2" t="s">
        <v>15</v>
      </c>
      <c r="H528" s="2">
        <v>2</v>
      </c>
      <c r="I528" s="2">
        <v>38</v>
      </c>
      <c r="J528" s="5">
        <v>19000</v>
      </c>
      <c r="K528" s="5">
        <v>8550</v>
      </c>
    </row>
    <row r="529" spans="1:11" x14ac:dyDescent="0.25">
      <c r="A529" s="2">
        <v>10528</v>
      </c>
      <c r="B529" s="2">
        <f t="shared" si="8"/>
        <v>2020</v>
      </c>
      <c r="C529" s="3">
        <v>43983</v>
      </c>
      <c r="D529" s="4">
        <v>43993</v>
      </c>
      <c r="E529" s="2" t="s">
        <v>11</v>
      </c>
      <c r="F529" s="2" t="s">
        <v>18</v>
      </c>
      <c r="G529" s="2" t="s">
        <v>13</v>
      </c>
      <c r="H529" s="2">
        <v>21</v>
      </c>
      <c r="I529" s="2">
        <v>394</v>
      </c>
      <c r="J529" s="5">
        <v>295500</v>
      </c>
      <c r="K529" s="5">
        <v>50235</v>
      </c>
    </row>
    <row r="530" spans="1:11" x14ac:dyDescent="0.25">
      <c r="A530" s="2">
        <v>10529</v>
      </c>
      <c r="B530" s="2">
        <f t="shared" si="8"/>
        <v>2020</v>
      </c>
      <c r="C530" s="3">
        <v>43983</v>
      </c>
      <c r="D530" s="4">
        <v>43994</v>
      </c>
      <c r="E530" s="2" t="s">
        <v>11</v>
      </c>
      <c r="F530" s="2" t="s">
        <v>21</v>
      </c>
      <c r="G530" s="2" t="s">
        <v>20</v>
      </c>
      <c r="H530" s="2">
        <v>16</v>
      </c>
      <c r="I530" s="2">
        <v>265</v>
      </c>
      <c r="J530" s="5">
        <v>225250</v>
      </c>
      <c r="K530" s="5">
        <v>69827.5</v>
      </c>
    </row>
    <row r="531" spans="1:11" x14ac:dyDescent="0.25">
      <c r="A531" s="2">
        <v>10530</v>
      </c>
      <c r="B531" s="2">
        <f t="shared" si="8"/>
        <v>2020</v>
      </c>
      <c r="C531" s="3">
        <v>43983</v>
      </c>
      <c r="D531" s="4">
        <v>43995</v>
      </c>
      <c r="E531" s="2" t="s">
        <v>14</v>
      </c>
      <c r="F531" s="2" t="s">
        <v>24</v>
      </c>
      <c r="G531" s="2" t="s">
        <v>17</v>
      </c>
      <c r="H531" s="2">
        <v>16</v>
      </c>
      <c r="I531" s="2">
        <v>182</v>
      </c>
      <c r="J531" s="5">
        <v>45500</v>
      </c>
      <c r="K531" s="5">
        <v>8190</v>
      </c>
    </row>
    <row r="532" spans="1:11" x14ac:dyDescent="0.25">
      <c r="A532" s="2">
        <v>10531</v>
      </c>
      <c r="B532" s="2">
        <f t="shared" si="8"/>
        <v>2020</v>
      </c>
      <c r="C532" s="3">
        <v>43983</v>
      </c>
      <c r="D532" s="4">
        <v>43996</v>
      </c>
      <c r="E532" s="2" t="s">
        <v>14</v>
      </c>
      <c r="F532" s="2" t="s">
        <v>16</v>
      </c>
      <c r="G532" s="2" t="s">
        <v>17</v>
      </c>
      <c r="H532" s="2">
        <v>4</v>
      </c>
      <c r="I532" s="2">
        <v>264</v>
      </c>
      <c r="J532" s="5">
        <v>66000</v>
      </c>
      <c r="K532" s="5">
        <v>24420</v>
      </c>
    </row>
    <row r="533" spans="1:11" x14ac:dyDescent="0.25">
      <c r="A533" s="2">
        <v>10532</v>
      </c>
      <c r="B533" s="2">
        <f t="shared" si="8"/>
        <v>2020</v>
      </c>
      <c r="C533" s="3">
        <v>43983</v>
      </c>
      <c r="D533" s="4">
        <v>43997</v>
      </c>
      <c r="E533" s="2" t="s">
        <v>11</v>
      </c>
      <c r="F533" s="2" t="s">
        <v>16</v>
      </c>
      <c r="G533" s="2" t="s">
        <v>20</v>
      </c>
      <c r="H533" s="2">
        <v>6</v>
      </c>
      <c r="I533" s="2">
        <v>146</v>
      </c>
      <c r="J533" s="5">
        <v>124100</v>
      </c>
      <c r="K533" s="5">
        <v>29784</v>
      </c>
    </row>
    <row r="534" spans="1:11" x14ac:dyDescent="0.25">
      <c r="A534" s="2">
        <v>10533</v>
      </c>
      <c r="B534" s="2">
        <f t="shared" si="8"/>
        <v>2020</v>
      </c>
      <c r="C534" s="3">
        <v>43983</v>
      </c>
      <c r="D534" s="4">
        <v>43998</v>
      </c>
      <c r="E534" s="2" t="s">
        <v>22</v>
      </c>
      <c r="F534" s="2" t="s">
        <v>21</v>
      </c>
      <c r="G534" s="2" t="s">
        <v>23</v>
      </c>
      <c r="H534" s="2">
        <v>8</v>
      </c>
      <c r="I534" s="2">
        <v>226</v>
      </c>
      <c r="J534" s="5">
        <v>79100</v>
      </c>
      <c r="K534" s="5">
        <v>14238</v>
      </c>
    </row>
    <row r="535" spans="1:11" x14ac:dyDescent="0.25">
      <c r="A535" s="2">
        <v>10534</v>
      </c>
      <c r="B535" s="2">
        <f t="shared" si="8"/>
        <v>2020</v>
      </c>
      <c r="C535" s="3">
        <v>43983</v>
      </c>
      <c r="D535" s="4">
        <v>43999</v>
      </c>
      <c r="E535" s="2" t="s">
        <v>11</v>
      </c>
      <c r="F535" s="2" t="s">
        <v>16</v>
      </c>
      <c r="G535" s="2" t="s">
        <v>17</v>
      </c>
      <c r="H535" s="2">
        <v>47</v>
      </c>
      <c r="I535" s="2">
        <v>487</v>
      </c>
      <c r="J535" s="5">
        <v>121750</v>
      </c>
      <c r="K535" s="5">
        <v>14610</v>
      </c>
    </row>
    <row r="536" spans="1:11" x14ac:dyDescent="0.25">
      <c r="A536" s="2">
        <v>10535</v>
      </c>
      <c r="B536" s="2">
        <f t="shared" si="8"/>
        <v>2020</v>
      </c>
      <c r="C536" s="3">
        <v>43983</v>
      </c>
      <c r="D536" s="4">
        <v>44000</v>
      </c>
      <c r="E536" s="2" t="s">
        <v>11</v>
      </c>
      <c r="F536" s="2" t="s">
        <v>16</v>
      </c>
      <c r="G536" s="2" t="s">
        <v>17</v>
      </c>
      <c r="H536" s="2">
        <v>5</v>
      </c>
      <c r="I536" s="2">
        <v>360</v>
      </c>
      <c r="J536" s="5">
        <v>90000</v>
      </c>
      <c r="K536" s="5">
        <v>20700</v>
      </c>
    </row>
    <row r="537" spans="1:11" x14ac:dyDescent="0.25">
      <c r="A537" s="2">
        <v>10536</v>
      </c>
      <c r="B537" s="2">
        <f t="shared" si="8"/>
        <v>2020</v>
      </c>
      <c r="C537" s="3">
        <v>43983</v>
      </c>
      <c r="D537" s="4">
        <v>44001</v>
      </c>
      <c r="E537" s="2" t="s">
        <v>22</v>
      </c>
      <c r="F537" s="2" t="s">
        <v>16</v>
      </c>
      <c r="G537" s="2" t="s">
        <v>20</v>
      </c>
      <c r="H537" s="2">
        <v>27</v>
      </c>
      <c r="I537" s="2">
        <v>499</v>
      </c>
      <c r="J537" s="5">
        <v>424150</v>
      </c>
      <c r="K537" s="5">
        <v>97554.5</v>
      </c>
    </row>
    <row r="538" spans="1:11" x14ac:dyDescent="0.25">
      <c r="A538" s="2">
        <v>10537</v>
      </c>
      <c r="B538" s="2">
        <f t="shared" si="8"/>
        <v>2020</v>
      </c>
      <c r="C538" s="3">
        <v>43983</v>
      </c>
      <c r="D538" s="4">
        <v>44002</v>
      </c>
      <c r="E538" s="2" t="s">
        <v>19</v>
      </c>
      <c r="F538" s="2" t="s">
        <v>16</v>
      </c>
      <c r="G538" s="2" t="s">
        <v>15</v>
      </c>
      <c r="H538" s="2">
        <v>15</v>
      </c>
      <c r="I538" s="2">
        <v>299</v>
      </c>
      <c r="J538" s="5">
        <v>149500</v>
      </c>
      <c r="K538" s="5">
        <v>16445</v>
      </c>
    </row>
    <row r="539" spans="1:11" x14ac:dyDescent="0.25">
      <c r="A539" s="2">
        <v>10538</v>
      </c>
      <c r="B539" s="2">
        <f t="shared" si="8"/>
        <v>2020</v>
      </c>
      <c r="C539" s="3">
        <v>43983</v>
      </c>
      <c r="D539" s="4">
        <v>44003</v>
      </c>
      <c r="E539" s="2" t="s">
        <v>11</v>
      </c>
      <c r="F539" s="2" t="s">
        <v>24</v>
      </c>
      <c r="G539" s="2" t="s">
        <v>13</v>
      </c>
      <c r="H539" s="2">
        <v>12</v>
      </c>
      <c r="I539" s="2">
        <v>422</v>
      </c>
      <c r="J539" s="5">
        <v>316500</v>
      </c>
      <c r="K539" s="5">
        <v>139260</v>
      </c>
    </row>
    <row r="540" spans="1:11" x14ac:dyDescent="0.25">
      <c r="A540" s="2">
        <v>10539</v>
      </c>
      <c r="B540" s="2">
        <f t="shared" si="8"/>
        <v>2020</v>
      </c>
      <c r="C540" s="3">
        <v>43983</v>
      </c>
      <c r="D540" s="4">
        <v>44004</v>
      </c>
      <c r="E540" s="2" t="s">
        <v>19</v>
      </c>
      <c r="F540" s="2" t="s">
        <v>16</v>
      </c>
      <c r="G540" s="2" t="s">
        <v>15</v>
      </c>
      <c r="H540" s="2">
        <v>6</v>
      </c>
      <c r="I540" s="2">
        <v>353</v>
      </c>
      <c r="J540" s="5">
        <v>176500</v>
      </c>
      <c r="K540" s="5">
        <v>30005.000000000004</v>
      </c>
    </row>
    <row r="541" spans="1:11" x14ac:dyDescent="0.25">
      <c r="A541" s="2">
        <v>10540</v>
      </c>
      <c r="B541" s="2">
        <f t="shared" si="8"/>
        <v>2020</v>
      </c>
      <c r="C541" s="3">
        <v>43983</v>
      </c>
      <c r="D541" s="4">
        <v>44005</v>
      </c>
      <c r="E541" s="2" t="s">
        <v>22</v>
      </c>
      <c r="F541" s="2" t="s">
        <v>16</v>
      </c>
      <c r="G541" s="2" t="s">
        <v>23</v>
      </c>
      <c r="H541" s="2">
        <v>21</v>
      </c>
      <c r="I541" s="2">
        <v>333</v>
      </c>
      <c r="J541" s="5">
        <v>116550</v>
      </c>
      <c r="K541" s="5">
        <v>29137.5</v>
      </c>
    </row>
    <row r="542" spans="1:11" x14ac:dyDescent="0.25">
      <c r="A542" s="2">
        <v>10541</v>
      </c>
      <c r="B542" s="2">
        <f t="shared" si="8"/>
        <v>2020</v>
      </c>
      <c r="C542" s="3">
        <v>43983</v>
      </c>
      <c r="D542" s="4">
        <v>44006</v>
      </c>
      <c r="E542" s="2" t="s">
        <v>25</v>
      </c>
      <c r="F542" s="2" t="s">
        <v>18</v>
      </c>
      <c r="G542" s="2" t="s">
        <v>17</v>
      </c>
      <c r="H542" s="2">
        <v>10</v>
      </c>
      <c r="I542" s="2">
        <v>418</v>
      </c>
      <c r="J542" s="5">
        <v>104500</v>
      </c>
      <c r="K542" s="5">
        <v>11495</v>
      </c>
    </row>
    <row r="543" spans="1:11" x14ac:dyDescent="0.25">
      <c r="A543" s="2">
        <v>10542</v>
      </c>
      <c r="B543" s="2">
        <f t="shared" si="8"/>
        <v>2020</v>
      </c>
      <c r="C543" s="3">
        <v>43983</v>
      </c>
      <c r="D543" s="4">
        <v>44007</v>
      </c>
      <c r="E543" s="2" t="s">
        <v>14</v>
      </c>
      <c r="F543" s="2" t="s">
        <v>18</v>
      </c>
      <c r="G543" s="2" t="s">
        <v>17</v>
      </c>
      <c r="H543" s="2">
        <v>5</v>
      </c>
      <c r="I543" s="2">
        <v>194</v>
      </c>
      <c r="J543" s="5">
        <v>48500</v>
      </c>
      <c r="K543" s="5">
        <v>19885</v>
      </c>
    </row>
    <row r="544" spans="1:11" x14ac:dyDescent="0.25">
      <c r="A544" s="2">
        <v>10543</v>
      </c>
      <c r="B544" s="2">
        <f t="shared" si="8"/>
        <v>2020</v>
      </c>
      <c r="C544" s="3">
        <v>43983</v>
      </c>
      <c r="D544" s="4">
        <v>44008</v>
      </c>
      <c r="E544" s="2" t="s">
        <v>11</v>
      </c>
      <c r="F544" s="2" t="s">
        <v>12</v>
      </c>
      <c r="G544" s="2" t="s">
        <v>23</v>
      </c>
      <c r="H544" s="2">
        <v>27</v>
      </c>
      <c r="I544" s="2">
        <v>355</v>
      </c>
      <c r="J544" s="5">
        <v>124250</v>
      </c>
      <c r="K544" s="5">
        <v>24850</v>
      </c>
    </row>
    <row r="545" spans="1:11" x14ac:dyDescent="0.25">
      <c r="A545" s="2">
        <v>10544</v>
      </c>
      <c r="B545" s="2">
        <f t="shared" si="8"/>
        <v>2020</v>
      </c>
      <c r="C545" s="3">
        <v>43983</v>
      </c>
      <c r="D545" s="4">
        <v>44009</v>
      </c>
      <c r="E545" s="2" t="s">
        <v>19</v>
      </c>
      <c r="F545" s="2" t="s">
        <v>24</v>
      </c>
      <c r="G545" s="2" t="s">
        <v>17</v>
      </c>
      <c r="H545" s="2">
        <v>11</v>
      </c>
      <c r="I545" s="2">
        <v>192</v>
      </c>
      <c r="J545" s="5">
        <v>48000</v>
      </c>
      <c r="K545" s="5">
        <v>21120</v>
      </c>
    </row>
    <row r="546" spans="1:11" x14ac:dyDescent="0.25">
      <c r="A546" s="2">
        <v>10545</v>
      </c>
      <c r="B546" s="2">
        <f t="shared" si="8"/>
        <v>2020</v>
      </c>
      <c r="C546" s="3">
        <v>43983</v>
      </c>
      <c r="D546" s="4">
        <v>44010</v>
      </c>
      <c r="E546" s="2" t="s">
        <v>22</v>
      </c>
      <c r="F546" s="2" t="s">
        <v>16</v>
      </c>
      <c r="G546" s="2" t="s">
        <v>23</v>
      </c>
      <c r="H546" s="2">
        <v>19</v>
      </c>
      <c r="I546" s="2">
        <v>302</v>
      </c>
      <c r="J546" s="5">
        <v>105700</v>
      </c>
      <c r="K546" s="5">
        <v>22197</v>
      </c>
    </row>
    <row r="547" spans="1:11" x14ac:dyDescent="0.25">
      <c r="A547" s="2">
        <v>10546</v>
      </c>
      <c r="B547" s="2">
        <f t="shared" si="8"/>
        <v>2020</v>
      </c>
      <c r="C547" s="3">
        <v>43983</v>
      </c>
      <c r="D547" s="4">
        <v>44011</v>
      </c>
      <c r="E547" s="2" t="s">
        <v>11</v>
      </c>
      <c r="F547" s="2" t="s">
        <v>16</v>
      </c>
      <c r="G547" s="2" t="s">
        <v>15</v>
      </c>
      <c r="H547" s="2">
        <v>39</v>
      </c>
      <c r="I547" s="2">
        <v>419</v>
      </c>
      <c r="J547" s="5">
        <v>209500</v>
      </c>
      <c r="K547" s="5">
        <v>73325</v>
      </c>
    </row>
    <row r="548" spans="1:11" x14ac:dyDescent="0.25">
      <c r="A548" s="2">
        <v>10547</v>
      </c>
      <c r="B548" s="2">
        <f t="shared" si="8"/>
        <v>2020</v>
      </c>
      <c r="C548" s="3">
        <v>43983</v>
      </c>
      <c r="D548" s="4">
        <v>44012</v>
      </c>
      <c r="E548" s="2" t="s">
        <v>25</v>
      </c>
      <c r="F548" s="2" t="s">
        <v>18</v>
      </c>
      <c r="G548" s="2" t="s">
        <v>15</v>
      </c>
      <c r="H548" s="2">
        <v>8</v>
      </c>
      <c r="I548" s="2">
        <v>377</v>
      </c>
      <c r="J548" s="5">
        <v>188500</v>
      </c>
      <c r="K548" s="5">
        <v>60320</v>
      </c>
    </row>
    <row r="549" spans="1:11" x14ac:dyDescent="0.25">
      <c r="A549" s="2">
        <v>10548</v>
      </c>
      <c r="B549" s="2">
        <f t="shared" si="8"/>
        <v>2020</v>
      </c>
      <c r="C549" s="3">
        <v>44013</v>
      </c>
      <c r="D549" s="4">
        <v>44013</v>
      </c>
      <c r="E549" s="2" t="s">
        <v>22</v>
      </c>
      <c r="F549" s="2" t="s">
        <v>16</v>
      </c>
      <c r="G549" s="2" t="s">
        <v>17</v>
      </c>
      <c r="H549" s="2">
        <v>5</v>
      </c>
      <c r="I549" s="2">
        <v>97</v>
      </c>
      <c r="J549" s="5">
        <v>24250</v>
      </c>
      <c r="K549" s="5">
        <v>3152.5</v>
      </c>
    </row>
    <row r="550" spans="1:11" x14ac:dyDescent="0.25">
      <c r="A550" s="2">
        <v>10549</v>
      </c>
      <c r="B550" s="2">
        <f t="shared" si="8"/>
        <v>2020</v>
      </c>
      <c r="C550" s="3">
        <v>44013</v>
      </c>
      <c r="D550" s="4">
        <v>44014</v>
      </c>
      <c r="E550" s="2" t="s">
        <v>22</v>
      </c>
      <c r="F550" s="2" t="s">
        <v>16</v>
      </c>
      <c r="G550" s="2" t="s">
        <v>13</v>
      </c>
      <c r="H550" s="2">
        <v>37</v>
      </c>
      <c r="I550" s="2">
        <v>496</v>
      </c>
      <c r="J550" s="5">
        <v>372000</v>
      </c>
      <c r="K550" s="5">
        <v>74400</v>
      </c>
    </row>
    <row r="551" spans="1:11" x14ac:dyDescent="0.25">
      <c r="A551" s="2">
        <v>10550</v>
      </c>
      <c r="B551" s="2">
        <f t="shared" si="8"/>
        <v>2020</v>
      </c>
      <c r="C551" s="3">
        <v>44013</v>
      </c>
      <c r="D551" s="4">
        <v>44015</v>
      </c>
      <c r="E551" s="2" t="s">
        <v>19</v>
      </c>
      <c r="F551" s="2" t="s">
        <v>21</v>
      </c>
      <c r="G551" s="2" t="s">
        <v>13</v>
      </c>
      <c r="H551" s="2">
        <v>7</v>
      </c>
      <c r="I551" s="2">
        <v>406</v>
      </c>
      <c r="J551" s="5">
        <v>304500</v>
      </c>
      <c r="K551" s="5">
        <v>51765.000000000007</v>
      </c>
    </row>
    <row r="552" spans="1:11" x14ac:dyDescent="0.25">
      <c r="A552" s="2">
        <v>10551</v>
      </c>
      <c r="B552" s="2">
        <f t="shared" si="8"/>
        <v>2020</v>
      </c>
      <c r="C552" s="3">
        <v>44013</v>
      </c>
      <c r="D552" s="4">
        <v>44016</v>
      </c>
      <c r="E552" s="2" t="s">
        <v>14</v>
      </c>
      <c r="F552" s="2" t="s">
        <v>12</v>
      </c>
      <c r="G552" s="2" t="s">
        <v>20</v>
      </c>
      <c r="H552" s="2">
        <v>5</v>
      </c>
      <c r="I552" s="2">
        <v>130</v>
      </c>
      <c r="J552" s="5">
        <v>110500</v>
      </c>
      <c r="K552" s="5">
        <v>47515</v>
      </c>
    </row>
    <row r="553" spans="1:11" x14ac:dyDescent="0.25">
      <c r="A553" s="2">
        <v>10552</v>
      </c>
      <c r="B553" s="2">
        <f t="shared" si="8"/>
        <v>2020</v>
      </c>
      <c r="C553" s="3">
        <v>44013</v>
      </c>
      <c r="D553" s="4">
        <v>44017</v>
      </c>
      <c r="E553" s="2" t="s">
        <v>11</v>
      </c>
      <c r="F553" s="2" t="s">
        <v>24</v>
      </c>
      <c r="G553" s="2" t="s">
        <v>15</v>
      </c>
      <c r="H553" s="2">
        <v>18</v>
      </c>
      <c r="I553" s="2">
        <v>232</v>
      </c>
      <c r="J553" s="5">
        <v>116000</v>
      </c>
      <c r="K553" s="5">
        <v>25520</v>
      </c>
    </row>
    <row r="554" spans="1:11" x14ac:dyDescent="0.25">
      <c r="A554" s="2">
        <v>10553</v>
      </c>
      <c r="B554" s="2">
        <f t="shared" si="8"/>
        <v>2020</v>
      </c>
      <c r="C554" s="3">
        <v>44013</v>
      </c>
      <c r="D554" s="4">
        <v>44018</v>
      </c>
      <c r="E554" s="2" t="s">
        <v>25</v>
      </c>
      <c r="F554" s="2" t="s">
        <v>12</v>
      </c>
      <c r="G554" s="2" t="s">
        <v>20</v>
      </c>
      <c r="H554" s="2">
        <v>5</v>
      </c>
      <c r="I554" s="2">
        <v>156</v>
      </c>
      <c r="J554" s="5">
        <v>132600</v>
      </c>
      <c r="K554" s="5">
        <v>19890</v>
      </c>
    </row>
    <row r="555" spans="1:11" x14ac:dyDescent="0.25">
      <c r="A555" s="2">
        <v>10554</v>
      </c>
      <c r="B555" s="2">
        <f t="shared" si="8"/>
        <v>2020</v>
      </c>
      <c r="C555" s="3">
        <v>44013</v>
      </c>
      <c r="D555" s="4">
        <v>44019</v>
      </c>
      <c r="E555" s="2" t="s">
        <v>25</v>
      </c>
      <c r="F555" s="2" t="s">
        <v>18</v>
      </c>
      <c r="G555" s="2" t="s">
        <v>17</v>
      </c>
      <c r="H555" s="2">
        <v>6</v>
      </c>
      <c r="I555" s="2">
        <v>493</v>
      </c>
      <c r="J555" s="5">
        <v>123250</v>
      </c>
      <c r="K555" s="5">
        <v>20952.5</v>
      </c>
    </row>
    <row r="556" spans="1:11" x14ac:dyDescent="0.25">
      <c r="A556" s="2">
        <v>10555</v>
      </c>
      <c r="B556" s="2">
        <f t="shared" si="8"/>
        <v>2020</v>
      </c>
      <c r="C556" s="3">
        <v>44013</v>
      </c>
      <c r="D556" s="4">
        <v>44020</v>
      </c>
      <c r="E556" s="2" t="s">
        <v>14</v>
      </c>
      <c r="F556" s="2" t="s">
        <v>16</v>
      </c>
      <c r="G556" s="2" t="s">
        <v>23</v>
      </c>
      <c r="H556" s="2">
        <v>13</v>
      </c>
      <c r="I556" s="2">
        <v>288</v>
      </c>
      <c r="J556" s="5">
        <v>100800</v>
      </c>
      <c r="K556" s="5">
        <v>33264</v>
      </c>
    </row>
    <row r="557" spans="1:11" x14ac:dyDescent="0.25">
      <c r="A557" s="2">
        <v>10556</v>
      </c>
      <c r="B557" s="2">
        <f t="shared" si="8"/>
        <v>2020</v>
      </c>
      <c r="C557" s="3">
        <v>44013</v>
      </c>
      <c r="D557" s="4">
        <v>44021</v>
      </c>
      <c r="E557" s="2" t="s">
        <v>11</v>
      </c>
      <c r="F557" s="2" t="s">
        <v>18</v>
      </c>
      <c r="G557" s="2" t="s">
        <v>23</v>
      </c>
      <c r="H557" s="2">
        <v>8</v>
      </c>
      <c r="I557" s="2">
        <v>81</v>
      </c>
      <c r="J557" s="5">
        <v>28350</v>
      </c>
      <c r="K557" s="5">
        <v>7371</v>
      </c>
    </row>
    <row r="558" spans="1:11" x14ac:dyDescent="0.25">
      <c r="A558" s="2">
        <v>10557</v>
      </c>
      <c r="B558" s="2">
        <f t="shared" si="8"/>
        <v>2020</v>
      </c>
      <c r="C558" s="3">
        <v>44013</v>
      </c>
      <c r="D558" s="4">
        <v>44022</v>
      </c>
      <c r="E558" s="2" t="s">
        <v>22</v>
      </c>
      <c r="F558" s="2" t="s">
        <v>24</v>
      </c>
      <c r="G558" s="2" t="s">
        <v>20</v>
      </c>
      <c r="H558" s="2">
        <v>9</v>
      </c>
      <c r="I558" s="2">
        <v>229</v>
      </c>
      <c r="J558" s="5">
        <v>194650</v>
      </c>
      <c r="K558" s="5">
        <v>81753</v>
      </c>
    </row>
    <row r="559" spans="1:11" x14ac:dyDescent="0.25">
      <c r="A559" s="2">
        <v>10558</v>
      </c>
      <c r="B559" s="2">
        <f t="shared" si="8"/>
        <v>2020</v>
      </c>
      <c r="C559" s="3">
        <v>44013</v>
      </c>
      <c r="D559" s="4">
        <v>44023</v>
      </c>
      <c r="E559" s="2" t="s">
        <v>22</v>
      </c>
      <c r="F559" s="2" t="s">
        <v>24</v>
      </c>
      <c r="G559" s="2" t="s">
        <v>13</v>
      </c>
      <c r="H559" s="2">
        <v>6</v>
      </c>
      <c r="I559" s="2">
        <v>473</v>
      </c>
      <c r="J559" s="5">
        <v>354750</v>
      </c>
      <c r="K559" s="5">
        <v>141900</v>
      </c>
    </row>
    <row r="560" spans="1:11" x14ac:dyDescent="0.25">
      <c r="A560" s="2">
        <v>10559</v>
      </c>
      <c r="B560" s="2">
        <f t="shared" si="8"/>
        <v>2020</v>
      </c>
      <c r="C560" s="3">
        <v>44013</v>
      </c>
      <c r="D560" s="4">
        <v>44024</v>
      </c>
      <c r="E560" s="2" t="s">
        <v>19</v>
      </c>
      <c r="F560" s="2" t="s">
        <v>24</v>
      </c>
      <c r="G560" s="2" t="s">
        <v>23</v>
      </c>
      <c r="H560" s="2">
        <v>2</v>
      </c>
      <c r="I560" s="2">
        <v>112</v>
      </c>
      <c r="J560" s="5">
        <v>39200</v>
      </c>
      <c r="K560" s="5">
        <v>3920</v>
      </c>
    </row>
    <row r="561" spans="1:11" x14ac:dyDescent="0.25">
      <c r="A561" s="2">
        <v>10560</v>
      </c>
      <c r="B561" s="2">
        <f t="shared" si="8"/>
        <v>2020</v>
      </c>
      <c r="C561" s="3">
        <v>44013</v>
      </c>
      <c r="D561" s="4">
        <v>44025</v>
      </c>
      <c r="E561" s="2" t="s">
        <v>19</v>
      </c>
      <c r="F561" s="2" t="s">
        <v>18</v>
      </c>
      <c r="G561" s="2" t="s">
        <v>15</v>
      </c>
      <c r="H561" s="2">
        <v>5</v>
      </c>
      <c r="I561" s="2">
        <v>89</v>
      </c>
      <c r="J561" s="5">
        <v>44500</v>
      </c>
      <c r="K561" s="5">
        <v>15574.999999999998</v>
      </c>
    </row>
    <row r="562" spans="1:11" x14ac:dyDescent="0.25">
      <c r="A562" s="2">
        <v>10561</v>
      </c>
      <c r="B562" s="2">
        <f t="shared" si="8"/>
        <v>2020</v>
      </c>
      <c r="C562" s="3">
        <v>44013</v>
      </c>
      <c r="D562" s="4">
        <v>44026</v>
      </c>
      <c r="E562" s="2" t="s">
        <v>25</v>
      </c>
      <c r="F562" s="2" t="s">
        <v>18</v>
      </c>
      <c r="G562" s="2" t="s">
        <v>23</v>
      </c>
      <c r="H562" s="2">
        <v>28</v>
      </c>
      <c r="I562" s="2">
        <v>377</v>
      </c>
      <c r="J562" s="5">
        <v>131950</v>
      </c>
      <c r="K562" s="5">
        <v>15834</v>
      </c>
    </row>
    <row r="563" spans="1:11" x14ac:dyDescent="0.25">
      <c r="A563" s="2">
        <v>10562</v>
      </c>
      <c r="B563" s="2">
        <f t="shared" si="8"/>
        <v>2020</v>
      </c>
      <c r="C563" s="3">
        <v>44013</v>
      </c>
      <c r="D563" s="4">
        <v>44027</v>
      </c>
      <c r="E563" s="2" t="s">
        <v>14</v>
      </c>
      <c r="F563" s="2" t="s">
        <v>18</v>
      </c>
      <c r="G563" s="2" t="s">
        <v>23</v>
      </c>
      <c r="H563" s="2">
        <v>4</v>
      </c>
      <c r="I563" s="2">
        <v>93</v>
      </c>
      <c r="J563" s="5">
        <v>32550</v>
      </c>
      <c r="K563" s="5">
        <v>8137.5</v>
      </c>
    </row>
    <row r="564" spans="1:11" x14ac:dyDescent="0.25">
      <c r="A564" s="2">
        <v>10563</v>
      </c>
      <c r="B564" s="2">
        <f t="shared" si="8"/>
        <v>2020</v>
      </c>
      <c r="C564" s="3">
        <v>44013</v>
      </c>
      <c r="D564" s="4">
        <v>44028</v>
      </c>
      <c r="E564" s="2" t="s">
        <v>14</v>
      </c>
      <c r="F564" s="2" t="s">
        <v>24</v>
      </c>
      <c r="G564" s="2" t="s">
        <v>13</v>
      </c>
      <c r="H564" s="2">
        <v>35</v>
      </c>
      <c r="I564" s="2">
        <v>479</v>
      </c>
      <c r="J564" s="5">
        <v>359250</v>
      </c>
      <c r="K564" s="5">
        <v>125737.49999999999</v>
      </c>
    </row>
    <row r="565" spans="1:11" x14ac:dyDescent="0.25">
      <c r="A565" s="2">
        <v>10564</v>
      </c>
      <c r="B565" s="2">
        <f t="shared" si="8"/>
        <v>2020</v>
      </c>
      <c r="C565" s="3">
        <v>44013</v>
      </c>
      <c r="D565" s="4">
        <v>44029</v>
      </c>
      <c r="E565" s="2" t="s">
        <v>25</v>
      </c>
      <c r="F565" s="2" t="s">
        <v>21</v>
      </c>
      <c r="G565" s="2" t="s">
        <v>17</v>
      </c>
      <c r="H565" s="2">
        <v>23</v>
      </c>
      <c r="I565" s="2">
        <v>465</v>
      </c>
      <c r="J565" s="5">
        <v>116250</v>
      </c>
      <c r="K565" s="5">
        <v>23250</v>
      </c>
    </row>
    <row r="566" spans="1:11" x14ac:dyDescent="0.25">
      <c r="A566" s="2">
        <v>10565</v>
      </c>
      <c r="B566" s="2">
        <f t="shared" si="8"/>
        <v>2020</v>
      </c>
      <c r="C566" s="3">
        <v>44013</v>
      </c>
      <c r="D566" s="4">
        <v>44030</v>
      </c>
      <c r="E566" s="2" t="s">
        <v>14</v>
      </c>
      <c r="F566" s="2" t="s">
        <v>18</v>
      </c>
      <c r="G566" s="2" t="s">
        <v>23</v>
      </c>
      <c r="H566" s="2">
        <v>7</v>
      </c>
      <c r="I566" s="2">
        <v>444</v>
      </c>
      <c r="J566" s="5">
        <v>155400</v>
      </c>
      <c r="K566" s="5">
        <v>57498</v>
      </c>
    </row>
    <row r="567" spans="1:11" x14ac:dyDescent="0.25">
      <c r="A567" s="2">
        <v>10566</v>
      </c>
      <c r="B567" s="2">
        <f t="shared" si="8"/>
        <v>2020</v>
      </c>
      <c r="C567" s="3">
        <v>44013</v>
      </c>
      <c r="D567" s="4">
        <v>44031</v>
      </c>
      <c r="E567" s="2" t="s">
        <v>14</v>
      </c>
      <c r="F567" s="2" t="s">
        <v>24</v>
      </c>
      <c r="G567" s="2" t="s">
        <v>20</v>
      </c>
      <c r="H567" s="2">
        <v>3</v>
      </c>
      <c r="I567" s="2">
        <v>78</v>
      </c>
      <c r="J567" s="5">
        <v>66300</v>
      </c>
      <c r="K567" s="5">
        <v>26520</v>
      </c>
    </row>
    <row r="568" spans="1:11" x14ac:dyDescent="0.25">
      <c r="A568" s="2">
        <v>10567</v>
      </c>
      <c r="B568" s="2">
        <f t="shared" si="8"/>
        <v>2020</v>
      </c>
      <c r="C568" s="3">
        <v>44013</v>
      </c>
      <c r="D568" s="4">
        <v>44032</v>
      </c>
      <c r="E568" s="2" t="s">
        <v>25</v>
      </c>
      <c r="F568" s="2" t="s">
        <v>18</v>
      </c>
      <c r="G568" s="2" t="s">
        <v>13</v>
      </c>
      <c r="H568" s="2">
        <v>5</v>
      </c>
      <c r="I568" s="2">
        <v>195</v>
      </c>
      <c r="J568" s="5">
        <v>146250</v>
      </c>
      <c r="K568" s="5">
        <v>38025</v>
      </c>
    </row>
    <row r="569" spans="1:11" x14ac:dyDescent="0.25">
      <c r="A569" s="2">
        <v>10568</v>
      </c>
      <c r="B569" s="2">
        <f t="shared" si="8"/>
        <v>2020</v>
      </c>
      <c r="C569" s="3">
        <v>44013</v>
      </c>
      <c r="D569" s="4">
        <v>44033</v>
      </c>
      <c r="E569" s="2" t="s">
        <v>22</v>
      </c>
      <c r="F569" s="2" t="s">
        <v>18</v>
      </c>
      <c r="G569" s="2" t="s">
        <v>15</v>
      </c>
      <c r="H569" s="2">
        <v>21</v>
      </c>
      <c r="I569" s="2">
        <v>395</v>
      </c>
      <c r="J569" s="5">
        <v>197500</v>
      </c>
      <c r="K569" s="5">
        <v>88875</v>
      </c>
    </row>
    <row r="570" spans="1:11" x14ac:dyDescent="0.25">
      <c r="A570" s="2">
        <v>10569</v>
      </c>
      <c r="B570" s="2">
        <f t="shared" si="8"/>
        <v>2020</v>
      </c>
      <c r="C570" s="3">
        <v>44013</v>
      </c>
      <c r="D570" s="4">
        <v>44034</v>
      </c>
      <c r="E570" s="2" t="s">
        <v>11</v>
      </c>
      <c r="F570" s="2" t="s">
        <v>16</v>
      </c>
      <c r="G570" s="2" t="s">
        <v>17</v>
      </c>
      <c r="H570" s="2">
        <v>6</v>
      </c>
      <c r="I570" s="2">
        <v>109</v>
      </c>
      <c r="J570" s="5">
        <v>27250</v>
      </c>
      <c r="K570" s="5">
        <v>12262.5</v>
      </c>
    </row>
    <row r="571" spans="1:11" x14ac:dyDescent="0.25">
      <c r="A571" s="2">
        <v>10570</v>
      </c>
      <c r="B571" s="2">
        <f t="shared" si="8"/>
        <v>2020</v>
      </c>
      <c r="C571" s="3">
        <v>44013</v>
      </c>
      <c r="D571" s="4">
        <v>44035</v>
      </c>
      <c r="E571" s="2" t="s">
        <v>14</v>
      </c>
      <c r="F571" s="2" t="s">
        <v>18</v>
      </c>
      <c r="G571" s="2" t="s">
        <v>17</v>
      </c>
      <c r="H571" s="2">
        <v>5</v>
      </c>
      <c r="I571" s="2">
        <v>80</v>
      </c>
      <c r="J571" s="5">
        <v>20000</v>
      </c>
      <c r="K571" s="5">
        <v>6600</v>
      </c>
    </row>
    <row r="572" spans="1:11" x14ac:dyDescent="0.25">
      <c r="A572" s="2">
        <v>10571</v>
      </c>
      <c r="B572" s="2">
        <f t="shared" si="8"/>
        <v>2020</v>
      </c>
      <c r="C572" s="3">
        <v>44013</v>
      </c>
      <c r="D572" s="4">
        <v>44036</v>
      </c>
      <c r="E572" s="2" t="s">
        <v>11</v>
      </c>
      <c r="F572" s="2" t="s">
        <v>24</v>
      </c>
      <c r="G572" s="2" t="s">
        <v>17</v>
      </c>
      <c r="H572" s="2">
        <v>12</v>
      </c>
      <c r="I572" s="2">
        <v>146</v>
      </c>
      <c r="J572" s="5">
        <v>36500</v>
      </c>
      <c r="K572" s="5">
        <v>16425</v>
      </c>
    </row>
    <row r="573" spans="1:11" x14ac:dyDescent="0.25">
      <c r="A573" s="2">
        <v>10572</v>
      </c>
      <c r="B573" s="2">
        <f t="shared" si="8"/>
        <v>2020</v>
      </c>
      <c r="C573" s="3">
        <v>44013</v>
      </c>
      <c r="D573" s="4">
        <v>44037</v>
      </c>
      <c r="E573" s="2" t="s">
        <v>14</v>
      </c>
      <c r="F573" s="2" t="s">
        <v>24</v>
      </c>
      <c r="G573" s="2" t="s">
        <v>17</v>
      </c>
      <c r="H573" s="2">
        <v>3</v>
      </c>
      <c r="I573" s="2">
        <v>86</v>
      </c>
      <c r="J573" s="5">
        <v>21500</v>
      </c>
      <c r="K573" s="5">
        <v>7310.0000000000009</v>
      </c>
    </row>
    <row r="574" spans="1:11" x14ac:dyDescent="0.25">
      <c r="A574" s="2">
        <v>10573</v>
      </c>
      <c r="B574" s="2">
        <f t="shared" si="8"/>
        <v>2020</v>
      </c>
      <c r="C574" s="3">
        <v>44013</v>
      </c>
      <c r="D574" s="4">
        <v>44038</v>
      </c>
      <c r="E574" s="2" t="s">
        <v>25</v>
      </c>
      <c r="F574" s="2" t="s">
        <v>12</v>
      </c>
      <c r="G574" s="2" t="s">
        <v>17</v>
      </c>
      <c r="H574" s="2">
        <v>9</v>
      </c>
      <c r="I574" s="2">
        <v>124</v>
      </c>
      <c r="J574" s="5">
        <v>31000</v>
      </c>
      <c r="K574" s="5">
        <v>12710</v>
      </c>
    </row>
    <row r="575" spans="1:11" x14ac:dyDescent="0.25">
      <c r="A575" s="2">
        <v>10574</v>
      </c>
      <c r="B575" s="2">
        <f t="shared" si="8"/>
        <v>2020</v>
      </c>
      <c r="C575" s="3">
        <v>44013</v>
      </c>
      <c r="D575" s="4">
        <v>44039</v>
      </c>
      <c r="E575" s="2" t="s">
        <v>14</v>
      </c>
      <c r="F575" s="2" t="s">
        <v>12</v>
      </c>
      <c r="G575" s="2" t="s">
        <v>13</v>
      </c>
      <c r="H575" s="2">
        <v>33</v>
      </c>
      <c r="I575" s="2">
        <v>370</v>
      </c>
      <c r="J575" s="5">
        <v>277500</v>
      </c>
      <c r="K575" s="5">
        <v>47175</v>
      </c>
    </row>
    <row r="576" spans="1:11" x14ac:dyDescent="0.25">
      <c r="A576" s="2">
        <v>10575</v>
      </c>
      <c r="B576" s="2">
        <f t="shared" si="8"/>
        <v>2020</v>
      </c>
      <c r="C576" s="3">
        <v>44013</v>
      </c>
      <c r="D576" s="4">
        <v>44040</v>
      </c>
      <c r="E576" s="2" t="s">
        <v>11</v>
      </c>
      <c r="F576" s="2" t="s">
        <v>18</v>
      </c>
      <c r="G576" s="2" t="s">
        <v>20</v>
      </c>
      <c r="H576" s="2">
        <v>10</v>
      </c>
      <c r="I576" s="2">
        <v>495</v>
      </c>
      <c r="J576" s="5">
        <v>420750</v>
      </c>
      <c r="K576" s="5">
        <v>96772.5</v>
      </c>
    </row>
    <row r="577" spans="1:11" x14ac:dyDescent="0.25">
      <c r="A577" s="2">
        <v>10576</v>
      </c>
      <c r="B577" s="2">
        <f t="shared" si="8"/>
        <v>2020</v>
      </c>
      <c r="C577" s="3">
        <v>44013</v>
      </c>
      <c r="D577" s="4">
        <v>44041</v>
      </c>
      <c r="E577" s="2" t="s">
        <v>25</v>
      </c>
      <c r="F577" s="2" t="s">
        <v>21</v>
      </c>
      <c r="G577" s="2" t="s">
        <v>15</v>
      </c>
      <c r="H577" s="2">
        <v>14</v>
      </c>
      <c r="I577" s="2">
        <v>449</v>
      </c>
      <c r="J577" s="5">
        <v>224500</v>
      </c>
      <c r="K577" s="5">
        <v>40410</v>
      </c>
    </row>
    <row r="578" spans="1:11" x14ac:dyDescent="0.25">
      <c r="A578" s="2">
        <v>10577</v>
      </c>
      <c r="B578" s="2">
        <f t="shared" si="8"/>
        <v>2020</v>
      </c>
      <c r="C578" s="3">
        <v>44013</v>
      </c>
      <c r="D578" s="4">
        <v>44042</v>
      </c>
      <c r="E578" s="2" t="s">
        <v>19</v>
      </c>
      <c r="F578" s="2" t="s">
        <v>16</v>
      </c>
      <c r="G578" s="2" t="s">
        <v>23</v>
      </c>
      <c r="H578" s="2">
        <v>1</v>
      </c>
      <c r="I578" s="2">
        <v>64</v>
      </c>
      <c r="J578" s="5">
        <v>22400</v>
      </c>
      <c r="K578" s="5">
        <v>4256</v>
      </c>
    </row>
    <row r="579" spans="1:11" x14ac:dyDescent="0.25">
      <c r="A579" s="2">
        <v>10578</v>
      </c>
      <c r="B579" s="2">
        <f t="shared" ref="B579:B642" si="9">YEAR(C579)</f>
        <v>2020</v>
      </c>
      <c r="C579" s="3">
        <v>44013</v>
      </c>
      <c r="D579" s="4">
        <v>44043</v>
      </c>
      <c r="E579" s="2" t="s">
        <v>11</v>
      </c>
      <c r="F579" s="2" t="s">
        <v>12</v>
      </c>
      <c r="G579" s="2" t="s">
        <v>17</v>
      </c>
      <c r="H579" s="2">
        <v>19</v>
      </c>
      <c r="I579" s="2">
        <v>434</v>
      </c>
      <c r="J579" s="5">
        <v>108500</v>
      </c>
      <c r="K579" s="5">
        <v>43400</v>
      </c>
    </row>
    <row r="580" spans="1:11" x14ac:dyDescent="0.25">
      <c r="A580" s="2">
        <v>10579</v>
      </c>
      <c r="B580" s="2">
        <f t="shared" si="9"/>
        <v>2020</v>
      </c>
      <c r="C580" s="3">
        <v>44044</v>
      </c>
      <c r="D580" s="4">
        <v>44044</v>
      </c>
      <c r="E580" s="2" t="s">
        <v>25</v>
      </c>
      <c r="F580" s="2" t="s">
        <v>21</v>
      </c>
      <c r="G580" s="2" t="s">
        <v>15</v>
      </c>
      <c r="H580" s="2">
        <v>3</v>
      </c>
      <c r="I580" s="2">
        <v>45</v>
      </c>
      <c r="J580" s="5">
        <v>22500</v>
      </c>
      <c r="K580" s="5">
        <v>4050</v>
      </c>
    </row>
    <row r="581" spans="1:11" x14ac:dyDescent="0.25">
      <c r="A581" s="2">
        <v>10580</v>
      </c>
      <c r="B581" s="2">
        <f t="shared" si="9"/>
        <v>2020</v>
      </c>
      <c r="C581" s="3">
        <v>44044</v>
      </c>
      <c r="D581" s="4">
        <v>44045</v>
      </c>
      <c r="E581" s="2" t="s">
        <v>14</v>
      </c>
      <c r="F581" s="2" t="s">
        <v>24</v>
      </c>
      <c r="G581" s="2" t="s">
        <v>13</v>
      </c>
      <c r="H581" s="2">
        <v>5</v>
      </c>
      <c r="I581" s="2">
        <v>55</v>
      </c>
      <c r="J581" s="5">
        <v>41250</v>
      </c>
      <c r="K581" s="5">
        <v>13200</v>
      </c>
    </row>
    <row r="582" spans="1:11" x14ac:dyDescent="0.25">
      <c r="A582" s="2">
        <v>10581</v>
      </c>
      <c r="B582" s="2">
        <f t="shared" si="9"/>
        <v>2020</v>
      </c>
      <c r="C582" s="3">
        <v>44044</v>
      </c>
      <c r="D582" s="4">
        <v>44046</v>
      </c>
      <c r="E582" s="2" t="s">
        <v>14</v>
      </c>
      <c r="F582" s="2" t="s">
        <v>16</v>
      </c>
      <c r="G582" s="2" t="s">
        <v>17</v>
      </c>
      <c r="H582" s="2">
        <v>23</v>
      </c>
      <c r="I582" s="2">
        <v>314</v>
      </c>
      <c r="J582" s="5">
        <v>78500</v>
      </c>
      <c r="K582" s="5">
        <v>9420</v>
      </c>
    </row>
    <row r="583" spans="1:11" x14ac:dyDescent="0.25">
      <c r="A583" s="2">
        <v>10582</v>
      </c>
      <c r="B583" s="2">
        <f t="shared" si="9"/>
        <v>2020</v>
      </c>
      <c r="C583" s="3">
        <v>44044</v>
      </c>
      <c r="D583" s="4">
        <v>44047</v>
      </c>
      <c r="E583" s="2" t="s">
        <v>19</v>
      </c>
      <c r="F583" s="2" t="s">
        <v>16</v>
      </c>
      <c r="G583" s="2" t="s">
        <v>13</v>
      </c>
      <c r="H583" s="2">
        <v>21</v>
      </c>
      <c r="I583" s="2">
        <v>246</v>
      </c>
      <c r="J583" s="5">
        <v>184500</v>
      </c>
      <c r="K583" s="5">
        <v>81180</v>
      </c>
    </row>
    <row r="584" spans="1:11" x14ac:dyDescent="0.25">
      <c r="A584" s="2">
        <v>10583</v>
      </c>
      <c r="B584" s="2">
        <f t="shared" si="9"/>
        <v>2020</v>
      </c>
      <c r="C584" s="3">
        <v>44044</v>
      </c>
      <c r="D584" s="4">
        <v>44048</v>
      </c>
      <c r="E584" s="2" t="s">
        <v>19</v>
      </c>
      <c r="F584" s="2" t="s">
        <v>24</v>
      </c>
      <c r="G584" s="2" t="s">
        <v>20</v>
      </c>
      <c r="H584" s="2">
        <v>7</v>
      </c>
      <c r="I584" s="2">
        <v>295</v>
      </c>
      <c r="J584" s="5">
        <v>250750</v>
      </c>
      <c r="K584" s="5">
        <v>45135</v>
      </c>
    </row>
    <row r="585" spans="1:11" x14ac:dyDescent="0.25">
      <c r="A585" s="2">
        <v>10584</v>
      </c>
      <c r="B585" s="2">
        <f t="shared" si="9"/>
        <v>2020</v>
      </c>
      <c r="C585" s="3">
        <v>44044</v>
      </c>
      <c r="D585" s="4">
        <v>44049</v>
      </c>
      <c r="E585" s="2" t="s">
        <v>19</v>
      </c>
      <c r="F585" s="2" t="s">
        <v>12</v>
      </c>
      <c r="G585" s="2" t="s">
        <v>13</v>
      </c>
      <c r="H585" s="2">
        <v>31</v>
      </c>
      <c r="I585" s="2">
        <v>364</v>
      </c>
      <c r="J585" s="5">
        <v>273000</v>
      </c>
      <c r="K585" s="5">
        <v>38220</v>
      </c>
    </row>
    <row r="586" spans="1:11" x14ac:dyDescent="0.25">
      <c r="A586" s="2">
        <v>10585</v>
      </c>
      <c r="B586" s="2">
        <f t="shared" si="9"/>
        <v>2020</v>
      </c>
      <c r="C586" s="3">
        <v>44044</v>
      </c>
      <c r="D586" s="4">
        <v>44050</v>
      </c>
      <c r="E586" s="2" t="s">
        <v>19</v>
      </c>
      <c r="F586" s="2" t="s">
        <v>21</v>
      </c>
      <c r="G586" s="2" t="s">
        <v>17</v>
      </c>
      <c r="H586" s="2">
        <v>6</v>
      </c>
      <c r="I586" s="2">
        <v>108</v>
      </c>
      <c r="J586" s="5">
        <v>27000</v>
      </c>
      <c r="K586" s="5">
        <v>5400</v>
      </c>
    </row>
    <row r="587" spans="1:11" x14ac:dyDescent="0.25">
      <c r="A587" s="2">
        <v>10586</v>
      </c>
      <c r="B587" s="2">
        <f t="shared" si="9"/>
        <v>2020</v>
      </c>
      <c r="C587" s="3">
        <v>44044</v>
      </c>
      <c r="D587" s="4">
        <v>44051</v>
      </c>
      <c r="E587" s="2" t="s">
        <v>25</v>
      </c>
      <c r="F587" s="2" t="s">
        <v>18</v>
      </c>
      <c r="G587" s="2" t="s">
        <v>17</v>
      </c>
      <c r="H587" s="2">
        <v>46</v>
      </c>
      <c r="I587" s="2">
        <v>477</v>
      </c>
      <c r="J587" s="5">
        <v>119250</v>
      </c>
      <c r="K587" s="5">
        <v>26235</v>
      </c>
    </row>
    <row r="588" spans="1:11" x14ac:dyDescent="0.25">
      <c r="A588" s="2">
        <v>10587</v>
      </c>
      <c r="B588" s="2">
        <f t="shared" si="9"/>
        <v>2020</v>
      </c>
      <c r="C588" s="3">
        <v>44044</v>
      </c>
      <c r="D588" s="4">
        <v>44052</v>
      </c>
      <c r="E588" s="2" t="s">
        <v>11</v>
      </c>
      <c r="F588" s="2" t="s">
        <v>24</v>
      </c>
      <c r="G588" s="2" t="s">
        <v>17</v>
      </c>
      <c r="H588" s="2">
        <v>42</v>
      </c>
      <c r="I588" s="2">
        <v>461</v>
      </c>
      <c r="J588" s="5">
        <v>115250</v>
      </c>
      <c r="K588" s="5">
        <v>33422.5</v>
      </c>
    </row>
    <row r="589" spans="1:11" x14ac:dyDescent="0.25">
      <c r="A589" s="2">
        <v>10588</v>
      </c>
      <c r="B589" s="2">
        <f t="shared" si="9"/>
        <v>2020</v>
      </c>
      <c r="C589" s="3">
        <v>44044</v>
      </c>
      <c r="D589" s="4">
        <v>44053</v>
      </c>
      <c r="E589" s="2" t="s">
        <v>14</v>
      </c>
      <c r="F589" s="2" t="s">
        <v>16</v>
      </c>
      <c r="G589" s="2" t="s">
        <v>23</v>
      </c>
      <c r="H589" s="2">
        <v>9</v>
      </c>
      <c r="I589" s="2">
        <v>346</v>
      </c>
      <c r="J589" s="5">
        <v>121100</v>
      </c>
      <c r="K589" s="5">
        <v>39963</v>
      </c>
    </row>
    <row r="590" spans="1:11" x14ac:dyDescent="0.25">
      <c r="A590" s="2">
        <v>10589</v>
      </c>
      <c r="B590" s="2">
        <f t="shared" si="9"/>
        <v>2020</v>
      </c>
      <c r="C590" s="3">
        <v>44044</v>
      </c>
      <c r="D590" s="4">
        <v>44054</v>
      </c>
      <c r="E590" s="2" t="s">
        <v>11</v>
      </c>
      <c r="F590" s="2" t="s">
        <v>12</v>
      </c>
      <c r="G590" s="2" t="s">
        <v>15</v>
      </c>
      <c r="H590" s="2">
        <v>25</v>
      </c>
      <c r="I590" s="2">
        <v>288</v>
      </c>
      <c r="J590" s="5">
        <v>144000</v>
      </c>
      <c r="K590" s="5">
        <v>28800</v>
      </c>
    </row>
    <row r="591" spans="1:11" x14ac:dyDescent="0.25">
      <c r="A591" s="2">
        <v>10590</v>
      </c>
      <c r="B591" s="2">
        <f t="shared" si="9"/>
        <v>2020</v>
      </c>
      <c r="C591" s="3">
        <v>44044</v>
      </c>
      <c r="D591" s="4">
        <v>44055</v>
      </c>
      <c r="E591" s="2" t="s">
        <v>25</v>
      </c>
      <c r="F591" s="2" t="s">
        <v>21</v>
      </c>
      <c r="G591" s="2" t="s">
        <v>17</v>
      </c>
      <c r="H591" s="2">
        <v>32</v>
      </c>
      <c r="I591" s="2">
        <v>438</v>
      </c>
      <c r="J591" s="5">
        <v>109500</v>
      </c>
      <c r="K591" s="5">
        <v>38325</v>
      </c>
    </row>
    <row r="592" spans="1:11" x14ac:dyDescent="0.25">
      <c r="A592" s="2">
        <v>10591</v>
      </c>
      <c r="B592" s="2">
        <f t="shared" si="9"/>
        <v>2020</v>
      </c>
      <c r="C592" s="3">
        <v>44044</v>
      </c>
      <c r="D592" s="4">
        <v>44056</v>
      </c>
      <c r="E592" s="2" t="s">
        <v>19</v>
      </c>
      <c r="F592" s="2" t="s">
        <v>21</v>
      </c>
      <c r="G592" s="2" t="s">
        <v>23</v>
      </c>
      <c r="H592" s="2">
        <v>8</v>
      </c>
      <c r="I592" s="2">
        <v>231</v>
      </c>
      <c r="J592" s="5">
        <v>80850</v>
      </c>
      <c r="K592" s="5">
        <v>17787</v>
      </c>
    </row>
    <row r="593" spans="1:11" x14ac:dyDescent="0.25">
      <c r="A593" s="2">
        <v>10592</v>
      </c>
      <c r="B593" s="2">
        <f t="shared" si="9"/>
        <v>2020</v>
      </c>
      <c r="C593" s="3">
        <v>44044</v>
      </c>
      <c r="D593" s="4">
        <v>44057</v>
      </c>
      <c r="E593" s="2" t="s">
        <v>25</v>
      </c>
      <c r="F593" s="2" t="s">
        <v>18</v>
      </c>
      <c r="G593" s="2" t="s">
        <v>17</v>
      </c>
      <c r="H593" s="2">
        <v>10</v>
      </c>
      <c r="I593" s="2">
        <v>378</v>
      </c>
      <c r="J593" s="5">
        <v>94500</v>
      </c>
      <c r="K593" s="5">
        <v>28350</v>
      </c>
    </row>
    <row r="594" spans="1:11" x14ac:dyDescent="0.25">
      <c r="A594" s="2">
        <v>10593</v>
      </c>
      <c r="B594" s="2">
        <f t="shared" si="9"/>
        <v>2020</v>
      </c>
      <c r="C594" s="3">
        <v>44044</v>
      </c>
      <c r="D594" s="4">
        <v>44058</v>
      </c>
      <c r="E594" s="2" t="s">
        <v>11</v>
      </c>
      <c r="F594" s="2" t="s">
        <v>24</v>
      </c>
      <c r="G594" s="2" t="s">
        <v>13</v>
      </c>
      <c r="H594" s="2">
        <v>8</v>
      </c>
      <c r="I594" s="2">
        <v>484</v>
      </c>
      <c r="J594" s="5">
        <v>363000</v>
      </c>
      <c r="K594" s="5">
        <v>58080</v>
      </c>
    </row>
    <row r="595" spans="1:11" x14ac:dyDescent="0.25">
      <c r="A595" s="2">
        <v>10594</v>
      </c>
      <c r="B595" s="2">
        <f t="shared" si="9"/>
        <v>2020</v>
      </c>
      <c r="C595" s="3">
        <v>44044</v>
      </c>
      <c r="D595" s="4">
        <v>44059</v>
      </c>
      <c r="E595" s="2" t="s">
        <v>11</v>
      </c>
      <c r="F595" s="2" t="s">
        <v>12</v>
      </c>
      <c r="G595" s="2" t="s">
        <v>20</v>
      </c>
      <c r="H595" s="2">
        <v>9</v>
      </c>
      <c r="I595" s="2">
        <v>355</v>
      </c>
      <c r="J595" s="5">
        <v>301750</v>
      </c>
      <c r="K595" s="5">
        <v>39227.5</v>
      </c>
    </row>
    <row r="596" spans="1:11" x14ac:dyDescent="0.25">
      <c r="A596" s="2">
        <v>10595</v>
      </c>
      <c r="B596" s="2">
        <f t="shared" si="9"/>
        <v>2020</v>
      </c>
      <c r="C596" s="3">
        <v>44044</v>
      </c>
      <c r="D596" s="4">
        <v>44060</v>
      </c>
      <c r="E596" s="2" t="s">
        <v>11</v>
      </c>
      <c r="F596" s="2" t="s">
        <v>16</v>
      </c>
      <c r="G596" s="2" t="s">
        <v>13</v>
      </c>
      <c r="H596" s="2">
        <v>1</v>
      </c>
      <c r="I596" s="2">
        <v>19</v>
      </c>
      <c r="J596" s="5">
        <v>14250</v>
      </c>
      <c r="K596" s="5">
        <v>4132.5</v>
      </c>
    </row>
    <row r="597" spans="1:11" x14ac:dyDescent="0.25">
      <c r="A597" s="2">
        <v>10596</v>
      </c>
      <c r="B597" s="2">
        <f t="shared" si="9"/>
        <v>2020</v>
      </c>
      <c r="C597" s="3">
        <v>44044</v>
      </c>
      <c r="D597" s="4">
        <v>44061</v>
      </c>
      <c r="E597" s="2" t="s">
        <v>22</v>
      </c>
      <c r="F597" s="2" t="s">
        <v>18</v>
      </c>
      <c r="G597" s="2" t="s">
        <v>17</v>
      </c>
      <c r="H597" s="2">
        <v>5</v>
      </c>
      <c r="I597" s="2">
        <v>81</v>
      </c>
      <c r="J597" s="5">
        <v>20250</v>
      </c>
      <c r="K597" s="5">
        <v>8302.5</v>
      </c>
    </row>
    <row r="598" spans="1:11" x14ac:dyDescent="0.25">
      <c r="A598" s="2">
        <v>10597</v>
      </c>
      <c r="B598" s="2">
        <f t="shared" si="9"/>
        <v>2020</v>
      </c>
      <c r="C598" s="3">
        <v>44044</v>
      </c>
      <c r="D598" s="4">
        <v>44062</v>
      </c>
      <c r="E598" s="2" t="s">
        <v>19</v>
      </c>
      <c r="F598" s="2" t="s">
        <v>18</v>
      </c>
      <c r="G598" s="2" t="s">
        <v>15</v>
      </c>
      <c r="H598" s="2">
        <v>3</v>
      </c>
      <c r="I598" s="2">
        <v>241</v>
      </c>
      <c r="J598" s="5">
        <v>120500</v>
      </c>
      <c r="K598" s="5">
        <v>14460</v>
      </c>
    </row>
    <row r="599" spans="1:11" x14ac:dyDescent="0.25">
      <c r="A599" s="2">
        <v>10598</v>
      </c>
      <c r="B599" s="2">
        <f t="shared" si="9"/>
        <v>2020</v>
      </c>
      <c r="C599" s="3">
        <v>44044</v>
      </c>
      <c r="D599" s="4">
        <v>44063</v>
      </c>
      <c r="E599" s="2" t="s">
        <v>25</v>
      </c>
      <c r="F599" s="2" t="s">
        <v>16</v>
      </c>
      <c r="G599" s="2" t="s">
        <v>23</v>
      </c>
      <c r="H599" s="2">
        <v>2</v>
      </c>
      <c r="I599" s="2">
        <v>33</v>
      </c>
      <c r="J599" s="5">
        <v>11550</v>
      </c>
      <c r="K599" s="5">
        <v>3465</v>
      </c>
    </row>
    <row r="600" spans="1:11" x14ac:dyDescent="0.25">
      <c r="A600" s="2">
        <v>10599</v>
      </c>
      <c r="B600" s="2">
        <f t="shared" si="9"/>
        <v>2020</v>
      </c>
      <c r="C600" s="3">
        <v>44044</v>
      </c>
      <c r="D600" s="4">
        <v>44064</v>
      </c>
      <c r="E600" s="2" t="s">
        <v>22</v>
      </c>
      <c r="F600" s="2" t="s">
        <v>18</v>
      </c>
      <c r="G600" s="2" t="s">
        <v>20</v>
      </c>
      <c r="H600" s="2">
        <v>3</v>
      </c>
      <c r="I600" s="2">
        <v>187</v>
      </c>
      <c r="J600" s="5">
        <v>158950</v>
      </c>
      <c r="K600" s="5">
        <v>38148</v>
      </c>
    </row>
    <row r="601" spans="1:11" x14ac:dyDescent="0.25">
      <c r="A601" s="2">
        <v>10600</v>
      </c>
      <c r="B601" s="2">
        <f t="shared" si="9"/>
        <v>2020</v>
      </c>
      <c r="C601" s="3">
        <v>44044</v>
      </c>
      <c r="D601" s="4">
        <v>44065</v>
      </c>
      <c r="E601" s="2" t="s">
        <v>14</v>
      </c>
      <c r="F601" s="2" t="s">
        <v>21</v>
      </c>
      <c r="G601" s="2" t="s">
        <v>13</v>
      </c>
      <c r="H601" s="2">
        <v>31</v>
      </c>
      <c r="I601" s="2">
        <v>386</v>
      </c>
      <c r="J601" s="5">
        <v>289500</v>
      </c>
      <c r="K601" s="5">
        <v>52110</v>
      </c>
    </row>
    <row r="602" spans="1:11" x14ac:dyDescent="0.25">
      <c r="A602" s="2">
        <v>10601</v>
      </c>
      <c r="B602" s="2">
        <f t="shared" si="9"/>
        <v>2020</v>
      </c>
      <c r="C602" s="3">
        <v>44044</v>
      </c>
      <c r="D602" s="4">
        <v>44066</v>
      </c>
      <c r="E602" s="2" t="s">
        <v>14</v>
      </c>
      <c r="F602" s="2" t="s">
        <v>16</v>
      </c>
      <c r="G602" s="2" t="s">
        <v>17</v>
      </c>
      <c r="H602" s="2">
        <v>5</v>
      </c>
      <c r="I602" s="2">
        <v>315</v>
      </c>
      <c r="J602" s="5">
        <v>78750</v>
      </c>
      <c r="K602" s="5">
        <v>23625</v>
      </c>
    </row>
    <row r="603" spans="1:11" x14ac:dyDescent="0.25">
      <c r="A603" s="2">
        <v>10602</v>
      </c>
      <c r="B603" s="2">
        <f t="shared" si="9"/>
        <v>2020</v>
      </c>
      <c r="C603" s="3">
        <v>44044</v>
      </c>
      <c r="D603" s="4">
        <v>44067</v>
      </c>
      <c r="E603" s="2" t="s">
        <v>19</v>
      </c>
      <c r="F603" s="2" t="s">
        <v>18</v>
      </c>
      <c r="G603" s="2" t="s">
        <v>13</v>
      </c>
      <c r="H603" s="2">
        <v>2</v>
      </c>
      <c r="I603" s="2">
        <v>83</v>
      </c>
      <c r="J603" s="5">
        <v>62250</v>
      </c>
      <c r="K603" s="5">
        <v>28012.5</v>
      </c>
    </row>
    <row r="604" spans="1:11" x14ac:dyDescent="0.25">
      <c r="A604" s="2">
        <v>10603</v>
      </c>
      <c r="B604" s="2">
        <f t="shared" si="9"/>
        <v>2020</v>
      </c>
      <c r="C604" s="3">
        <v>44044</v>
      </c>
      <c r="D604" s="4">
        <v>44068</v>
      </c>
      <c r="E604" s="2" t="s">
        <v>25</v>
      </c>
      <c r="F604" s="2" t="s">
        <v>18</v>
      </c>
      <c r="G604" s="2" t="s">
        <v>13</v>
      </c>
      <c r="H604" s="2">
        <v>22</v>
      </c>
      <c r="I604" s="2">
        <v>357</v>
      </c>
      <c r="J604" s="5">
        <v>267750</v>
      </c>
      <c r="K604" s="5">
        <v>112455</v>
      </c>
    </row>
    <row r="605" spans="1:11" x14ac:dyDescent="0.25">
      <c r="A605" s="2">
        <v>10604</v>
      </c>
      <c r="B605" s="2">
        <f t="shared" si="9"/>
        <v>2020</v>
      </c>
      <c r="C605" s="3">
        <v>44044</v>
      </c>
      <c r="D605" s="4">
        <v>44069</v>
      </c>
      <c r="E605" s="2" t="s">
        <v>11</v>
      </c>
      <c r="F605" s="2" t="s">
        <v>18</v>
      </c>
      <c r="G605" s="2" t="s">
        <v>23</v>
      </c>
      <c r="H605" s="2">
        <v>26</v>
      </c>
      <c r="I605" s="2">
        <v>465</v>
      </c>
      <c r="J605" s="5">
        <v>162750</v>
      </c>
      <c r="K605" s="5">
        <v>34177.5</v>
      </c>
    </row>
    <row r="606" spans="1:11" x14ac:dyDescent="0.25">
      <c r="A606" s="2">
        <v>10605</v>
      </c>
      <c r="B606" s="2">
        <f t="shared" si="9"/>
        <v>2020</v>
      </c>
      <c r="C606" s="3">
        <v>44044</v>
      </c>
      <c r="D606" s="4">
        <v>44070</v>
      </c>
      <c r="E606" s="2" t="s">
        <v>19</v>
      </c>
      <c r="F606" s="2" t="s">
        <v>18</v>
      </c>
      <c r="G606" s="2" t="s">
        <v>20</v>
      </c>
      <c r="H606" s="2">
        <v>18</v>
      </c>
      <c r="I606" s="2">
        <v>355</v>
      </c>
      <c r="J606" s="5">
        <v>301750</v>
      </c>
      <c r="K606" s="5">
        <v>45262.5</v>
      </c>
    </row>
    <row r="607" spans="1:11" x14ac:dyDescent="0.25">
      <c r="A607" s="2">
        <v>10606</v>
      </c>
      <c r="B607" s="2">
        <f t="shared" si="9"/>
        <v>2020</v>
      </c>
      <c r="C607" s="3">
        <v>44044</v>
      </c>
      <c r="D607" s="4">
        <v>44071</v>
      </c>
      <c r="E607" s="2" t="s">
        <v>14</v>
      </c>
      <c r="F607" s="2" t="s">
        <v>18</v>
      </c>
      <c r="G607" s="2" t="s">
        <v>20</v>
      </c>
      <c r="H607" s="2">
        <v>4</v>
      </c>
      <c r="I607" s="2">
        <v>45</v>
      </c>
      <c r="J607" s="5">
        <v>38250</v>
      </c>
      <c r="K607" s="5">
        <v>9945</v>
      </c>
    </row>
    <row r="608" spans="1:11" x14ac:dyDescent="0.25">
      <c r="A608" s="2">
        <v>10607</v>
      </c>
      <c r="B608" s="2">
        <f t="shared" si="9"/>
        <v>2020</v>
      </c>
      <c r="C608" s="3">
        <v>44044</v>
      </c>
      <c r="D608" s="4">
        <v>44072</v>
      </c>
      <c r="E608" s="2" t="s">
        <v>19</v>
      </c>
      <c r="F608" s="2" t="s">
        <v>21</v>
      </c>
      <c r="G608" s="2" t="s">
        <v>23</v>
      </c>
      <c r="H608" s="2">
        <v>9</v>
      </c>
      <c r="I608" s="2">
        <v>102</v>
      </c>
      <c r="J608" s="5">
        <v>35700</v>
      </c>
      <c r="K608" s="5">
        <v>8568</v>
      </c>
    </row>
    <row r="609" spans="1:11" x14ac:dyDescent="0.25">
      <c r="A609" s="2">
        <v>10608</v>
      </c>
      <c r="B609" s="2">
        <f t="shared" si="9"/>
        <v>2020</v>
      </c>
      <c r="C609" s="3">
        <v>44044</v>
      </c>
      <c r="D609" s="4">
        <v>44073</v>
      </c>
      <c r="E609" s="2" t="s">
        <v>22</v>
      </c>
      <c r="F609" s="2" t="s">
        <v>12</v>
      </c>
      <c r="G609" s="2" t="s">
        <v>15</v>
      </c>
      <c r="H609" s="2">
        <v>35</v>
      </c>
      <c r="I609" s="2">
        <v>440</v>
      </c>
      <c r="J609" s="5">
        <v>220000</v>
      </c>
      <c r="K609" s="5">
        <v>44000</v>
      </c>
    </row>
    <row r="610" spans="1:11" x14ac:dyDescent="0.25">
      <c r="A610" s="2">
        <v>10609</v>
      </c>
      <c r="B610" s="2">
        <f t="shared" si="9"/>
        <v>2020</v>
      </c>
      <c r="C610" s="3">
        <v>44044</v>
      </c>
      <c r="D610" s="4">
        <v>44074</v>
      </c>
      <c r="E610" s="2" t="s">
        <v>22</v>
      </c>
      <c r="F610" s="2" t="s">
        <v>16</v>
      </c>
      <c r="G610" s="2" t="s">
        <v>23</v>
      </c>
      <c r="H610" s="2">
        <v>6</v>
      </c>
      <c r="I610" s="2">
        <v>96</v>
      </c>
      <c r="J610" s="5">
        <v>33600</v>
      </c>
      <c r="K610" s="5">
        <v>12096</v>
      </c>
    </row>
    <row r="611" spans="1:11" x14ac:dyDescent="0.25">
      <c r="A611" s="2">
        <v>10610</v>
      </c>
      <c r="B611" s="2">
        <f t="shared" si="9"/>
        <v>2020</v>
      </c>
      <c r="C611" s="3">
        <v>44075</v>
      </c>
      <c r="D611" s="4">
        <v>44075</v>
      </c>
      <c r="E611" s="2" t="s">
        <v>19</v>
      </c>
      <c r="F611" s="2" t="s">
        <v>16</v>
      </c>
      <c r="G611" s="2" t="s">
        <v>23</v>
      </c>
      <c r="H611" s="2">
        <v>5</v>
      </c>
      <c r="I611" s="2">
        <v>207</v>
      </c>
      <c r="J611" s="5">
        <v>72450</v>
      </c>
      <c r="K611" s="5">
        <v>25357.5</v>
      </c>
    </row>
    <row r="612" spans="1:11" x14ac:dyDescent="0.25">
      <c r="A612" s="2">
        <v>10611</v>
      </c>
      <c r="B612" s="2">
        <f t="shared" si="9"/>
        <v>2020</v>
      </c>
      <c r="C612" s="3">
        <v>44075</v>
      </c>
      <c r="D612" s="4">
        <v>44076</v>
      </c>
      <c r="E612" s="2" t="s">
        <v>19</v>
      </c>
      <c r="F612" s="2" t="s">
        <v>21</v>
      </c>
      <c r="G612" s="2" t="s">
        <v>17</v>
      </c>
      <c r="H612" s="2">
        <v>16</v>
      </c>
      <c r="I612" s="2">
        <v>173</v>
      </c>
      <c r="J612" s="5">
        <v>43250</v>
      </c>
      <c r="K612" s="5">
        <v>4325</v>
      </c>
    </row>
    <row r="613" spans="1:11" x14ac:dyDescent="0.25">
      <c r="A613" s="2">
        <v>10612</v>
      </c>
      <c r="B613" s="2">
        <f t="shared" si="9"/>
        <v>2020</v>
      </c>
      <c r="C613" s="3">
        <v>44075</v>
      </c>
      <c r="D613" s="4">
        <v>44077</v>
      </c>
      <c r="E613" s="2" t="s">
        <v>14</v>
      </c>
      <c r="F613" s="2" t="s">
        <v>12</v>
      </c>
      <c r="G613" s="2" t="s">
        <v>13</v>
      </c>
      <c r="H613" s="2">
        <v>5</v>
      </c>
      <c r="I613" s="2">
        <v>169</v>
      </c>
      <c r="J613" s="5">
        <v>126750</v>
      </c>
      <c r="K613" s="5">
        <v>46897.5</v>
      </c>
    </row>
    <row r="614" spans="1:11" x14ac:dyDescent="0.25">
      <c r="A614" s="2">
        <v>10613</v>
      </c>
      <c r="B614" s="2">
        <f t="shared" si="9"/>
        <v>2020</v>
      </c>
      <c r="C614" s="3">
        <v>44075</v>
      </c>
      <c r="D614" s="4">
        <v>44078</v>
      </c>
      <c r="E614" s="2" t="s">
        <v>25</v>
      </c>
      <c r="F614" s="2" t="s">
        <v>21</v>
      </c>
      <c r="G614" s="2" t="s">
        <v>17</v>
      </c>
      <c r="H614" s="2">
        <v>20</v>
      </c>
      <c r="I614" s="2">
        <v>337</v>
      </c>
      <c r="J614" s="5">
        <v>84250</v>
      </c>
      <c r="K614" s="5">
        <v>10110</v>
      </c>
    </row>
    <row r="615" spans="1:11" x14ac:dyDescent="0.25">
      <c r="A615" s="2">
        <v>10614</v>
      </c>
      <c r="B615" s="2">
        <f t="shared" si="9"/>
        <v>2020</v>
      </c>
      <c r="C615" s="3">
        <v>44075</v>
      </c>
      <c r="D615" s="4">
        <v>44079</v>
      </c>
      <c r="E615" s="2" t="s">
        <v>14</v>
      </c>
      <c r="F615" s="2" t="s">
        <v>18</v>
      </c>
      <c r="G615" s="2" t="s">
        <v>20</v>
      </c>
      <c r="H615" s="2">
        <v>21</v>
      </c>
      <c r="I615" s="2">
        <v>443</v>
      </c>
      <c r="J615" s="5">
        <v>376550</v>
      </c>
      <c r="K615" s="5">
        <v>169447.5</v>
      </c>
    </row>
    <row r="616" spans="1:11" x14ac:dyDescent="0.25">
      <c r="A616" s="2">
        <v>10615</v>
      </c>
      <c r="B616" s="2">
        <f t="shared" si="9"/>
        <v>2020</v>
      </c>
      <c r="C616" s="3">
        <v>44075</v>
      </c>
      <c r="D616" s="4">
        <v>44080</v>
      </c>
      <c r="E616" s="2" t="s">
        <v>14</v>
      </c>
      <c r="F616" s="2" t="s">
        <v>18</v>
      </c>
      <c r="G616" s="2" t="s">
        <v>15</v>
      </c>
      <c r="H616" s="2">
        <v>16</v>
      </c>
      <c r="I616" s="2">
        <v>236</v>
      </c>
      <c r="J616" s="5">
        <v>118000</v>
      </c>
      <c r="K616" s="5">
        <v>43660</v>
      </c>
    </row>
    <row r="617" spans="1:11" x14ac:dyDescent="0.25">
      <c r="A617" s="2">
        <v>10616</v>
      </c>
      <c r="B617" s="2">
        <f t="shared" si="9"/>
        <v>2020</v>
      </c>
      <c r="C617" s="3">
        <v>44075</v>
      </c>
      <c r="D617" s="4">
        <v>44081</v>
      </c>
      <c r="E617" s="2" t="s">
        <v>22</v>
      </c>
      <c r="F617" s="2" t="s">
        <v>18</v>
      </c>
      <c r="G617" s="2" t="s">
        <v>20</v>
      </c>
      <c r="H617" s="2">
        <v>7</v>
      </c>
      <c r="I617" s="2">
        <v>190</v>
      </c>
      <c r="J617" s="5">
        <v>161500</v>
      </c>
      <c r="K617" s="5">
        <v>61370</v>
      </c>
    </row>
    <row r="618" spans="1:11" x14ac:dyDescent="0.25">
      <c r="A618" s="2">
        <v>10617</v>
      </c>
      <c r="B618" s="2">
        <f t="shared" si="9"/>
        <v>2020</v>
      </c>
      <c r="C618" s="3">
        <v>44075</v>
      </c>
      <c r="D618" s="4">
        <v>44082</v>
      </c>
      <c r="E618" s="2" t="s">
        <v>19</v>
      </c>
      <c r="F618" s="2" t="s">
        <v>12</v>
      </c>
      <c r="G618" s="2" t="s">
        <v>17</v>
      </c>
      <c r="H618" s="2">
        <v>9</v>
      </c>
      <c r="I618" s="2">
        <v>261</v>
      </c>
      <c r="J618" s="5">
        <v>65250</v>
      </c>
      <c r="K618" s="5">
        <v>18270</v>
      </c>
    </row>
    <row r="619" spans="1:11" x14ac:dyDescent="0.25">
      <c r="A619" s="2">
        <v>10618</v>
      </c>
      <c r="B619" s="2">
        <f t="shared" si="9"/>
        <v>2020</v>
      </c>
      <c r="C619" s="3">
        <v>44075</v>
      </c>
      <c r="D619" s="4">
        <v>44083</v>
      </c>
      <c r="E619" s="2" t="s">
        <v>19</v>
      </c>
      <c r="F619" s="2" t="s">
        <v>24</v>
      </c>
      <c r="G619" s="2" t="s">
        <v>20</v>
      </c>
      <c r="H619" s="2">
        <v>7</v>
      </c>
      <c r="I619" s="2">
        <v>253</v>
      </c>
      <c r="J619" s="5">
        <v>215050</v>
      </c>
      <c r="K619" s="5">
        <v>68816</v>
      </c>
    </row>
    <row r="620" spans="1:11" x14ac:dyDescent="0.25">
      <c r="A620" s="2">
        <v>10619</v>
      </c>
      <c r="B620" s="2">
        <f t="shared" si="9"/>
        <v>2020</v>
      </c>
      <c r="C620" s="3">
        <v>44075</v>
      </c>
      <c r="D620" s="4">
        <v>44084</v>
      </c>
      <c r="E620" s="2" t="s">
        <v>14</v>
      </c>
      <c r="F620" s="2" t="s">
        <v>24</v>
      </c>
      <c r="G620" s="2" t="s">
        <v>15</v>
      </c>
      <c r="H620" s="2">
        <v>15</v>
      </c>
      <c r="I620" s="2">
        <v>244</v>
      </c>
      <c r="J620" s="5">
        <v>122000</v>
      </c>
      <c r="K620" s="5">
        <v>37820</v>
      </c>
    </row>
    <row r="621" spans="1:11" x14ac:dyDescent="0.25">
      <c r="A621" s="2">
        <v>10620</v>
      </c>
      <c r="B621" s="2">
        <f t="shared" si="9"/>
        <v>2020</v>
      </c>
      <c r="C621" s="3">
        <v>44075</v>
      </c>
      <c r="D621" s="4">
        <v>44085</v>
      </c>
      <c r="E621" s="2" t="s">
        <v>25</v>
      </c>
      <c r="F621" s="2" t="s">
        <v>18</v>
      </c>
      <c r="G621" s="2" t="s">
        <v>20</v>
      </c>
      <c r="H621" s="2">
        <v>14</v>
      </c>
      <c r="I621" s="2">
        <v>179</v>
      </c>
      <c r="J621" s="5">
        <v>152150</v>
      </c>
      <c r="K621" s="5">
        <v>19779.5</v>
      </c>
    </row>
    <row r="622" spans="1:11" x14ac:dyDescent="0.25">
      <c r="A622" s="2">
        <v>10621</v>
      </c>
      <c r="B622" s="2">
        <f t="shared" si="9"/>
        <v>2020</v>
      </c>
      <c r="C622" s="3">
        <v>44075</v>
      </c>
      <c r="D622" s="4">
        <v>44086</v>
      </c>
      <c r="E622" s="2" t="s">
        <v>22</v>
      </c>
      <c r="F622" s="2" t="s">
        <v>18</v>
      </c>
      <c r="G622" s="2" t="s">
        <v>20</v>
      </c>
      <c r="H622" s="2">
        <v>26</v>
      </c>
      <c r="I622" s="2">
        <v>269</v>
      </c>
      <c r="J622" s="5">
        <v>228650</v>
      </c>
      <c r="K622" s="5">
        <v>102892.5</v>
      </c>
    </row>
    <row r="623" spans="1:11" x14ac:dyDescent="0.25">
      <c r="A623" s="2">
        <v>10622</v>
      </c>
      <c r="B623" s="2">
        <f t="shared" si="9"/>
        <v>2020</v>
      </c>
      <c r="C623" s="3">
        <v>44075</v>
      </c>
      <c r="D623" s="4">
        <v>44087</v>
      </c>
      <c r="E623" s="2" t="s">
        <v>11</v>
      </c>
      <c r="F623" s="2" t="s">
        <v>24</v>
      </c>
      <c r="G623" s="2" t="s">
        <v>17</v>
      </c>
      <c r="H623" s="2">
        <v>9</v>
      </c>
      <c r="I623" s="2">
        <v>107</v>
      </c>
      <c r="J623" s="5">
        <v>26750</v>
      </c>
      <c r="K623" s="5">
        <v>6152.5</v>
      </c>
    </row>
    <row r="624" spans="1:11" x14ac:dyDescent="0.25">
      <c r="A624" s="2">
        <v>10623</v>
      </c>
      <c r="B624" s="2">
        <f t="shared" si="9"/>
        <v>2020</v>
      </c>
      <c r="C624" s="3">
        <v>44075</v>
      </c>
      <c r="D624" s="4">
        <v>44088</v>
      </c>
      <c r="E624" s="2" t="s">
        <v>14</v>
      </c>
      <c r="F624" s="2" t="s">
        <v>16</v>
      </c>
      <c r="G624" s="2" t="s">
        <v>13</v>
      </c>
      <c r="H624" s="2">
        <v>36</v>
      </c>
      <c r="I624" s="2">
        <v>421</v>
      </c>
      <c r="J624" s="5">
        <v>315750</v>
      </c>
      <c r="K624" s="5">
        <v>34732.5</v>
      </c>
    </row>
    <row r="625" spans="1:11" x14ac:dyDescent="0.25">
      <c r="A625" s="2">
        <v>10624</v>
      </c>
      <c r="B625" s="2">
        <f t="shared" si="9"/>
        <v>2020</v>
      </c>
      <c r="C625" s="3">
        <v>44075</v>
      </c>
      <c r="D625" s="4">
        <v>44089</v>
      </c>
      <c r="E625" s="2" t="s">
        <v>14</v>
      </c>
      <c r="F625" s="2" t="s">
        <v>21</v>
      </c>
      <c r="G625" s="2" t="s">
        <v>23</v>
      </c>
      <c r="H625" s="2">
        <v>20</v>
      </c>
      <c r="I625" s="2">
        <v>253</v>
      </c>
      <c r="J625" s="5">
        <v>88550</v>
      </c>
      <c r="K625" s="5">
        <v>11511.5</v>
      </c>
    </row>
    <row r="626" spans="1:11" x14ac:dyDescent="0.25">
      <c r="A626" s="2">
        <v>10625</v>
      </c>
      <c r="B626" s="2">
        <f t="shared" si="9"/>
        <v>2020</v>
      </c>
      <c r="C626" s="3">
        <v>44075</v>
      </c>
      <c r="D626" s="4">
        <v>44090</v>
      </c>
      <c r="E626" s="2" t="s">
        <v>19</v>
      </c>
      <c r="F626" s="2" t="s">
        <v>18</v>
      </c>
      <c r="G626" s="2" t="s">
        <v>15</v>
      </c>
      <c r="H626" s="2">
        <v>7</v>
      </c>
      <c r="I626" s="2">
        <v>195</v>
      </c>
      <c r="J626" s="5">
        <v>97500</v>
      </c>
      <c r="K626" s="5">
        <v>38025</v>
      </c>
    </row>
    <row r="627" spans="1:11" x14ac:dyDescent="0.25">
      <c r="A627" s="2">
        <v>10626</v>
      </c>
      <c r="B627" s="2">
        <f t="shared" si="9"/>
        <v>2020</v>
      </c>
      <c r="C627" s="3">
        <v>44075</v>
      </c>
      <c r="D627" s="4">
        <v>44091</v>
      </c>
      <c r="E627" s="2" t="s">
        <v>14</v>
      </c>
      <c r="F627" s="2" t="s">
        <v>12</v>
      </c>
      <c r="G627" s="2" t="s">
        <v>15</v>
      </c>
      <c r="H627" s="2">
        <v>11</v>
      </c>
      <c r="I627" s="2">
        <v>297</v>
      </c>
      <c r="J627" s="5">
        <v>148500</v>
      </c>
      <c r="K627" s="5">
        <v>29700</v>
      </c>
    </row>
    <row r="628" spans="1:11" x14ac:dyDescent="0.25">
      <c r="A628" s="2">
        <v>10627</v>
      </c>
      <c r="B628" s="2">
        <f t="shared" si="9"/>
        <v>2020</v>
      </c>
      <c r="C628" s="3">
        <v>44075</v>
      </c>
      <c r="D628" s="4">
        <v>44092</v>
      </c>
      <c r="E628" s="2" t="s">
        <v>22</v>
      </c>
      <c r="F628" s="2" t="s">
        <v>24</v>
      </c>
      <c r="G628" s="2" t="s">
        <v>23</v>
      </c>
      <c r="H628" s="2">
        <v>22</v>
      </c>
      <c r="I628" s="2">
        <v>391</v>
      </c>
      <c r="J628" s="5">
        <v>136850</v>
      </c>
      <c r="K628" s="5">
        <v>56108.5</v>
      </c>
    </row>
    <row r="629" spans="1:11" x14ac:dyDescent="0.25">
      <c r="A629" s="2">
        <v>10628</v>
      </c>
      <c r="B629" s="2">
        <f t="shared" si="9"/>
        <v>2020</v>
      </c>
      <c r="C629" s="3">
        <v>44075</v>
      </c>
      <c r="D629" s="4">
        <v>44093</v>
      </c>
      <c r="E629" s="2" t="s">
        <v>19</v>
      </c>
      <c r="F629" s="2" t="s">
        <v>12</v>
      </c>
      <c r="G629" s="2" t="s">
        <v>23</v>
      </c>
      <c r="H629" s="2">
        <v>1</v>
      </c>
      <c r="I629" s="2">
        <v>18</v>
      </c>
      <c r="J629" s="5">
        <v>6300</v>
      </c>
      <c r="K629" s="5">
        <v>2520</v>
      </c>
    </row>
    <row r="630" spans="1:11" x14ac:dyDescent="0.25">
      <c r="A630" s="2">
        <v>10629</v>
      </c>
      <c r="B630" s="2">
        <f t="shared" si="9"/>
        <v>2020</v>
      </c>
      <c r="C630" s="3">
        <v>44075</v>
      </c>
      <c r="D630" s="4">
        <v>44094</v>
      </c>
      <c r="E630" s="2" t="s">
        <v>19</v>
      </c>
      <c r="F630" s="2" t="s">
        <v>16</v>
      </c>
      <c r="G630" s="2" t="s">
        <v>17</v>
      </c>
      <c r="H630" s="2">
        <v>2</v>
      </c>
      <c r="I630" s="2">
        <v>85</v>
      </c>
      <c r="J630" s="5">
        <v>21250</v>
      </c>
      <c r="K630" s="5">
        <v>4462.5</v>
      </c>
    </row>
    <row r="631" spans="1:11" x14ac:dyDescent="0.25">
      <c r="A631" s="2">
        <v>10630</v>
      </c>
      <c r="B631" s="2">
        <f t="shared" si="9"/>
        <v>2020</v>
      </c>
      <c r="C631" s="3">
        <v>44075</v>
      </c>
      <c r="D631" s="4">
        <v>44095</v>
      </c>
      <c r="E631" s="2" t="s">
        <v>14</v>
      </c>
      <c r="F631" s="2" t="s">
        <v>18</v>
      </c>
      <c r="G631" s="2" t="s">
        <v>23</v>
      </c>
      <c r="H631" s="2">
        <v>6</v>
      </c>
      <c r="I631" s="2">
        <v>306</v>
      </c>
      <c r="J631" s="5">
        <v>107100</v>
      </c>
      <c r="K631" s="5">
        <v>10710</v>
      </c>
    </row>
    <row r="632" spans="1:11" x14ac:dyDescent="0.25">
      <c r="A632" s="2">
        <v>10631</v>
      </c>
      <c r="B632" s="2">
        <f t="shared" si="9"/>
        <v>2020</v>
      </c>
      <c r="C632" s="3">
        <v>44075</v>
      </c>
      <c r="D632" s="4">
        <v>44096</v>
      </c>
      <c r="E632" s="2" t="s">
        <v>14</v>
      </c>
      <c r="F632" s="2" t="s">
        <v>21</v>
      </c>
      <c r="G632" s="2" t="s">
        <v>15</v>
      </c>
      <c r="H632" s="2">
        <v>10</v>
      </c>
      <c r="I632" s="2">
        <v>122</v>
      </c>
      <c r="J632" s="5">
        <v>61000</v>
      </c>
      <c r="K632" s="5">
        <v>11590</v>
      </c>
    </row>
    <row r="633" spans="1:11" x14ac:dyDescent="0.25">
      <c r="A633" s="2">
        <v>10632</v>
      </c>
      <c r="B633" s="2">
        <f t="shared" si="9"/>
        <v>2020</v>
      </c>
      <c r="C633" s="3">
        <v>44075</v>
      </c>
      <c r="D633" s="4">
        <v>44097</v>
      </c>
      <c r="E633" s="2" t="s">
        <v>11</v>
      </c>
      <c r="F633" s="2" t="s">
        <v>12</v>
      </c>
      <c r="G633" s="2" t="s">
        <v>20</v>
      </c>
      <c r="H633" s="2">
        <v>11</v>
      </c>
      <c r="I633" s="2">
        <v>203</v>
      </c>
      <c r="J633" s="5">
        <v>172550</v>
      </c>
      <c r="K633" s="5">
        <v>77647.5</v>
      </c>
    </row>
    <row r="634" spans="1:11" x14ac:dyDescent="0.25">
      <c r="A634" s="2">
        <v>10633</v>
      </c>
      <c r="B634" s="2">
        <f t="shared" si="9"/>
        <v>2020</v>
      </c>
      <c r="C634" s="3">
        <v>44075</v>
      </c>
      <c r="D634" s="4">
        <v>44098</v>
      </c>
      <c r="E634" s="2" t="s">
        <v>19</v>
      </c>
      <c r="F634" s="2" t="s">
        <v>16</v>
      </c>
      <c r="G634" s="2" t="s">
        <v>13</v>
      </c>
      <c r="H634" s="2">
        <v>29</v>
      </c>
      <c r="I634" s="2">
        <v>292</v>
      </c>
      <c r="J634" s="5">
        <v>219000</v>
      </c>
      <c r="K634" s="5">
        <v>30660.000000000004</v>
      </c>
    </row>
    <row r="635" spans="1:11" x14ac:dyDescent="0.25">
      <c r="A635" s="2">
        <v>10634</v>
      </c>
      <c r="B635" s="2">
        <f t="shared" si="9"/>
        <v>2020</v>
      </c>
      <c r="C635" s="3">
        <v>44075</v>
      </c>
      <c r="D635" s="4">
        <v>44099</v>
      </c>
      <c r="E635" s="2" t="s">
        <v>19</v>
      </c>
      <c r="F635" s="2" t="s">
        <v>24</v>
      </c>
      <c r="G635" s="2" t="s">
        <v>15</v>
      </c>
      <c r="H635" s="2">
        <v>8</v>
      </c>
      <c r="I635" s="2">
        <v>83</v>
      </c>
      <c r="J635" s="5">
        <v>41500</v>
      </c>
      <c r="K635" s="5">
        <v>16185</v>
      </c>
    </row>
    <row r="636" spans="1:11" x14ac:dyDescent="0.25">
      <c r="A636" s="2">
        <v>10635</v>
      </c>
      <c r="B636" s="2">
        <f t="shared" si="9"/>
        <v>2020</v>
      </c>
      <c r="C636" s="3">
        <v>44075</v>
      </c>
      <c r="D636" s="4">
        <v>44100</v>
      </c>
      <c r="E636" s="2" t="s">
        <v>25</v>
      </c>
      <c r="F636" s="2" t="s">
        <v>18</v>
      </c>
      <c r="G636" s="2" t="s">
        <v>23</v>
      </c>
      <c r="H636" s="2">
        <v>19</v>
      </c>
      <c r="I636" s="2">
        <v>311</v>
      </c>
      <c r="J636" s="5">
        <v>108850</v>
      </c>
      <c r="K636" s="5">
        <v>34832</v>
      </c>
    </row>
    <row r="637" spans="1:11" x14ac:dyDescent="0.25">
      <c r="A637" s="2">
        <v>10636</v>
      </c>
      <c r="B637" s="2">
        <f t="shared" si="9"/>
        <v>2020</v>
      </c>
      <c r="C637" s="3">
        <v>44075</v>
      </c>
      <c r="D637" s="4">
        <v>44101</v>
      </c>
      <c r="E637" s="2" t="s">
        <v>25</v>
      </c>
      <c r="F637" s="2" t="s">
        <v>12</v>
      </c>
      <c r="G637" s="2" t="s">
        <v>13</v>
      </c>
      <c r="H637" s="2">
        <v>9</v>
      </c>
      <c r="I637" s="2">
        <v>478</v>
      </c>
      <c r="J637" s="5">
        <v>358500</v>
      </c>
      <c r="K637" s="5">
        <v>150570</v>
      </c>
    </row>
    <row r="638" spans="1:11" x14ac:dyDescent="0.25">
      <c r="A638" s="2">
        <v>10637</v>
      </c>
      <c r="B638" s="2">
        <f t="shared" si="9"/>
        <v>2020</v>
      </c>
      <c r="C638" s="3">
        <v>44075</v>
      </c>
      <c r="D638" s="4">
        <v>44102</v>
      </c>
      <c r="E638" s="2" t="s">
        <v>11</v>
      </c>
      <c r="F638" s="2" t="s">
        <v>24</v>
      </c>
      <c r="G638" s="2" t="s">
        <v>23</v>
      </c>
      <c r="H638" s="2">
        <v>22</v>
      </c>
      <c r="I638" s="2">
        <v>242</v>
      </c>
      <c r="J638" s="5">
        <v>84700</v>
      </c>
      <c r="K638" s="5">
        <v>29644.999999999996</v>
      </c>
    </row>
    <row r="639" spans="1:11" x14ac:dyDescent="0.25">
      <c r="A639" s="2">
        <v>10638</v>
      </c>
      <c r="B639" s="2">
        <f t="shared" si="9"/>
        <v>2020</v>
      </c>
      <c r="C639" s="3">
        <v>44075</v>
      </c>
      <c r="D639" s="4">
        <v>44103</v>
      </c>
      <c r="E639" s="2" t="s">
        <v>11</v>
      </c>
      <c r="F639" s="2" t="s">
        <v>16</v>
      </c>
      <c r="G639" s="2" t="s">
        <v>15</v>
      </c>
      <c r="H639" s="2">
        <v>26</v>
      </c>
      <c r="I639" s="2">
        <v>421</v>
      </c>
      <c r="J639" s="5">
        <v>210500</v>
      </c>
      <c r="K639" s="5">
        <v>82095</v>
      </c>
    </row>
    <row r="640" spans="1:11" x14ac:dyDescent="0.25">
      <c r="A640" s="2">
        <v>10639</v>
      </c>
      <c r="B640" s="2">
        <f t="shared" si="9"/>
        <v>2020</v>
      </c>
      <c r="C640" s="3">
        <v>44075</v>
      </c>
      <c r="D640" s="4">
        <v>44104</v>
      </c>
      <c r="E640" s="2" t="s">
        <v>14</v>
      </c>
      <c r="F640" s="2" t="s">
        <v>12</v>
      </c>
      <c r="G640" s="2" t="s">
        <v>23</v>
      </c>
      <c r="H640" s="2">
        <v>17</v>
      </c>
      <c r="I640" s="2">
        <v>276</v>
      </c>
      <c r="J640" s="5">
        <v>96600</v>
      </c>
      <c r="K640" s="5">
        <v>32844</v>
      </c>
    </row>
    <row r="641" spans="1:11" x14ac:dyDescent="0.25">
      <c r="A641" s="2">
        <v>10640</v>
      </c>
      <c r="B641" s="2">
        <f t="shared" si="9"/>
        <v>2020</v>
      </c>
      <c r="C641" s="3">
        <v>44105</v>
      </c>
      <c r="D641" s="4">
        <v>44105</v>
      </c>
      <c r="E641" s="2" t="s">
        <v>14</v>
      </c>
      <c r="F641" s="2" t="s">
        <v>24</v>
      </c>
      <c r="G641" s="2" t="s">
        <v>13</v>
      </c>
      <c r="H641" s="2">
        <v>2</v>
      </c>
      <c r="I641" s="2">
        <v>90</v>
      </c>
      <c r="J641" s="5">
        <v>67500</v>
      </c>
      <c r="K641" s="5">
        <v>12825</v>
      </c>
    </row>
    <row r="642" spans="1:11" x14ac:dyDescent="0.25">
      <c r="A642" s="2">
        <v>10641</v>
      </c>
      <c r="B642" s="2">
        <f t="shared" si="9"/>
        <v>2020</v>
      </c>
      <c r="C642" s="3">
        <v>44105</v>
      </c>
      <c r="D642" s="4">
        <v>44106</v>
      </c>
      <c r="E642" s="2" t="s">
        <v>25</v>
      </c>
      <c r="F642" s="2" t="s">
        <v>12</v>
      </c>
      <c r="G642" s="2" t="s">
        <v>13</v>
      </c>
      <c r="H642" s="2">
        <v>5</v>
      </c>
      <c r="I642" s="2">
        <v>69</v>
      </c>
      <c r="J642" s="5">
        <v>51750</v>
      </c>
      <c r="K642" s="5">
        <v>13455</v>
      </c>
    </row>
    <row r="643" spans="1:11" x14ac:dyDescent="0.25">
      <c r="A643" s="2">
        <v>10642</v>
      </c>
      <c r="B643" s="2">
        <f t="shared" ref="B643:B706" si="10">YEAR(C643)</f>
        <v>2020</v>
      </c>
      <c r="C643" s="3">
        <v>44105</v>
      </c>
      <c r="D643" s="4">
        <v>44107</v>
      </c>
      <c r="E643" s="2" t="s">
        <v>22</v>
      </c>
      <c r="F643" s="2" t="s">
        <v>16</v>
      </c>
      <c r="G643" s="2" t="s">
        <v>17</v>
      </c>
      <c r="H643" s="2">
        <v>7</v>
      </c>
      <c r="I643" s="2">
        <v>364</v>
      </c>
      <c r="J643" s="5">
        <v>91000</v>
      </c>
      <c r="K643" s="5">
        <v>27300</v>
      </c>
    </row>
    <row r="644" spans="1:11" x14ac:dyDescent="0.25">
      <c r="A644" s="2">
        <v>10643</v>
      </c>
      <c r="B644" s="2">
        <f t="shared" si="10"/>
        <v>2020</v>
      </c>
      <c r="C644" s="3">
        <v>44105</v>
      </c>
      <c r="D644" s="4">
        <v>44108</v>
      </c>
      <c r="E644" s="2" t="s">
        <v>25</v>
      </c>
      <c r="F644" s="2" t="s">
        <v>12</v>
      </c>
      <c r="G644" s="2" t="s">
        <v>23</v>
      </c>
      <c r="H644" s="2">
        <v>9</v>
      </c>
      <c r="I644" s="2">
        <v>169</v>
      </c>
      <c r="J644" s="5">
        <v>59150</v>
      </c>
      <c r="K644" s="5">
        <v>24251.5</v>
      </c>
    </row>
    <row r="645" spans="1:11" x14ac:dyDescent="0.25">
      <c r="A645" s="2">
        <v>10644</v>
      </c>
      <c r="B645" s="2">
        <f t="shared" si="10"/>
        <v>2020</v>
      </c>
      <c r="C645" s="3">
        <v>44105</v>
      </c>
      <c r="D645" s="4">
        <v>44109</v>
      </c>
      <c r="E645" s="2" t="s">
        <v>22</v>
      </c>
      <c r="F645" s="2" t="s">
        <v>12</v>
      </c>
      <c r="G645" s="2" t="s">
        <v>23</v>
      </c>
      <c r="H645" s="2">
        <v>1</v>
      </c>
      <c r="I645" s="2">
        <v>21</v>
      </c>
      <c r="J645" s="5">
        <v>7350</v>
      </c>
      <c r="K645" s="5">
        <v>2866.5</v>
      </c>
    </row>
    <row r="646" spans="1:11" x14ac:dyDescent="0.25">
      <c r="A646" s="2">
        <v>10645</v>
      </c>
      <c r="B646" s="2">
        <f t="shared" si="10"/>
        <v>2020</v>
      </c>
      <c r="C646" s="3">
        <v>44105</v>
      </c>
      <c r="D646" s="4">
        <v>44110</v>
      </c>
      <c r="E646" s="2" t="s">
        <v>25</v>
      </c>
      <c r="F646" s="2" t="s">
        <v>16</v>
      </c>
      <c r="G646" s="2" t="s">
        <v>20</v>
      </c>
      <c r="H646" s="2">
        <v>5</v>
      </c>
      <c r="I646" s="2">
        <v>97</v>
      </c>
      <c r="J646" s="5">
        <v>82450</v>
      </c>
      <c r="K646" s="5">
        <v>20612.5</v>
      </c>
    </row>
    <row r="647" spans="1:11" x14ac:dyDescent="0.25">
      <c r="A647" s="2">
        <v>10646</v>
      </c>
      <c r="B647" s="2">
        <f t="shared" si="10"/>
        <v>2020</v>
      </c>
      <c r="C647" s="3">
        <v>44105</v>
      </c>
      <c r="D647" s="4">
        <v>44111</v>
      </c>
      <c r="E647" s="2" t="s">
        <v>25</v>
      </c>
      <c r="F647" s="2" t="s">
        <v>16</v>
      </c>
      <c r="G647" s="2" t="s">
        <v>23</v>
      </c>
      <c r="H647" s="2">
        <v>23</v>
      </c>
      <c r="I647" s="2">
        <v>384</v>
      </c>
      <c r="J647" s="5">
        <v>134400</v>
      </c>
      <c r="K647" s="5">
        <v>14784</v>
      </c>
    </row>
    <row r="648" spans="1:11" x14ac:dyDescent="0.25">
      <c r="A648" s="2">
        <v>10647</v>
      </c>
      <c r="B648" s="2">
        <f t="shared" si="10"/>
        <v>2020</v>
      </c>
      <c r="C648" s="3">
        <v>44105</v>
      </c>
      <c r="D648" s="4">
        <v>44112</v>
      </c>
      <c r="E648" s="2" t="s">
        <v>19</v>
      </c>
      <c r="F648" s="2" t="s">
        <v>12</v>
      </c>
      <c r="G648" s="2" t="s">
        <v>20</v>
      </c>
      <c r="H648" s="2">
        <v>18</v>
      </c>
      <c r="I648" s="2">
        <v>395</v>
      </c>
      <c r="J648" s="5">
        <v>335750</v>
      </c>
      <c r="K648" s="5">
        <v>110797.5</v>
      </c>
    </row>
    <row r="649" spans="1:11" x14ac:dyDescent="0.25">
      <c r="A649" s="2">
        <v>10648</v>
      </c>
      <c r="B649" s="2">
        <f t="shared" si="10"/>
        <v>2020</v>
      </c>
      <c r="C649" s="3">
        <v>44105</v>
      </c>
      <c r="D649" s="4">
        <v>44113</v>
      </c>
      <c r="E649" s="2" t="s">
        <v>25</v>
      </c>
      <c r="F649" s="2" t="s">
        <v>12</v>
      </c>
      <c r="G649" s="2" t="s">
        <v>13</v>
      </c>
      <c r="H649" s="2">
        <v>21</v>
      </c>
      <c r="I649" s="2">
        <v>433</v>
      </c>
      <c r="J649" s="5">
        <v>324750</v>
      </c>
      <c r="K649" s="5">
        <v>38970</v>
      </c>
    </row>
    <row r="650" spans="1:11" x14ac:dyDescent="0.25">
      <c r="A650" s="2">
        <v>10649</v>
      </c>
      <c r="B650" s="2">
        <f t="shared" si="10"/>
        <v>2020</v>
      </c>
      <c r="C650" s="3">
        <v>44105</v>
      </c>
      <c r="D650" s="4">
        <v>44114</v>
      </c>
      <c r="E650" s="2" t="s">
        <v>22</v>
      </c>
      <c r="F650" s="2" t="s">
        <v>12</v>
      </c>
      <c r="G650" s="2" t="s">
        <v>23</v>
      </c>
      <c r="H650" s="2">
        <v>7</v>
      </c>
      <c r="I650" s="2">
        <v>370</v>
      </c>
      <c r="J650" s="5">
        <v>129500</v>
      </c>
      <c r="K650" s="5">
        <v>12950</v>
      </c>
    </row>
    <row r="651" spans="1:11" x14ac:dyDescent="0.25">
      <c r="A651" s="2">
        <v>10650</v>
      </c>
      <c r="B651" s="2">
        <f t="shared" si="10"/>
        <v>2020</v>
      </c>
      <c r="C651" s="3">
        <v>44105</v>
      </c>
      <c r="D651" s="4">
        <v>44115</v>
      </c>
      <c r="E651" s="2" t="s">
        <v>22</v>
      </c>
      <c r="F651" s="2" t="s">
        <v>12</v>
      </c>
      <c r="G651" s="2" t="s">
        <v>17</v>
      </c>
      <c r="H651" s="2">
        <v>40</v>
      </c>
      <c r="I651" s="2">
        <v>425</v>
      </c>
      <c r="J651" s="5">
        <v>106250</v>
      </c>
      <c r="K651" s="5">
        <v>38250</v>
      </c>
    </row>
    <row r="652" spans="1:11" x14ac:dyDescent="0.25">
      <c r="A652" s="2">
        <v>10651</v>
      </c>
      <c r="B652" s="2">
        <f t="shared" si="10"/>
        <v>2020</v>
      </c>
      <c r="C652" s="3">
        <v>44105</v>
      </c>
      <c r="D652" s="4">
        <v>44116</v>
      </c>
      <c r="E652" s="2" t="s">
        <v>19</v>
      </c>
      <c r="F652" s="2" t="s">
        <v>12</v>
      </c>
      <c r="G652" s="2" t="s">
        <v>15</v>
      </c>
      <c r="H652" s="2">
        <v>32</v>
      </c>
      <c r="I652" s="2">
        <v>323</v>
      </c>
      <c r="J652" s="5">
        <v>161500</v>
      </c>
      <c r="K652" s="5">
        <v>35530</v>
      </c>
    </row>
    <row r="653" spans="1:11" x14ac:dyDescent="0.25">
      <c r="A653" s="2">
        <v>10652</v>
      </c>
      <c r="B653" s="2">
        <f t="shared" si="10"/>
        <v>2020</v>
      </c>
      <c r="C653" s="3">
        <v>44105</v>
      </c>
      <c r="D653" s="4">
        <v>44117</v>
      </c>
      <c r="E653" s="2" t="s">
        <v>22</v>
      </c>
      <c r="F653" s="2" t="s">
        <v>18</v>
      </c>
      <c r="G653" s="2" t="s">
        <v>23</v>
      </c>
      <c r="H653" s="2">
        <v>14</v>
      </c>
      <c r="I653" s="2">
        <v>438</v>
      </c>
      <c r="J653" s="5">
        <v>153300</v>
      </c>
      <c r="K653" s="5">
        <v>64386</v>
      </c>
    </row>
    <row r="654" spans="1:11" x14ac:dyDescent="0.25">
      <c r="A654" s="2">
        <v>10653</v>
      </c>
      <c r="B654" s="2">
        <f t="shared" si="10"/>
        <v>2020</v>
      </c>
      <c r="C654" s="3">
        <v>44105</v>
      </c>
      <c r="D654" s="4">
        <v>44118</v>
      </c>
      <c r="E654" s="2" t="s">
        <v>11</v>
      </c>
      <c r="F654" s="2" t="s">
        <v>24</v>
      </c>
      <c r="G654" s="2" t="s">
        <v>20</v>
      </c>
      <c r="H654" s="2">
        <v>5</v>
      </c>
      <c r="I654" s="2">
        <v>97</v>
      </c>
      <c r="J654" s="5">
        <v>82450</v>
      </c>
      <c r="K654" s="5">
        <v>31331</v>
      </c>
    </row>
    <row r="655" spans="1:11" x14ac:dyDescent="0.25">
      <c r="A655" s="2">
        <v>10654</v>
      </c>
      <c r="B655" s="2">
        <f t="shared" si="10"/>
        <v>2020</v>
      </c>
      <c r="C655" s="3">
        <v>44105</v>
      </c>
      <c r="D655" s="4">
        <v>44119</v>
      </c>
      <c r="E655" s="2" t="s">
        <v>19</v>
      </c>
      <c r="F655" s="2" t="s">
        <v>12</v>
      </c>
      <c r="G655" s="2" t="s">
        <v>17</v>
      </c>
      <c r="H655" s="2">
        <v>7</v>
      </c>
      <c r="I655" s="2">
        <v>110</v>
      </c>
      <c r="J655" s="5">
        <v>27500</v>
      </c>
      <c r="K655" s="5">
        <v>8525</v>
      </c>
    </row>
    <row r="656" spans="1:11" x14ac:dyDescent="0.25">
      <c r="A656" s="2">
        <v>10655</v>
      </c>
      <c r="B656" s="2">
        <f t="shared" si="10"/>
        <v>2020</v>
      </c>
      <c r="C656" s="3">
        <v>44105</v>
      </c>
      <c r="D656" s="4">
        <v>44120</v>
      </c>
      <c r="E656" s="2" t="s">
        <v>25</v>
      </c>
      <c r="F656" s="2" t="s">
        <v>16</v>
      </c>
      <c r="G656" s="2" t="s">
        <v>23</v>
      </c>
      <c r="H656" s="2">
        <v>1</v>
      </c>
      <c r="I656" s="2">
        <v>44</v>
      </c>
      <c r="J656" s="5">
        <v>15400</v>
      </c>
      <c r="K656" s="5">
        <v>4928</v>
      </c>
    </row>
    <row r="657" spans="1:11" x14ac:dyDescent="0.25">
      <c r="A657" s="2">
        <v>10656</v>
      </c>
      <c r="B657" s="2">
        <f t="shared" si="10"/>
        <v>2020</v>
      </c>
      <c r="C657" s="3">
        <v>44105</v>
      </c>
      <c r="D657" s="4">
        <v>44121</v>
      </c>
      <c r="E657" s="2" t="s">
        <v>14</v>
      </c>
      <c r="F657" s="2" t="s">
        <v>18</v>
      </c>
      <c r="G657" s="2" t="s">
        <v>23</v>
      </c>
      <c r="H657" s="2">
        <v>5</v>
      </c>
      <c r="I657" s="2">
        <v>61</v>
      </c>
      <c r="J657" s="5">
        <v>21350</v>
      </c>
      <c r="K657" s="5">
        <v>4270</v>
      </c>
    </row>
    <row r="658" spans="1:11" x14ac:dyDescent="0.25">
      <c r="A658" s="2">
        <v>10657</v>
      </c>
      <c r="B658" s="2">
        <f t="shared" si="10"/>
        <v>2020</v>
      </c>
      <c r="C658" s="3">
        <v>44105</v>
      </c>
      <c r="D658" s="4">
        <v>44122</v>
      </c>
      <c r="E658" s="2" t="s">
        <v>11</v>
      </c>
      <c r="F658" s="2" t="s">
        <v>12</v>
      </c>
      <c r="G658" s="2" t="s">
        <v>23</v>
      </c>
      <c r="H658" s="2">
        <v>26</v>
      </c>
      <c r="I658" s="2">
        <v>343</v>
      </c>
      <c r="J658" s="5">
        <v>120050</v>
      </c>
      <c r="K658" s="5">
        <v>16807</v>
      </c>
    </row>
    <row r="659" spans="1:11" x14ac:dyDescent="0.25">
      <c r="A659" s="2">
        <v>10658</v>
      </c>
      <c r="B659" s="2">
        <f t="shared" si="10"/>
        <v>2020</v>
      </c>
      <c r="C659" s="3">
        <v>44105</v>
      </c>
      <c r="D659" s="4">
        <v>44123</v>
      </c>
      <c r="E659" s="2" t="s">
        <v>19</v>
      </c>
      <c r="F659" s="2" t="s">
        <v>24</v>
      </c>
      <c r="G659" s="2" t="s">
        <v>23</v>
      </c>
      <c r="H659" s="2">
        <v>11</v>
      </c>
      <c r="I659" s="2">
        <v>247</v>
      </c>
      <c r="J659" s="5">
        <v>86450</v>
      </c>
      <c r="K659" s="5">
        <v>11238.5</v>
      </c>
    </row>
    <row r="660" spans="1:11" x14ac:dyDescent="0.25">
      <c r="A660" s="2">
        <v>10659</v>
      </c>
      <c r="B660" s="2">
        <f t="shared" si="10"/>
        <v>2020</v>
      </c>
      <c r="C660" s="3">
        <v>44105</v>
      </c>
      <c r="D660" s="4">
        <v>44124</v>
      </c>
      <c r="E660" s="2" t="s">
        <v>22</v>
      </c>
      <c r="F660" s="2" t="s">
        <v>16</v>
      </c>
      <c r="G660" s="2" t="s">
        <v>17</v>
      </c>
      <c r="H660" s="2">
        <v>14</v>
      </c>
      <c r="I660" s="2">
        <v>449</v>
      </c>
      <c r="J660" s="5">
        <v>112250</v>
      </c>
      <c r="K660" s="5">
        <v>32552.499999999996</v>
      </c>
    </row>
    <row r="661" spans="1:11" x14ac:dyDescent="0.25">
      <c r="A661" s="2">
        <v>10660</v>
      </c>
      <c r="B661" s="2">
        <f t="shared" si="10"/>
        <v>2020</v>
      </c>
      <c r="C661" s="3">
        <v>44105</v>
      </c>
      <c r="D661" s="4">
        <v>44125</v>
      </c>
      <c r="E661" s="2" t="s">
        <v>11</v>
      </c>
      <c r="F661" s="2" t="s">
        <v>24</v>
      </c>
      <c r="G661" s="2" t="s">
        <v>13</v>
      </c>
      <c r="H661" s="2">
        <v>4</v>
      </c>
      <c r="I661" s="2">
        <v>58</v>
      </c>
      <c r="J661" s="5">
        <v>43500</v>
      </c>
      <c r="K661" s="5">
        <v>13050</v>
      </c>
    </row>
    <row r="662" spans="1:11" x14ac:dyDescent="0.25">
      <c r="A662" s="2">
        <v>10661</v>
      </c>
      <c r="B662" s="2">
        <f t="shared" si="10"/>
        <v>2020</v>
      </c>
      <c r="C662" s="3">
        <v>44105</v>
      </c>
      <c r="D662" s="4">
        <v>44126</v>
      </c>
      <c r="E662" s="2" t="s">
        <v>19</v>
      </c>
      <c r="F662" s="2" t="s">
        <v>21</v>
      </c>
      <c r="G662" s="2" t="s">
        <v>23</v>
      </c>
      <c r="H662" s="2">
        <v>11</v>
      </c>
      <c r="I662" s="2">
        <v>190</v>
      </c>
      <c r="J662" s="5">
        <v>66500</v>
      </c>
      <c r="K662" s="5">
        <v>11970</v>
      </c>
    </row>
    <row r="663" spans="1:11" x14ac:dyDescent="0.25">
      <c r="A663" s="2">
        <v>10662</v>
      </c>
      <c r="B663" s="2">
        <f t="shared" si="10"/>
        <v>2020</v>
      </c>
      <c r="C663" s="3">
        <v>44105</v>
      </c>
      <c r="D663" s="4">
        <v>44127</v>
      </c>
      <c r="E663" s="2" t="s">
        <v>14</v>
      </c>
      <c r="F663" s="2" t="s">
        <v>21</v>
      </c>
      <c r="G663" s="2" t="s">
        <v>13</v>
      </c>
      <c r="H663" s="2">
        <v>12</v>
      </c>
      <c r="I663" s="2">
        <v>255</v>
      </c>
      <c r="J663" s="5">
        <v>191250</v>
      </c>
      <c r="K663" s="5">
        <v>61200</v>
      </c>
    </row>
    <row r="664" spans="1:11" x14ac:dyDescent="0.25">
      <c r="A664" s="2">
        <v>10663</v>
      </c>
      <c r="B664" s="2">
        <f t="shared" si="10"/>
        <v>2020</v>
      </c>
      <c r="C664" s="3">
        <v>44105</v>
      </c>
      <c r="D664" s="4">
        <v>44128</v>
      </c>
      <c r="E664" s="2" t="s">
        <v>11</v>
      </c>
      <c r="F664" s="2" t="s">
        <v>24</v>
      </c>
      <c r="G664" s="2" t="s">
        <v>23</v>
      </c>
      <c r="H664" s="2">
        <v>14</v>
      </c>
      <c r="I664" s="2">
        <v>428</v>
      </c>
      <c r="J664" s="5">
        <v>149800</v>
      </c>
      <c r="K664" s="5">
        <v>20972.000000000004</v>
      </c>
    </row>
    <row r="665" spans="1:11" x14ac:dyDescent="0.25">
      <c r="A665" s="2">
        <v>10664</v>
      </c>
      <c r="B665" s="2">
        <f t="shared" si="10"/>
        <v>2020</v>
      </c>
      <c r="C665" s="3">
        <v>44105</v>
      </c>
      <c r="D665" s="4">
        <v>44129</v>
      </c>
      <c r="E665" s="2" t="s">
        <v>22</v>
      </c>
      <c r="F665" s="2" t="s">
        <v>21</v>
      </c>
      <c r="G665" s="2" t="s">
        <v>20</v>
      </c>
      <c r="H665" s="2">
        <v>8</v>
      </c>
      <c r="I665" s="2">
        <v>124</v>
      </c>
      <c r="J665" s="5">
        <v>105400</v>
      </c>
      <c r="K665" s="5">
        <v>45322</v>
      </c>
    </row>
    <row r="666" spans="1:11" x14ac:dyDescent="0.25">
      <c r="A666" s="2">
        <v>10665</v>
      </c>
      <c r="B666" s="2">
        <f t="shared" si="10"/>
        <v>2020</v>
      </c>
      <c r="C666" s="3">
        <v>44105</v>
      </c>
      <c r="D666" s="4">
        <v>44130</v>
      </c>
      <c r="E666" s="2" t="s">
        <v>11</v>
      </c>
      <c r="F666" s="2" t="s">
        <v>24</v>
      </c>
      <c r="G666" s="2" t="s">
        <v>15</v>
      </c>
      <c r="H666" s="2">
        <v>13</v>
      </c>
      <c r="I666" s="2">
        <v>336</v>
      </c>
      <c r="J666" s="5">
        <v>168000</v>
      </c>
      <c r="K666" s="5">
        <v>25200</v>
      </c>
    </row>
    <row r="667" spans="1:11" x14ac:dyDescent="0.25">
      <c r="A667" s="2">
        <v>10666</v>
      </c>
      <c r="B667" s="2">
        <f t="shared" si="10"/>
        <v>2020</v>
      </c>
      <c r="C667" s="3">
        <v>44105</v>
      </c>
      <c r="D667" s="4">
        <v>44131</v>
      </c>
      <c r="E667" s="2" t="s">
        <v>14</v>
      </c>
      <c r="F667" s="2" t="s">
        <v>16</v>
      </c>
      <c r="G667" s="2" t="s">
        <v>15</v>
      </c>
      <c r="H667" s="2">
        <v>8</v>
      </c>
      <c r="I667" s="2">
        <v>429</v>
      </c>
      <c r="J667" s="5">
        <v>214500</v>
      </c>
      <c r="K667" s="5">
        <v>32175</v>
      </c>
    </row>
    <row r="668" spans="1:11" x14ac:dyDescent="0.25">
      <c r="A668" s="2">
        <v>10667</v>
      </c>
      <c r="B668" s="2">
        <f t="shared" si="10"/>
        <v>2020</v>
      </c>
      <c r="C668" s="3">
        <v>44105</v>
      </c>
      <c r="D668" s="4">
        <v>44132</v>
      </c>
      <c r="E668" s="2" t="s">
        <v>14</v>
      </c>
      <c r="F668" s="2" t="s">
        <v>18</v>
      </c>
      <c r="G668" s="2" t="s">
        <v>13</v>
      </c>
      <c r="H668" s="2">
        <v>32</v>
      </c>
      <c r="I668" s="2">
        <v>341</v>
      </c>
      <c r="J668" s="5">
        <v>255750</v>
      </c>
      <c r="K668" s="5">
        <v>53707.5</v>
      </c>
    </row>
    <row r="669" spans="1:11" x14ac:dyDescent="0.25">
      <c r="A669" s="2">
        <v>10668</v>
      </c>
      <c r="B669" s="2">
        <f t="shared" si="10"/>
        <v>2020</v>
      </c>
      <c r="C669" s="3">
        <v>44105</v>
      </c>
      <c r="D669" s="4">
        <v>44133</v>
      </c>
      <c r="E669" s="2" t="s">
        <v>19</v>
      </c>
      <c r="F669" s="2" t="s">
        <v>24</v>
      </c>
      <c r="G669" s="2" t="s">
        <v>23</v>
      </c>
      <c r="H669" s="2">
        <v>3</v>
      </c>
      <c r="I669" s="2">
        <v>48</v>
      </c>
      <c r="J669" s="5">
        <v>16800</v>
      </c>
      <c r="K669" s="5">
        <v>2352</v>
      </c>
    </row>
    <row r="670" spans="1:11" x14ac:dyDescent="0.25">
      <c r="A670" s="2">
        <v>10669</v>
      </c>
      <c r="B670" s="2">
        <f t="shared" si="10"/>
        <v>2020</v>
      </c>
      <c r="C670" s="3">
        <v>44105</v>
      </c>
      <c r="D670" s="4">
        <v>44134</v>
      </c>
      <c r="E670" s="2" t="s">
        <v>22</v>
      </c>
      <c r="F670" s="2" t="s">
        <v>24</v>
      </c>
      <c r="G670" s="2" t="s">
        <v>13</v>
      </c>
      <c r="H670" s="2">
        <v>1</v>
      </c>
      <c r="I670" s="2">
        <v>29</v>
      </c>
      <c r="J670" s="5">
        <v>21750</v>
      </c>
      <c r="K670" s="5">
        <v>9570</v>
      </c>
    </row>
    <row r="671" spans="1:11" x14ac:dyDescent="0.25">
      <c r="A671" s="2">
        <v>10670</v>
      </c>
      <c r="B671" s="2">
        <f t="shared" si="10"/>
        <v>2020</v>
      </c>
      <c r="C671" s="3">
        <v>44105</v>
      </c>
      <c r="D671" s="4">
        <v>44135</v>
      </c>
      <c r="E671" s="2" t="s">
        <v>25</v>
      </c>
      <c r="F671" s="2" t="s">
        <v>18</v>
      </c>
      <c r="G671" s="2" t="s">
        <v>17</v>
      </c>
      <c r="H671" s="2">
        <v>7</v>
      </c>
      <c r="I671" s="2">
        <v>105</v>
      </c>
      <c r="J671" s="5">
        <v>26250</v>
      </c>
      <c r="K671" s="5">
        <v>4462.5</v>
      </c>
    </row>
    <row r="672" spans="1:11" x14ac:dyDescent="0.25">
      <c r="A672" s="2">
        <v>10671</v>
      </c>
      <c r="B672" s="2">
        <f t="shared" si="10"/>
        <v>2020</v>
      </c>
      <c r="C672" s="3">
        <v>44136</v>
      </c>
      <c r="D672" s="4">
        <v>44136</v>
      </c>
      <c r="E672" s="2" t="s">
        <v>22</v>
      </c>
      <c r="F672" s="2" t="s">
        <v>24</v>
      </c>
      <c r="G672" s="2" t="s">
        <v>13</v>
      </c>
      <c r="H672" s="2">
        <v>4</v>
      </c>
      <c r="I672" s="2">
        <v>310</v>
      </c>
      <c r="J672" s="5">
        <v>232500</v>
      </c>
      <c r="K672" s="5">
        <v>41850</v>
      </c>
    </row>
    <row r="673" spans="1:11" x14ac:dyDescent="0.25">
      <c r="A673" s="2">
        <v>10672</v>
      </c>
      <c r="B673" s="2">
        <f t="shared" si="10"/>
        <v>2020</v>
      </c>
      <c r="C673" s="3">
        <v>44136</v>
      </c>
      <c r="D673" s="4">
        <v>44137</v>
      </c>
      <c r="E673" s="2" t="s">
        <v>14</v>
      </c>
      <c r="F673" s="2" t="s">
        <v>21</v>
      </c>
      <c r="G673" s="2" t="s">
        <v>20</v>
      </c>
      <c r="H673" s="2">
        <v>1</v>
      </c>
      <c r="I673" s="2">
        <v>21</v>
      </c>
      <c r="J673" s="5">
        <v>17850</v>
      </c>
      <c r="K673" s="5">
        <v>4462.5</v>
      </c>
    </row>
    <row r="674" spans="1:11" x14ac:dyDescent="0.25">
      <c r="A674" s="2">
        <v>10673</v>
      </c>
      <c r="B674" s="2">
        <f t="shared" si="10"/>
        <v>2020</v>
      </c>
      <c r="C674" s="3">
        <v>44136</v>
      </c>
      <c r="D674" s="4">
        <v>44138</v>
      </c>
      <c r="E674" s="2" t="s">
        <v>19</v>
      </c>
      <c r="F674" s="2" t="s">
        <v>18</v>
      </c>
      <c r="G674" s="2" t="s">
        <v>17</v>
      </c>
      <c r="H674" s="2">
        <v>4</v>
      </c>
      <c r="I674" s="2">
        <v>254</v>
      </c>
      <c r="J674" s="5">
        <v>63500</v>
      </c>
      <c r="K674" s="5">
        <v>12700</v>
      </c>
    </row>
    <row r="675" spans="1:11" x14ac:dyDescent="0.25">
      <c r="A675" s="2">
        <v>10674</v>
      </c>
      <c r="B675" s="2">
        <f t="shared" si="10"/>
        <v>2020</v>
      </c>
      <c r="C675" s="3">
        <v>44136</v>
      </c>
      <c r="D675" s="4">
        <v>44139</v>
      </c>
      <c r="E675" s="2" t="s">
        <v>11</v>
      </c>
      <c r="F675" s="2" t="s">
        <v>24</v>
      </c>
      <c r="G675" s="2" t="s">
        <v>20</v>
      </c>
      <c r="H675" s="2">
        <v>12</v>
      </c>
      <c r="I675" s="2">
        <v>335</v>
      </c>
      <c r="J675" s="5">
        <v>284750</v>
      </c>
      <c r="K675" s="5">
        <v>42712.5</v>
      </c>
    </row>
    <row r="676" spans="1:11" x14ac:dyDescent="0.25">
      <c r="A676" s="2">
        <v>10675</v>
      </c>
      <c r="B676" s="2">
        <f t="shared" si="10"/>
        <v>2020</v>
      </c>
      <c r="C676" s="3">
        <v>44136</v>
      </c>
      <c r="D676" s="4">
        <v>44140</v>
      </c>
      <c r="E676" s="2" t="s">
        <v>19</v>
      </c>
      <c r="F676" s="2" t="s">
        <v>21</v>
      </c>
      <c r="G676" s="2" t="s">
        <v>20</v>
      </c>
      <c r="H676" s="2">
        <v>26</v>
      </c>
      <c r="I676" s="2">
        <v>287</v>
      </c>
      <c r="J676" s="5">
        <v>243950</v>
      </c>
      <c r="K676" s="5">
        <v>73185</v>
      </c>
    </row>
    <row r="677" spans="1:11" x14ac:dyDescent="0.25">
      <c r="A677" s="2">
        <v>10676</v>
      </c>
      <c r="B677" s="2">
        <f t="shared" si="10"/>
        <v>2020</v>
      </c>
      <c r="C677" s="3">
        <v>44136</v>
      </c>
      <c r="D677" s="4">
        <v>44141</v>
      </c>
      <c r="E677" s="2" t="s">
        <v>25</v>
      </c>
      <c r="F677" s="2" t="s">
        <v>18</v>
      </c>
      <c r="G677" s="2" t="s">
        <v>23</v>
      </c>
      <c r="H677" s="2">
        <v>2</v>
      </c>
      <c r="I677" s="2">
        <v>20</v>
      </c>
      <c r="J677" s="5">
        <v>7000</v>
      </c>
      <c r="K677" s="5">
        <v>1470</v>
      </c>
    </row>
    <row r="678" spans="1:11" x14ac:dyDescent="0.25">
      <c r="A678" s="2">
        <v>10677</v>
      </c>
      <c r="B678" s="2">
        <f t="shared" si="10"/>
        <v>2020</v>
      </c>
      <c r="C678" s="3">
        <v>44136</v>
      </c>
      <c r="D678" s="4">
        <v>44142</v>
      </c>
      <c r="E678" s="2" t="s">
        <v>11</v>
      </c>
      <c r="F678" s="2" t="s">
        <v>21</v>
      </c>
      <c r="G678" s="2" t="s">
        <v>15</v>
      </c>
      <c r="H678" s="2">
        <v>24</v>
      </c>
      <c r="I678" s="2">
        <v>267</v>
      </c>
      <c r="J678" s="5">
        <v>133500</v>
      </c>
      <c r="K678" s="5">
        <v>40050</v>
      </c>
    </row>
    <row r="679" spans="1:11" x14ac:dyDescent="0.25">
      <c r="A679" s="2">
        <v>10678</v>
      </c>
      <c r="B679" s="2">
        <f t="shared" si="10"/>
        <v>2020</v>
      </c>
      <c r="C679" s="3">
        <v>44136</v>
      </c>
      <c r="D679" s="4">
        <v>44143</v>
      </c>
      <c r="E679" s="2" t="s">
        <v>25</v>
      </c>
      <c r="F679" s="2" t="s">
        <v>12</v>
      </c>
      <c r="G679" s="2" t="s">
        <v>17</v>
      </c>
      <c r="H679" s="2">
        <v>29</v>
      </c>
      <c r="I679" s="2">
        <v>470</v>
      </c>
      <c r="J679" s="5">
        <v>117500</v>
      </c>
      <c r="K679" s="5">
        <v>52875</v>
      </c>
    </row>
    <row r="680" spans="1:11" x14ac:dyDescent="0.25">
      <c r="A680" s="2">
        <v>10679</v>
      </c>
      <c r="B680" s="2">
        <f t="shared" si="10"/>
        <v>2020</v>
      </c>
      <c r="C680" s="3">
        <v>44136</v>
      </c>
      <c r="D680" s="4">
        <v>44144</v>
      </c>
      <c r="E680" s="2" t="s">
        <v>22</v>
      </c>
      <c r="F680" s="2" t="s">
        <v>21</v>
      </c>
      <c r="G680" s="2" t="s">
        <v>13</v>
      </c>
      <c r="H680" s="2">
        <v>27</v>
      </c>
      <c r="I680" s="2">
        <v>299</v>
      </c>
      <c r="J680" s="5">
        <v>224250</v>
      </c>
      <c r="K680" s="5">
        <v>94185</v>
      </c>
    </row>
    <row r="681" spans="1:11" x14ac:dyDescent="0.25">
      <c r="A681" s="2">
        <v>10680</v>
      </c>
      <c r="B681" s="2">
        <f t="shared" si="10"/>
        <v>2020</v>
      </c>
      <c r="C681" s="3">
        <v>44136</v>
      </c>
      <c r="D681" s="4">
        <v>44145</v>
      </c>
      <c r="E681" s="2" t="s">
        <v>25</v>
      </c>
      <c r="F681" s="2" t="s">
        <v>18</v>
      </c>
      <c r="G681" s="2" t="s">
        <v>17</v>
      </c>
      <c r="H681" s="2">
        <v>4</v>
      </c>
      <c r="I681" s="2">
        <v>225</v>
      </c>
      <c r="J681" s="5">
        <v>56250</v>
      </c>
      <c r="K681" s="5">
        <v>25312.5</v>
      </c>
    </row>
    <row r="682" spans="1:11" x14ac:dyDescent="0.25">
      <c r="A682" s="2">
        <v>10681</v>
      </c>
      <c r="B682" s="2">
        <f t="shared" si="10"/>
        <v>2020</v>
      </c>
      <c r="C682" s="3">
        <v>44136</v>
      </c>
      <c r="D682" s="4">
        <v>44146</v>
      </c>
      <c r="E682" s="2" t="s">
        <v>25</v>
      </c>
      <c r="F682" s="2" t="s">
        <v>21</v>
      </c>
      <c r="G682" s="2" t="s">
        <v>17</v>
      </c>
      <c r="H682" s="2">
        <v>22</v>
      </c>
      <c r="I682" s="2">
        <v>297</v>
      </c>
      <c r="J682" s="5">
        <v>74250</v>
      </c>
      <c r="K682" s="5">
        <v>23017.5</v>
      </c>
    </row>
    <row r="683" spans="1:11" x14ac:dyDescent="0.25">
      <c r="A683" s="2">
        <v>10682</v>
      </c>
      <c r="B683" s="2">
        <f t="shared" si="10"/>
        <v>2020</v>
      </c>
      <c r="C683" s="3">
        <v>44136</v>
      </c>
      <c r="D683" s="4">
        <v>44147</v>
      </c>
      <c r="E683" s="2" t="s">
        <v>14</v>
      </c>
      <c r="F683" s="2" t="s">
        <v>12</v>
      </c>
      <c r="G683" s="2" t="s">
        <v>23</v>
      </c>
      <c r="H683" s="2">
        <v>30</v>
      </c>
      <c r="I683" s="2">
        <v>380</v>
      </c>
      <c r="J683" s="5">
        <v>133000</v>
      </c>
      <c r="K683" s="5">
        <v>27930</v>
      </c>
    </row>
    <row r="684" spans="1:11" x14ac:dyDescent="0.25">
      <c r="A684" s="2">
        <v>10683</v>
      </c>
      <c r="B684" s="2">
        <f t="shared" si="10"/>
        <v>2020</v>
      </c>
      <c r="C684" s="3">
        <v>44136</v>
      </c>
      <c r="D684" s="4">
        <v>44148</v>
      </c>
      <c r="E684" s="2" t="s">
        <v>14</v>
      </c>
      <c r="F684" s="2" t="s">
        <v>24</v>
      </c>
      <c r="G684" s="2" t="s">
        <v>17</v>
      </c>
      <c r="H684" s="2">
        <v>27</v>
      </c>
      <c r="I684" s="2">
        <v>304</v>
      </c>
      <c r="J684" s="5">
        <v>76000</v>
      </c>
      <c r="K684" s="5">
        <v>23560</v>
      </c>
    </row>
    <row r="685" spans="1:11" x14ac:dyDescent="0.25">
      <c r="A685" s="2">
        <v>10684</v>
      </c>
      <c r="B685" s="2">
        <f t="shared" si="10"/>
        <v>2020</v>
      </c>
      <c r="C685" s="3">
        <v>44136</v>
      </c>
      <c r="D685" s="4">
        <v>44149</v>
      </c>
      <c r="E685" s="2" t="s">
        <v>25</v>
      </c>
      <c r="F685" s="2" t="s">
        <v>21</v>
      </c>
      <c r="G685" s="2" t="s">
        <v>17</v>
      </c>
      <c r="H685" s="2">
        <v>27</v>
      </c>
      <c r="I685" s="2">
        <v>356</v>
      </c>
      <c r="J685" s="5">
        <v>89000</v>
      </c>
      <c r="K685" s="5">
        <v>24920.000000000004</v>
      </c>
    </row>
    <row r="686" spans="1:11" x14ac:dyDescent="0.25">
      <c r="A686" s="2">
        <v>10685</v>
      </c>
      <c r="B686" s="2">
        <f t="shared" si="10"/>
        <v>2020</v>
      </c>
      <c r="C686" s="3">
        <v>44136</v>
      </c>
      <c r="D686" s="4">
        <v>44150</v>
      </c>
      <c r="E686" s="2" t="s">
        <v>22</v>
      </c>
      <c r="F686" s="2" t="s">
        <v>24</v>
      </c>
      <c r="G686" s="2" t="s">
        <v>17</v>
      </c>
      <c r="H686" s="2">
        <v>13</v>
      </c>
      <c r="I686" s="2">
        <v>307</v>
      </c>
      <c r="J686" s="5">
        <v>76750</v>
      </c>
      <c r="K686" s="5">
        <v>29165</v>
      </c>
    </row>
    <row r="687" spans="1:11" x14ac:dyDescent="0.25">
      <c r="A687" s="2">
        <v>10686</v>
      </c>
      <c r="B687" s="2">
        <f t="shared" si="10"/>
        <v>2020</v>
      </c>
      <c r="C687" s="3">
        <v>44136</v>
      </c>
      <c r="D687" s="4">
        <v>44151</v>
      </c>
      <c r="E687" s="2" t="s">
        <v>14</v>
      </c>
      <c r="F687" s="2" t="s">
        <v>18</v>
      </c>
      <c r="G687" s="2" t="s">
        <v>23</v>
      </c>
      <c r="H687" s="2">
        <v>6</v>
      </c>
      <c r="I687" s="2">
        <v>172</v>
      </c>
      <c r="J687" s="5">
        <v>60200</v>
      </c>
      <c r="K687" s="5">
        <v>20468</v>
      </c>
    </row>
    <row r="688" spans="1:11" x14ac:dyDescent="0.25">
      <c r="A688" s="2">
        <v>10687</v>
      </c>
      <c r="B688" s="2">
        <f t="shared" si="10"/>
        <v>2020</v>
      </c>
      <c r="C688" s="3">
        <v>44136</v>
      </c>
      <c r="D688" s="4">
        <v>44152</v>
      </c>
      <c r="E688" s="2" t="s">
        <v>25</v>
      </c>
      <c r="F688" s="2" t="s">
        <v>24</v>
      </c>
      <c r="G688" s="2" t="s">
        <v>17</v>
      </c>
      <c r="H688" s="2">
        <v>4</v>
      </c>
      <c r="I688" s="2">
        <v>301</v>
      </c>
      <c r="J688" s="5">
        <v>75250</v>
      </c>
      <c r="K688" s="5">
        <v>32357.5</v>
      </c>
    </row>
    <row r="689" spans="1:11" x14ac:dyDescent="0.25">
      <c r="A689" s="2">
        <v>10688</v>
      </c>
      <c r="B689" s="2">
        <f t="shared" si="10"/>
        <v>2020</v>
      </c>
      <c r="C689" s="3">
        <v>44136</v>
      </c>
      <c r="D689" s="4">
        <v>44153</v>
      </c>
      <c r="E689" s="2" t="s">
        <v>11</v>
      </c>
      <c r="F689" s="2" t="s">
        <v>21</v>
      </c>
      <c r="G689" s="2" t="s">
        <v>20</v>
      </c>
      <c r="H689" s="2">
        <v>29</v>
      </c>
      <c r="I689" s="2">
        <v>403</v>
      </c>
      <c r="J689" s="5">
        <v>342550</v>
      </c>
      <c r="K689" s="5">
        <v>68510</v>
      </c>
    </row>
    <row r="690" spans="1:11" x14ac:dyDescent="0.25">
      <c r="A690" s="2">
        <v>10689</v>
      </c>
      <c r="B690" s="2">
        <f t="shared" si="10"/>
        <v>2020</v>
      </c>
      <c r="C690" s="3">
        <v>44136</v>
      </c>
      <c r="D690" s="4">
        <v>44154</v>
      </c>
      <c r="E690" s="2" t="s">
        <v>22</v>
      </c>
      <c r="F690" s="2" t="s">
        <v>16</v>
      </c>
      <c r="G690" s="2" t="s">
        <v>13</v>
      </c>
      <c r="H690" s="2">
        <v>9</v>
      </c>
      <c r="I690" s="2">
        <v>301</v>
      </c>
      <c r="J690" s="5">
        <v>225750</v>
      </c>
      <c r="K690" s="5">
        <v>90300</v>
      </c>
    </row>
    <row r="691" spans="1:11" x14ac:dyDescent="0.25">
      <c r="A691" s="2">
        <v>10690</v>
      </c>
      <c r="B691" s="2">
        <f t="shared" si="10"/>
        <v>2020</v>
      </c>
      <c r="C691" s="3">
        <v>44136</v>
      </c>
      <c r="D691" s="4">
        <v>44155</v>
      </c>
      <c r="E691" s="2" t="s">
        <v>25</v>
      </c>
      <c r="F691" s="2" t="s">
        <v>18</v>
      </c>
      <c r="G691" s="2" t="s">
        <v>15</v>
      </c>
      <c r="H691" s="2">
        <v>6</v>
      </c>
      <c r="I691" s="2">
        <v>187</v>
      </c>
      <c r="J691" s="5">
        <v>93500</v>
      </c>
      <c r="K691" s="5">
        <v>29920</v>
      </c>
    </row>
    <row r="692" spans="1:11" x14ac:dyDescent="0.25">
      <c r="A692" s="2">
        <v>10691</v>
      </c>
      <c r="B692" s="2">
        <f t="shared" si="10"/>
        <v>2020</v>
      </c>
      <c r="C692" s="3">
        <v>44136</v>
      </c>
      <c r="D692" s="4">
        <v>44156</v>
      </c>
      <c r="E692" s="2" t="s">
        <v>25</v>
      </c>
      <c r="F692" s="2" t="s">
        <v>21</v>
      </c>
      <c r="G692" s="2" t="s">
        <v>15</v>
      </c>
      <c r="H692" s="2">
        <v>48</v>
      </c>
      <c r="I692" s="2">
        <v>494</v>
      </c>
      <c r="J692" s="5">
        <v>247000</v>
      </c>
      <c r="K692" s="5">
        <v>32110</v>
      </c>
    </row>
    <row r="693" spans="1:11" x14ac:dyDescent="0.25">
      <c r="A693" s="2">
        <v>10692</v>
      </c>
      <c r="B693" s="2">
        <f t="shared" si="10"/>
        <v>2020</v>
      </c>
      <c r="C693" s="3">
        <v>44136</v>
      </c>
      <c r="D693" s="4">
        <v>44157</v>
      </c>
      <c r="E693" s="2" t="s">
        <v>22</v>
      </c>
      <c r="F693" s="2" t="s">
        <v>24</v>
      </c>
      <c r="G693" s="2" t="s">
        <v>13</v>
      </c>
      <c r="H693" s="2">
        <v>4</v>
      </c>
      <c r="I693" s="2">
        <v>272</v>
      </c>
      <c r="J693" s="5">
        <v>204000</v>
      </c>
      <c r="K693" s="5">
        <v>53040</v>
      </c>
    </row>
    <row r="694" spans="1:11" x14ac:dyDescent="0.25">
      <c r="A694" s="2">
        <v>10693</v>
      </c>
      <c r="B694" s="2">
        <f t="shared" si="10"/>
        <v>2020</v>
      </c>
      <c r="C694" s="3">
        <v>44136</v>
      </c>
      <c r="D694" s="4">
        <v>44158</v>
      </c>
      <c r="E694" s="2" t="s">
        <v>11</v>
      </c>
      <c r="F694" s="2" t="s">
        <v>18</v>
      </c>
      <c r="G694" s="2" t="s">
        <v>20</v>
      </c>
      <c r="H694" s="2">
        <v>4</v>
      </c>
      <c r="I694" s="2">
        <v>41</v>
      </c>
      <c r="J694" s="5">
        <v>34850</v>
      </c>
      <c r="K694" s="5">
        <v>13940</v>
      </c>
    </row>
    <row r="695" spans="1:11" x14ac:dyDescent="0.25">
      <c r="A695" s="2">
        <v>10694</v>
      </c>
      <c r="B695" s="2">
        <f t="shared" si="10"/>
        <v>2020</v>
      </c>
      <c r="C695" s="3">
        <v>44136</v>
      </c>
      <c r="D695" s="4">
        <v>44159</v>
      </c>
      <c r="E695" s="2" t="s">
        <v>25</v>
      </c>
      <c r="F695" s="2" t="s">
        <v>24</v>
      </c>
      <c r="G695" s="2" t="s">
        <v>20</v>
      </c>
      <c r="H695" s="2">
        <v>2</v>
      </c>
      <c r="I695" s="2">
        <v>48</v>
      </c>
      <c r="J695" s="5">
        <v>40800</v>
      </c>
      <c r="K695" s="5">
        <v>15912</v>
      </c>
    </row>
    <row r="696" spans="1:11" x14ac:dyDescent="0.25">
      <c r="A696" s="2">
        <v>10695</v>
      </c>
      <c r="B696" s="2">
        <f t="shared" si="10"/>
        <v>2020</v>
      </c>
      <c r="C696" s="3">
        <v>44136</v>
      </c>
      <c r="D696" s="4">
        <v>44160</v>
      </c>
      <c r="E696" s="2" t="s">
        <v>19</v>
      </c>
      <c r="F696" s="2" t="s">
        <v>21</v>
      </c>
      <c r="G696" s="2" t="s">
        <v>17</v>
      </c>
      <c r="H696" s="2">
        <v>11</v>
      </c>
      <c r="I696" s="2">
        <v>243</v>
      </c>
      <c r="J696" s="5">
        <v>60750</v>
      </c>
      <c r="K696" s="5">
        <v>22477.5</v>
      </c>
    </row>
    <row r="697" spans="1:11" x14ac:dyDescent="0.25">
      <c r="A697" s="2">
        <v>10696</v>
      </c>
      <c r="B697" s="2">
        <f t="shared" si="10"/>
        <v>2020</v>
      </c>
      <c r="C697" s="3">
        <v>44136</v>
      </c>
      <c r="D697" s="4">
        <v>44161</v>
      </c>
      <c r="E697" s="2" t="s">
        <v>22</v>
      </c>
      <c r="F697" s="2" t="s">
        <v>24</v>
      </c>
      <c r="G697" s="2" t="s">
        <v>17</v>
      </c>
      <c r="H697" s="2">
        <v>15</v>
      </c>
      <c r="I697" s="2">
        <v>206</v>
      </c>
      <c r="J697" s="5">
        <v>51500</v>
      </c>
      <c r="K697" s="5">
        <v>15450</v>
      </c>
    </row>
    <row r="698" spans="1:11" x14ac:dyDescent="0.25">
      <c r="A698" s="2">
        <v>10697</v>
      </c>
      <c r="B698" s="2">
        <f t="shared" si="10"/>
        <v>2020</v>
      </c>
      <c r="C698" s="3">
        <v>44136</v>
      </c>
      <c r="D698" s="4">
        <v>44162</v>
      </c>
      <c r="E698" s="2" t="s">
        <v>19</v>
      </c>
      <c r="F698" s="2" t="s">
        <v>18</v>
      </c>
      <c r="G698" s="2" t="s">
        <v>13</v>
      </c>
      <c r="H698" s="2">
        <v>22</v>
      </c>
      <c r="I698" s="2">
        <v>220</v>
      </c>
      <c r="J698" s="5">
        <v>165000</v>
      </c>
      <c r="K698" s="5">
        <v>28050.000000000004</v>
      </c>
    </row>
    <row r="699" spans="1:11" x14ac:dyDescent="0.25">
      <c r="A699" s="2">
        <v>10698</v>
      </c>
      <c r="B699" s="2">
        <f t="shared" si="10"/>
        <v>2020</v>
      </c>
      <c r="C699" s="3">
        <v>44136</v>
      </c>
      <c r="D699" s="4">
        <v>44163</v>
      </c>
      <c r="E699" s="2" t="s">
        <v>19</v>
      </c>
      <c r="F699" s="2" t="s">
        <v>16</v>
      </c>
      <c r="G699" s="2" t="s">
        <v>17</v>
      </c>
      <c r="H699" s="2">
        <v>2</v>
      </c>
      <c r="I699" s="2">
        <v>32</v>
      </c>
      <c r="J699" s="5">
        <v>8000</v>
      </c>
      <c r="K699" s="5">
        <v>2400</v>
      </c>
    </row>
    <row r="700" spans="1:11" x14ac:dyDescent="0.25">
      <c r="A700" s="2">
        <v>10699</v>
      </c>
      <c r="B700" s="2">
        <f t="shared" si="10"/>
        <v>2020</v>
      </c>
      <c r="C700" s="3">
        <v>44136</v>
      </c>
      <c r="D700" s="4">
        <v>44164</v>
      </c>
      <c r="E700" s="2" t="s">
        <v>22</v>
      </c>
      <c r="F700" s="2" t="s">
        <v>12</v>
      </c>
      <c r="G700" s="2" t="s">
        <v>20</v>
      </c>
      <c r="H700" s="2">
        <v>27</v>
      </c>
      <c r="I700" s="2">
        <v>417</v>
      </c>
      <c r="J700" s="5">
        <v>354450</v>
      </c>
      <c r="K700" s="5">
        <v>148869</v>
      </c>
    </row>
    <row r="701" spans="1:11" x14ac:dyDescent="0.25">
      <c r="A701" s="2">
        <v>10700</v>
      </c>
      <c r="B701" s="2">
        <f t="shared" si="10"/>
        <v>2020</v>
      </c>
      <c r="C701" s="3">
        <v>44136</v>
      </c>
      <c r="D701" s="4">
        <v>44165</v>
      </c>
      <c r="E701" s="2" t="s">
        <v>11</v>
      </c>
      <c r="F701" s="2" t="s">
        <v>16</v>
      </c>
      <c r="G701" s="2" t="s">
        <v>23</v>
      </c>
      <c r="H701" s="2">
        <v>20</v>
      </c>
      <c r="I701" s="2">
        <v>322</v>
      </c>
      <c r="J701" s="5">
        <v>112700</v>
      </c>
      <c r="K701" s="5">
        <v>14651</v>
      </c>
    </row>
    <row r="702" spans="1:11" x14ac:dyDescent="0.25">
      <c r="A702" s="2">
        <v>10701</v>
      </c>
      <c r="B702" s="2">
        <f t="shared" si="10"/>
        <v>2020</v>
      </c>
      <c r="C702" s="3">
        <v>44166</v>
      </c>
      <c r="D702" s="4">
        <v>44166</v>
      </c>
      <c r="E702" s="2" t="s">
        <v>22</v>
      </c>
      <c r="F702" s="2" t="s">
        <v>18</v>
      </c>
      <c r="G702" s="2" t="s">
        <v>20</v>
      </c>
      <c r="H702" s="2">
        <v>17</v>
      </c>
      <c r="I702" s="2">
        <v>300</v>
      </c>
      <c r="J702" s="5">
        <v>255000</v>
      </c>
      <c r="K702" s="5">
        <v>102000</v>
      </c>
    </row>
    <row r="703" spans="1:11" x14ac:dyDescent="0.25">
      <c r="A703" s="2">
        <v>10702</v>
      </c>
      <c r="B703" s="2">
        <f t="shared" si="10"/>
        <v>2020</v>
      </c>
      <c r="C703" s="3">
        <v>44166</v>
      </c>
      <c r="D703" s="4">
        <v>44167</v>
      </c>
      <c r="E703" s="2" t="s">
        <v>25</v>
      </c>
      <c r="F703" s="2" t="s">
        <v>12</v>
      </c>
      <c r="G703" s="2" t="s">
        <v>15</v>
      </c>
      <c r="H703" s="2">
        <v>26</v>
      </c>
      <c r="I703" s="2">
        <v>469</v>
      </c>
      <c r="J703" s="5">
        <v>234500</v>
      </c>
      <c r="K703" s="5">
        <v>65660</v>
      </c>
    </row>
    <row r="704" spans="1:11" x14ac:dyDescent="0.25">
      <c r="A704" s="2">
        <v>10703</v>
      </c>
      <c r="B704" s="2">
        <f t="shared" si="10"/>
        <v>2020</v>
      </c>
      <c r="C704" s="3">
        <v>44166</v>
      </c>
      <c r="D704" s="4">
        <v>44168</v>
      </c>
      <c r="E704" s="2" t="s">
        <v>14</v>
      </c>
      <c r="F704" s="2" t="s">
        <v>16</v>
      </c>
      <c r="G704" s="2" t="s">
        <v>23</v>
      </c>
      <c r="H704" s="2">
        <v>6</v>
      </c>
      <c r="I704" s="2">
        <v>163</v>
      </c>
      <c r="J704" s="5">
        <v>57050</v>
      </c>
      <c r="K704" s="5">
        <v>22249.5</v>
      </c>
    </row>
    <row r="705" spans="1:11" x14ac:dyDescent="0.25">
      <c r="A705" s="2">
        <v>10704</v>
      </c>
      <c r="B705" s="2">
        <f t="shared" si="10"/>
        <v>2020</v>
      </c>
      <c r="C705" s="3">
        <v>44166</v>
      </c>
      <c r="D705" s="4">
        <v>44169</v>
      </c>
      <c r="E705" s="2" t="s">
        <v>25</v>
      </c>
      <c r="F705" s="2" t="s">
        <v>24</v>
      </c>
      <c r="G705" s="2" t="s">
        <v>15</v>
      </c>
      <c r="H705" s="2">
        <v>4</v>
      </c>
      <c r="I705" s="2">
        <v>138</v>
      </c>
      <c r="J705" s="5">
        <v>69000</v>
      </c>
      <c r="K705" s="5">
        <v>17940</v>
      </c>
    </row>
    <row r="706" spans="1:11" x14ac:dyDescent="0.25">
      <c r="A706" s="2">
        <v>10705</v>
      </c>
      <c r="B706" s="2">
        <f t="shared" si="10"/>
        <v>2020</v>
      </c>
      <c r="C706" s="3">
        <v>44166</v>
      </c>
      <c r="D706" s="4">
        <v>44170</v>
      </c>
      <c r="E706" s="2" t="s">
        <v>11</v>
      </c>
      <c r="F706" s="2" t="s">
        <v>12</v>
      </c>
      <c r="G706" s="2" t="s">
        <v>23</v>
      </c>
      <c r="H706" s="2">
        <v>14</v>
      </c>
      <c r="I706" s="2">
        <v>199</v>
      </c>
      <c r="J706" s="5">
        <v>69650</v>
      </c>
      <c r="K706" s="5">
        <v>29253</v>
      </c>
    </row>
    <row r="707" spans="1:11" x14ac:dyDescent="0.25">
      <c r="A707" s="2">
        <v>10706</v>
      </c>
      <c r="B707" s="2">
        <f t="shared" ref="B707:B770" si="11">YEAR(C707)</f>
        <v>2020</v>
      </c>
      <c r="C707" s="3">
        <v>44166</v>
      </c>
      <c r="D707" s="4">
        <v>44171</v>
      </c>
      <c r="E707" s="2" t="s">
        <v>25</v>
      </c>
      <c r="F707" s="2" t="s">
        <v>18</v>
      </c>
      <c r="G707" s="2" t="s">
        <v>15</v>
      </c>
      <c r="H707" s="2">
        <v>7</v>
      </c>
      <c r="I707" s="2">
        <v>290</v>
      </c>
      <c r="J707" s="5">
        <v>145000</v>
      </c>
      <c r="K707" s="5">
        <v>44950</v>
      </c>
    </row>
    <row r="708" spans="1:11" x14ac:dyDescent="0.25">
      <c r="A708" s="2">
        <v>10707</v>
      </c>
      <c r="B708" s="2">
        <f t="shared" si="11"/>
        <v>2020</v>
      </c>
      <c r="C708" s="3">
        <v>44166</v>
      </c>
      <c r="D708" s="4">
        <v>44172</v>
      </c>
      <c r="E708" s="2" t="s">
        <v>14</v>
      </c>
      <c r="F708" s="2" t="s">
        <v>18</v>
      </c>
      <c r="G708" s="2" t="s">
        <v>13</v>
      </c>
      <c r="H708" s="2">
        <v>2</v>
      </c>
      <c r="I708" s="2">
        <v>72</v>
      </c>
      <c r="J708" s="5">
        <v>54000</v>
      </c>
      <c r="K708" s="5">
        <v>7020</v>
      </c>
    </row>
    <row r="709" spans="1:11" x14ac:dyDescent="0.25">
      <c r="A709" s="2">
        <v>10708</v>
      </c>
      <c r="B709" s="2">
        <f t="shared" si="11"/>
        <v>2020</v>
      </c>
      <c r="C709" s="3">
        <v>44166</v>
      </c>
      <c r="D709" s="4">
        <v>44173</v>
      </c>
      <c r="E709" s="2" t="s">
        <v>22</v>
      </c>
      <c r="F709" s="2" t="s">
        <v>24</v>
      </c>
      <c r="G709" s="2" t="s">
        <v>13</v>
      </c>
      <c r="H709" s="2">
        <v>36</v>
      </c>
      <c r="I709" s="2">
        <v>448</v>
      </c>
      <c r="J709" s="5">
        <v>336000</v>
      </c>
      <c r="K709" s="5">
        <v>151200</v>
      </c>
    </row>
    <row r="710" spans="1:11" x14ac:dyDescent="0.25">
      <c r="A710" s="2">
        <v>10709</v>
      </c>
      <c r="B710" s="2">
        <f t="shared" si="11"/>
        <v>2020</v>
      </c>
      <c r="C710" s="3">
        <v>44166</v>
      </c>
      <c r="D710" s="4">
        <v>44174</v>
      </c>
      <c r="E710" s="2" t="s">
        <v>19</v>
      </c>
      <c r="F710" s="2" t="s">
        <v>16</v>
      </c>
      <c r="G710" s="2" t="s">
        <v>13</v>
      </c>
      <c r="H710" s="2">
        <v>1</v>
      </c>
      <c r="I710" s="2">
        <v>65</v>
      </c>
      <c r="J710" s="5">
        <v>48750</v>
      </c>
      <c r="K710" s="5">
        <v>6337.5</v>
      </c>
    </row>
    <row r="711" spans="1:11" x14ac:dyDescent="0.25">
      <c r="A711" s="2">
        <v>10710</v>
      </c>
      <c r="B711" s="2">
        <f t="shared" si="11"/>
        <v>2020</v>
      </c>
      <c r="C711" s="3">
        <v>44166</v>
      </c>
      <c r="D711" s="4">
        <v>44175</v>
      </c>
      <c r="E711" s="2" t="s">
        <v>22</v>
      </c>
      <c r="F711" s="2" t="s">
        <v>24</v>
      </c>
      <c r="G711" s="2" t="s">
        <v>17</v>
      </c>
      <c r="H711" s="2">
        <v>3</v>
      </c>
      <c r="I711" s="2">
        <v>165</v>
      </c>
      <c r="J711" s="5">
        <v>41250</v>
      </c>
      <c r="K711" s="5">
        <v>17325</v>
      </c>
    </row>
    <row r="712" spans="1:11" x14ac:dyDescent="0.25">
      <c r="A712" s="2">
        <v>10711</v>
      </c>
      <c r="B712" s="2">
        <f t="shared" si="11"/>
        <v>2020</v>
      </c>
      <c r="C712" s="3">
        <v>44166</v>
      </c>
      <c r="D712" s="4">
        <v>44176</v>
      </c>
      <c r="E712" s="2" t="s">
        <v>11</v>
      </c>
      <c r="F712" s="2" t="s">
        <v>12</v>
      </c>
      <c r="G712" s="2" t="s">
        <v>15</v>
      </c>
      <c r="H712" s="2">
        <v>18</v>
      </c>
      <c r="I712" s="2">
        <v>192</v>
      </c>
      <c r="J712" s="5">
        <v>96000</v>
      </c>
      <c r="K712" s="5">
        <v>29760</v>
      </c>
    </row>
    <row r="713" spans="1:11" x14ac:dyDescent="0.25">
      <c r="A713" s="2">
        <v>10712</v>
      </c>
      <c r="B713" s="2">
        <f t="shared" si="11"/>
        <v>2020</v>
      </c>
      <c r="C713" s="3">
        <v>44166</v>
      </c>
      <c r="D713" s="4">
        <v>44177</v>
      </c>
      <c r="E713" s="2" t="s">
        <v>19</v>
      </c>
      <c r="F713" s="2" t="s">
        <v>21</v>
      </c>
      <c r="G713" s="2" t="s">
        <v>20</v>
      </c>
      <c r="H713" s="2">
        <v>16</v>
      </c>
      <c r="I713" s="2">
        <v>200</v>
      </c>
      <c r="J713" s="5">
        <v>170000</v>
      </c>
      <c r="K713" s="5">
        <v>71400</v>
      </c>
    </row>
    <row r="714" spans="1:11" x14ac:dyDescent="0.25">
      <c r="A714" s="2">
        <v>10713</v>
      </c>
      <c r="B714" s="2">
        <f t="shared" si="11"/>
        <v>2020</v>
      </c>
      <c r="C714" s="3">
        <v>44166</v>
      </c>
      <c r="D714" s="4">
        <v>44178</v>
      </c>
      <c r="E714" s="2" t="s">
        <v>19</v>
      </c>
      <c r="F714" s="2" t="s">
        <v>21</v>
      </c>
      <c r="G714" s="2" t="s">
        <v>23</v>
      </c>
      <c r="H714" s="2">
        <v>6</v>
      </c>
      <c r="I714" s="2">
        <v>321</v>
      </c>
      <c r="J714" s="5">
        <v>112350</v>
      </c>
      <c r="K714" s="5">
        <v>43816.5</v>
      </c>
    </row>
    <row r="715" spans="1:11" x14ac:dyDescent="0.25">
      <c r="A715" s="2">
        <v>10714</v>
      </c>
      <c r="B715" s="2">
        <f t="shared" si="11"/>
        <v>2020</v>
      </c>
      <c r="C715" s="3">
        <v>44166</v>
      </c>
      <c r="D715" s="4">
        <v>44179</v>
      </c>
      <c r="E715" s="2" t="s">
        <v>11</v>
      </c>
      <c r="F715" s="2" t="s">
        <v>21</v>
      </c>
      <c r="G715" s="2" t="s">
        <v>17</v>
      </c>
      <c r="H715" s="2">
        <v>15</v>
      </c>
      <c r="I715" s="2">
        <v>391</v>
      </c>
      <c r="J715" s="5">
        <v>97750</v>
      </c>
      <c r="K715" s="5">
        <v>26392.5</v>
      </c>
    </row>
    <row r="716" spans="1:11" x14ac:dyDescent="0.25">
      <c r="A716" s="2">
        <v>10715</v>
      </c>
      <c r="B716" s="2">
        <f t="shared" si="11"/>
        <v>2020</v>
      </c>
      <c r="C716" s="3">
        <v>44166</v>
      </c>
      <c r="D716" s="4">
        <v>44180</v>
      </c>
      <c r="E716" s="2" t="s">
        <v>22</v>
      </c>
      <c r="F716" s="2" t="s">
        <v>21</v>
      </c>
      <c r="G716" s="2" t="s">
        <v>23</v>
      </c>
      <c r="H716" s="2">
        <v>9</v>
      </c>
      <c r="I716" s="2">
        <v>115</v>
      </c>
      <c r="J716" s="5">
        <v>40250</v>
      </c>
      <c r="K716" s="5">
        <v>14490</v>
      </c>
    </row>
    <row r="717" spans="1:11" x14ac:dyDescent="0.25">
      <c r="A717" s="2">
        <v>10716</v>
      </c>
      <c r="B717" s="2">
        <f t="shared" si="11"/>
        <v>2020</v>
      </c>
      <c r="C717" s="3">
        <v>44166</v>
      </c>
      <c r="D717" s="4">
        <v>44181</v>
      </c>
      <c r="E717" s="2" t="s">
        <v>11</v>
      </c>
      <c r="F717" s="2" t="s">
        <v>21</v>
      </c>
      <c r="G717" s="2" t="s">
        <v>23</v>
      </c>
      <c r="H717" s="2">
        <v>4</v>
      </c>
      <c r="I717" s="2">
        <v>128</v>
      </c>
      <c r="J717" s="5">
        <v>44800</v>
      </c>
      <c r="K717" s="5">
        <v>20160</v>
      </c>
    </row>
    <row r="718" spans="1:11" x14ac:dyDescent="0.25">
      <c r="A718" s="2">
        <v>10717</v>
      </c>
      <c r="B718" s="2">
        <f t="shared" si="11"/>
        <v>2020</v>
      </c>
      <c r="C718" s="3">
        <v>44166</v>
      </c>
      <c r="D718" s="4">
        <v>44182</v>
      </c>
      <c r="E718" s="2" t="s">
        <v>22</v>
      </c>
      <c r="F718" s="2" t="s">
        <v>12</v>
      </c>
      <c r="G718" s="2" t="s">
        <v>20</v>
      </c>
      <c r="H718" s="2">
        <v>2</v>
      </c>
      <c r="I718" s="2">
        <v>78</v>
      </c>
      <c r="J718" s="5">
        <v>66300</v>
      </c>
      <c r="K718" s="5">
        <v>11271</v>
      </c>
    </row>
    <row r="719" spans="1:11" x14ac:dyDescent="0.25">
      <c r="A719" s="2">
        <v>10718</v>
      </c>
      <c r="B719" s="2">
        <f t="shared" si="11"/>
        <v>2020</v>
      </c>
      <c r="C719" s="3">
        <v>44166</v>
      </c>
      <c r="D719" s="4">
        <v>44183</v>
      </c>
      <c r="E719" s="2" t="s">
        <v>25</v>
      </c>
      <c r="F719" s="2" t="s">
        <v>21</v>
      </c>
      <c r="G719" s="2" t="s">
        <v>20</v>
      </c>
      <c r="H719" s="2">
        <v>20</v>
      </c>
      <c r="I719" s="2">
        <v>368</v>
      </c>
      <c r="J719" s="5">
        <v>312800</v>
      </c>
      <c r="K719" s="5">
        <v>78200</v>
      </c>
    </row>
    <row r="720" spans="1:11" x14ac:dyDescent="0.25">
      <c r="A720" s="2">
        <v>10719</v>
      </c>
      <c r="B720" s="2">
        <f t="shared" si="11"/>
        <v>2020</v>
      </c>
      <c r="C720" s="3">
        <v>44166</v>
      </c>
      <c r="D720" s="4">
        <v>44184</v>
      </c>
      <c r="E720" s="2" t="s">
        <v>14</v>
      </c>
      <c r="F720" s="2" t="s">
        <v>21</v>
      </c>
      <c r="G720" s="2" t="s">
        <v>20</v>
      </c>
      <c r="H720" s="2">
        <v>28</v>
      </c>
      <c r="I720" s="2">
        <v>340</v>
      </c>
      <c r="J720" s="5">
        <v>289000</v>
      </c>
      <c r="K720" s="5">
        <v>95370</v>
      </c>
    </row>
    <row r="721" spans="1:11" x14ac:dyDescent="0.25">
      <c r="A721" s="2">
        <v>10720</v>
      </c>
      <c r="B721" s="2">
        <f t="shared" si="11"/>
        <v>2020</v>
      </c>
      <c r="C721" s="3">
        <v>44166</v>
      </c>
      <c r="D721" s="4">
        <v>44185</v>
      </c>
      <c r="E721" s="2" t="s">
        <v>14</v>
      </c>
      <c r="F721" s="2" t="s">
        <v>16</v>
      </c>
      <c r="G721" s="2" t="s">
        <v>20</v>
      </c>
      <c r="H721" s="2">
        <v>10</v>
      </c>
      <c r="I721" s="2">
        <v>122</v>
      </c>
      <c r="J721" s="5">
        <v>103700</v>
      </c>
      <c r="K721" s="5">
        <v>41480</v>
      </c>
    </row>
    <row r="722" spans="1:11" x14ac:dyDescent="0.25">
      <c r="A722" s="2">
        <v>10721</v>
      </c>
      <c r="B722" s="2">
        <f t="shared" si="11"/>
        <v>2020</v>
      </c>
      <c r="C722" s="3">
        <v>44166</v>
      </c>
      <c r="D722" s="4">
        <v>44186</v>
      </c>
      <c r="E722" s="2" t="s">
        <v>11</v>
      </c>
      <c r="F722" s="2" t="s">
        <v>12</v>
      </c>
      <c r="G722" s="2" t="s">
        <v>13</v>
      </c>
      <c r="H722" s="2">
        <v>15</v>
      </c>
      <c r="I722" s="2">
        <v>235</v>
      </c>
      <c r="J722" s="5">
        <v>176250</v>
      </c>
      <c r="K722" s="5">
        <v>31725</v>
      </c>
    </row>
    <row r="723" spans="1:11" x14ac:dyDescent="0.25">
      <c r="A723" s="2">
        <v>10722</v>
      </c>
      <c r="B723" s="2">
        <f t="shared" si="11"/>
        <v>2020</v>
      </c>
      <c r="C723" s="3">
        <v>44166</v>
      </c>
      <c r="D723" s="4">
        <v>44187</v>
      </c>
      <c r="E723" s="2" t="s">
        <v>14</v>
      </c>
      <c r="F723" s="2" t="s">
        <v>21</v>
      </c>
      <c r="G723" s="2" t="s">
        <v>13</v>
      </c>
      <c r="H723" s="2">
        <v>9</v>
      </c>
      <c r="I723" s="2">
        <v>273</v>
      </c>
      <c r="J723" s="5">
        <v>204750</v>
      </c>
      <c r="K723" s="5">
        <v>85995</v>
      </c>
    </row>
    <row r="724" spans="1:11" x14ac:dyDescent="0.25">
      <c r="A724" s="2">
        <v>10723</v>
      </c>
      <c r="B724" s="2">
        <f t="shared" si="11"/>
        <v>2020</v>
      </c>
      <c r="C724" s="3">
        <v>44166</v>
      </c>
      <c r="D724" s="4">
        <v>44188</v>
      </c>
      <c r="E724" s="2" t="s">
        <v>14</v>
      </c>
      <c r="F724" s="2" t="s">
        <v>18</v>
      </c>
      <c r="G724" s="2" t="s">
        <v>20</v>
      </c>
      <c r="H724" s="2">
        <v>5</v>
      </c>
      <c r="I724" s="2">
        <v>92</v>
      </c>
      <c r="J724" s="5">
        <v>78200</v>
      </c>
      <c r="K724" s="5">
        <v>15640</v>
      </c>
    </row>
    <row r="725" spans="1:11" x14ac:dyDescent="0.25">
      <c r="A725" s="2">
        <v>10724</v>
      </c>
      <c r="B725" s="2">
        <f t="shared" si="11"/>
        <v>2020</v>
      </c>
      <c r="C725" s="3">
        <v>44166</v>
      </c>
      <c r="D725" s="4">
        <v>44189</v>
      </c>
      <c r="E725" s="2" t="s">
        <v>22</v>
      </c>
      <c r="F725" s="2" t="s">
        <v>21</v>
      </c>
      <c r="G725" s="2" t="s">
        <v>23</v>
      </c>
      <c r="H725" s="2">
        <v>6</v>
      </c>
      <c r="I725" s="2">
        <v>79</v>
      </c>
      <c r="J725" s="5">
        <v>27650</v>
      </c>
      <c r="K725" s="5">
        <v>9124.5</v>
      </c>
    </row>
    <row r="726" spans="1:11" x14ac:dyDescent="0.25">
      <c r="A726" s="2">
        <v>10725</v>
      </c>
      <c r="B726" s="2">
        <f t="shared" si="11"/>
        <v>2020</v>
      </c>
      <c r="C726" s="3">
        <v>44166</v>
      </c>
      <c r="D726" s="4">
        <v>44190</v>
      </c>
      <c r="E726" s="2" t="s">
        <v>19</v>
      </c>
      <c r="F726" s="2" t="s">
        <v>18</v>
      </c>
      <c r="G726" s="2" t="s">
        <v>20</v>
      </c>
      <c r="H726" s="2">
        <v>22</v>
      </c>
      <c r="I726" s="2">
        <v>452</v>
      </c>
      <c r="J726" s="5">
        <v>384200</v>
      </c>
      <c r="K726" s="5">
        <v>149838</v>
      </c>
    </row>
    <row r="727" spans="1:11" x14ac:dyDescent="0.25">
      <c r="A727" s="2">
        <v>10726</v>
      </c>
      <c r="B727" s="2">
        <f t="shared" si="11"/>
        <v>2020</v>
      </c>
      <c r="C727" s="3">
        <v>44166</v>
      </c>
      <c r="D727" s="4">
        <v>44191</v>
      </c>
      <c r="E727" s="2" t="s">
        <v>14</v>
      </c>
      <c r="F727" s="2" t="s">
        <v>12</v>
      </c>
      <c r="G727" s="2" t="s">
        <v>13</v>
      </c>
      <c r="H727" s="2">
        <v>19</v>
      </c>
      <c r="I727" s="2">
        <v>392</v>
      </c>
      <c r="J727" s="5">
        <v>294000</v>
      </c>
      <c r="K727" s="5">
        <v>94080</v>
      </c>
    </row>
    <row r="728" spans="1:11" x14ac:dyDescent="0.25">
      <c r="A728" s="2">
        <v>10727</v>
      </c>
      <c r="B728" s="2">
        <f t="shared" si="11"/>
        <v>2020</v>
      </c>
      <c r="C728" s="3">
        <v>44166</v>
      </c>
      <c r="D728" s="4">
        <v>44192</v>
      </c>
      <c r="E728" s="2" t="s">
        <v>25</v>
      </c>
      <c r="F728" s="2" t="s">
        <v>12</v>
      </c>
      <c r="G728" s="2" t="s">
        <v>13</v>
      </c>
      <c r="H728" s="2">
        <v>5</v>
      </c>
      <c r="I728" s="2">
        <v>91</v>
      </c>
      <c r="J728" s="5">
        <v>68250</v>
      </c>
      <c r="K728" s="5">
        <v>9555</v>
      </c>
    </row>
    <row r="729" spans="1:11" x14ac:dyDescent="0.25">
      <c r="A729" s="2">
        <v>10728</v>
      </c>
      <c r="B729" s="2">
        <f t="shared" si="11"/>
        <v>2020</v>
      </c>
      <c r="C729" s="3">
        <v>44166</v>
      </c>
      <c r="D729" s="4">
        <v>44193</v>
      </c>
      <c r="E729" s="2" t="s">
        <v>11</v>
      </c>
      <c r="F729" s="2" t="s">
        <v>21</v>
      </c>
      <c r="G729" s="2" t="s">
        <v>23</v>
      </c>
      <c r="H729" s="2">
        <v>10</v>
      </c>
      <c r="I729" s="2">
        <v>110</v>
      </c>
      <c r="J729" s="5">
        <v>38500</v>
      </c>
      <c r="K729" s="5">
        <v>3850</v>
      </c>
    </row>
    <row r="730" spans="1:11" x14ac:dyDescent="0.25">
      <c r="A730" s="2">
        <v>10729</v>
      </c>
      <c r="B730" s="2">
        <f t="shared" si="11"/>
        <v>2020</v>
      </c>
      <c r="C730" s="3">
        <v>44166</v>
      </c>
      <c r="D730" s="4">
        <v>44194</v>
      </c>
      <c r="E730" s="2" t="s">
        <v>14</v>
      </c>
      <c r="F730" s="2" t="s">
        <v>18</v>
      </c>
      <c r="G730" s="2" t="s">
        <v>17</v>
      </c>
      <c r="H730" s="2">
        <v>3</v>
      </c>
      <c r="I730" s="2">
        <v>186</v>
      </c>
      <c r="J730" s="5">
        <v>46500</v>
      </c>
      <c r="K730" s="5">
        <v>9300</v>
      </c>
    </row>
    <row r="731" spans="1:11" x14ac:dyDescent="0.25">
      <c r="A731" s="2">
        <v>10730</v>
      </c>
      <c r="B731" s="2">
        <f t="shared" si="11"/>
        <v>2020</v>
      </c>
      <c r="C731" s="3">
        <v>44166</v>
      </c>
      <c r="D731" s="4">
        <v>44195</v>
      </c>
      <c r="E731" s="2" t="s">
        <v>11</v>
      </c>
      <c r="F731" s="2" t="s">
        <v>21</v>
      </c>
      <c r="G731" s="2" t="s">
        <v>20</v>
      </c>
      <c r="H731" s="2">
        <v>26</v>
      </c>
      <c r="I731" s="2">
        <v>296</v>
      </c>
      <c r="J731" s="5">
        <v>251600</v>
      </c>
      <c r="K731" s="5">
        <v>60384</v>
      </c>
    </row>
    <row r="732" spans="1:11" x14ac:dyDescent="0.25">
      <c r="A732" s="2">
        <v>10731</v>
      </c>
      <c r="B732" s="2">
        <f t="shared" si="11"/>
        <v>2020</v>
      </c>
      <c r="C732" s="3">
        <v>44166</v>
      </c>
      <c r="D732" s="4">
        <v>44196</v>
      </c>
      <c r="E732" s="2" t="s">
        <v>22</v>
      </c>
      <c r="F732" s="2" t="s">
        <v>18</v>
      </c>
      <c r="G732" s="2" t="s">
        <v>13</v>
      </c>
      <c r="H732" s="2">
        <v>27</v>
      </c>
      <c r="I732" s="2">
        <v>491</v>
      </c>
      <c r="J732" s="5">
        <v>368250</v>
      </c>
      <c r="K732" s="5">
        <v>81015</v>
      </c>
    </row>
    <row r="733" spans="1:11" x14ac:dyDescent="0.25">
      <c r="A733" s="2">
        <v>10732</v>
      </c>
      <c r="B733" s="2">
        <f t="shared" si="11"/>
        <v>2021</v>
      </c>
      <c r="C733" s="3">
        <v>44197</v>
      </c>
      <c r="D733" s="4">
        <v>44197</v>
      </c>
      <c r="E733" s="2" t="s">
        <v>19</v>
      </c>
      <c r="F733" s="2" t="s">
        <v>21</v>
      </c>
      <c r="G733" s="2" t="s">
        <v>13</v>
      </c>
      <c r="H733" s="2">
        <v>2</v>
      </c>
      <c r="I733" s="2">
        <v>25</v>
      </c>
      <c r="J733" s="5">
        <v>18750</v>
      </c>
      <c r="K733" s="5">
        <v>3937.5</v>
      </c>
    </row>
    <row r="734" spans="1:11" x14ac:dyDescent="0.25">
      <c r="A734" s="2">
        <v>10733</v>
      </c>
      <c r="B734" s="2">
        <f t="shared" si="11"/>
        <v>2021</v>
      </c>
      <c r="C734" s="3">
        <v>44197</v>
      </c>
      <c r="D734" s="4">
        <v>44198</v>
      </c>
      <c r="E734" s="2" t="s">
        <v>11</v>
      </c>
      <c r="F734" s="2" t="s">
        <v>16</v>
      </c>
      <c r="G734" s="2" t="s">
        <v>13</v>
      </c>
      <c r="H734" s="2">
        <v>10</v>
      </c>
      <c r="I734" s="2">
        <v>190</v>
      </c>
      <c r="J734" s="5">
        <v>142500</v>
      </c>
      <c r="K734" s="5">
        <v>48450</v>
      </c>
    </row>
    <row r="735" spans="1:11" x14ac:dyDescent="0.25">
      <c r="A735" s="2">
        <v>10734</v>
      </c>
      <c r="B735" s="2">
        <f t="shared" si="11"/>
        <v>2021</v>
      </c>
      <c r="C735" s="3">
        <v>44197</v>
      </c>
      <c r="D735" s="4">
        <v>44199</v>
      </c>
      <c r="E735" s="2" t="s">
        <v>14</v>
      </c>
      <c r="F735" s="2" t="s">
        <v>18</v>
      </c>
      <c r="G735" s="2" t="s">
        <v>20</v>
      </c>
      <c r="H735" s="2">
        <v>24</v>
      </c>
      <c r="I735" s="2">
        <v>267</v>
      </c>
      <c r="J735" s="5">
        <v>226950</v>
      </c>
      <c r="K735" s="5">
        <v>38581.5</v>
      </c>
    </row>
    <row r="736" spans="1:11" x14ac:dyDescent="0.25">
      <c r="A736" s="2">
        <v>10735</v>
      </c>
      <c r="B736" s="2">
        <f t="shared" si="11"/>
        <v>2021</v>
      </c>
      <c r="C736" s="3">
        <v>44197</v>
      </c>
      <c r="D736" s="4">
        <v>44200</v>
      </c>
      <c r="E736" s="2" t="s">
        <v>14</v>
      </c>
      <c r="F736" s="2" t="s">
        <v>18</v>
      </c>
      <c r="G736" s="2" t="s">
        <v>17</v>
      </c>
      <c r="H736" s="2">
        <v>21</v>
      </c>
      <c r="I736" s="2">
        <v>468</v>
      </c>
      <c r="J736" s="5">
        <v>117000</v>
      </c>
      <c r="K736" s="5">
        <v>46800</v>
      </c>
    </row>
    <row r="737" spans="1:11" x14ac:dyDescent="0.25">
      <c r="A737" s="2">
        <v>10736</v>
      </c>
      <c r="B737" s="2">
        <f t="shared" si="11"/>
        <v>2021</v>
      </c>
      <c r="C737" s="3">
        <v>44197</v>
      </c>
      <c r="D737" s="4">
        <v>44201</v>
      </c>
      <c r="E737" s="2" t="s">
        <v>11</v>
      </c>
      <c r="F737" s="2" t="s">
        <v>21</v>
      </c>
      <c r="G737" s="2" t="s">
        <v>15</v>
      </c>
      <c r="H737" s="2">
        <v>9</v>
      </c>
      <c r="I737" s="2">
        <v>178</v>
      </c>
      <c r="J737" s="5">
        <v>89000</v>
      </c>
      <c r="K737" s="5">
        <v>14240</v>
      </c>
    </row>
    <row r="738" spans="1:11" x14ac:dyDescent="0.25">
      <c r="A738" s="2">
        <v>10737</v>
      </c>
      <c r="B738" s="2">
        <f t="shared" si="11"/>
        <v>2021</v>
      </c>
      <c r="C738" s="3">
        <v>44197</v>
      </c>
      <c r="D738" s="4">
        <v>44202</v>
      </c>
      <c r="E738" s="2" t="s">
        <v>14</v>
      </c>
      <c r="F738" s="2" t="s">
        <v>21</v>
      </c>
      <c r="G738" s="2" t="s">
        <v>13</v>
      </c>
      <c r="H738" s="2">
        <v>4</v>
      </c>
      <c r="I738" s="2">
        <v>66</v>
      </c>
      <c r="J738" s="5">
        <v>49500</v>
      </c>
      <c r="K738" s="5">
        <v>9405</v>
      </c>
    </row>
    <row r="739" spans="1:11" x14ac:dyDescent="0.25">
      <c r="A739" s="2">
        <v>10738</v>
      </c>
      <c r="B739" s="2">
        <f t="shared" si="11"/>
        <v>2021</v>
      </c>
      <c r="C739" s="3">
        <v>44197</v>
      </c>
      <c r="D739" s="4">
        <v>44203</v>
      </c>
      <c r="E739" s="2" t="s">
        <v>19</v>
      </c>
      <c r="F739" s="2" t="s">
        <v>24</v>
      </c>
      <c r="G739" s="2" t="s">
        <v>20</v>
      </c>
      <c r="H739" s="2">
        <v>7</v>
      </c>
      <c r="I739" s="2">
        <v>160</v>
      </c>
      <c r="J739" s="5">
        <v>136000</v>
      </c>
      <c r="K739" s="5">
        <v>20400</v>
      </c>
    </row>
    <row r="740" spans="1:11" x14ac:dyDescent="0.25">
      <c r="A740" s="2">
        <v>10739</v>
      </c>
      <c r="B740" s="2">
        <f t="shared" si="11"/>
        <v>2021</v>
      </c>
      <c r="C740" s="3">
        <v>44197</v>
      </c>
      <c r="D740" s="4">
        <v>44204</v>
      </c>
      <c r="E740" s="2" t="s">
        <v>19</v>
      </c>
      <c r="F740" s="2" t="s">
        <v>18</v>
      </c>
      <c r="G740" s="2" t="s">
        <v>15</v>
      </c>
      <c r="H740" s="2">
        <v>11</v>
      </c>
      <c r="I740" s="2">
        <v>144</v>
      </c>
      <c r="J740" s="5">
        <v>72000</v>
      </c>
      <c r="K740" s="5">
        <v>20880</v>
      </c>
    </row>
    <row r="741" spans="1:11" x14ac:dyDescent="0.25">
      <c r="A741" s="2">
        <v>10740</v>
      </c>
      <c r="B741" s="2">
        <f t="shared" si="11"/>
        <v>2021</v>
      </c>
      <c r="C741" s="3">
        <v>44197</v>
      </c>
      <c r="D741" s="4">
        <v>44205</v>
      </c>
      <c r="E741" s="2" t="s">
        <v>11</v>
      </c>
      <c r="F741" s="2" t="s">
        <v>18</v>
      </c>
      <c r="G741" s="2" t="s">
        <v>23</v>
      </c>
      <c r="H741" s="2">
        <v>6</v>
      </c>
      <c r="I741" s="2">
        <v>383</v>
      </c>
      <c r="J741" s="5">
        <v>134050</v>
      </c>
      <c r="K741" s="5">
        <v>53620</v>
      </c>
    </row>
    <row r="742" spans="1:11" x14ac:dyDescent="0.25">
      <c r="A742" s="2">
        <v>10741</v>
      </c>
      <c r="B742" s="2">
        <f t="shared" si="11"/>
        <v>2021</v>
      </c>
      <c r="C742" s="3">
        <v>44197</v>
      </c>
      <c r="D742" s="4">
        <v>44206</v>
      </c>
      <c r="E742" s="2" t="s">
        <v>14</v>
      </c>
      <c r="F742" s="2" t="s">
        <v>16</v>
      </c>
      <c r="G742" s="2" t="s">
        <v>23</v>
      </c>
      <c r="H742" s="2">
        <v>14</v>
      </c>
      <c r="I742" s="2">
        <v>338</v>
      </c>
      <c r="J742" s="5">
        <v>118300</v>
      </c>
      <c r="K742" s="5">
        <v>22477</v>
      </c>
    </row>
    <row r="743" spans="1:11" x14ac:dyDescent="0.25">
      <c r="A743" s="2">
        <v>10742</v>
      </c>
      <c r="B743" s="2">
        <f t="shared" si="11"/>
        <v>2021</v>
      </c>
      <c r="C743" s="3">
        <v>44197</v>
      </c>
      <c r="D743" s="4">
        <v>44207</v>
      </c>
      <c r="E743" s="2" t="s">
        <v>14</v>
      </c>
      <c r="F743" s="2" t="s">
        <v>18</v>
      </c>
      <c r="G743" s="2" t="s">
        <v>15</v>
      </c>
      <c r="H743" s="2">
        <v>17</v>
      </c>
      <c r="I743" s="2">
        <v>186</v>
      </c>
      <c r="J743" s="5">
        <v>93000</v>
      </c>
      <c r="K743" s="5">
        <v>21390</v>
      </c>
    </row>
    <row r="744" spans="1:11" x14ac:dyDescent="0.25">
      <c r="A744" s="2">
        <v>10743</v>
      </c>
      <c r="B744" s="2">
        <f t="shared" si="11"/>
        <v>2021</v>
      </c>
      <c r="C744" s="3">
        <v>44197</v>
      </c>
      <c r="D744" s="4">
        <v>44208</v>
      </c>
      <c r="E744" s="2" t="s">
        <v>11</v>
      </c>
      <c r="F744" s="2" t="s">
        <v>21</v>
      </c>
      <c r="G744" s="2" t="s">
        <v>13</v>
      </c>
      <c r="H744" s="2">
        <v>48</v>
      </c>
      <c r="I744" s="2">
        <v>493</v>
      </c>
      <c r="J744" s="5">
        <v>369750</v>
      </c>
      <c r="K744" s="5">
        <v>59160</v>
      </c>
    </row>
    <row r="745" spans="1:11" x14ac:dyDescent="0.25">
      <c r="A745" s="2">
        <v>10744</v>
      </c>
      <c r="B745" s="2">
        <f t="shared" si="11"/>
        <v>2021</v>
      </c>
      <c r="C745" s="3">
        <v>44197</v>
      </c>
      <c r="D745" s="4">
        <v>44209</v>
      </c>
      <c r="E745" s="2" t="s">
        <v>19</v>
      </c>
      <c r="F745" s="2" t="s">
        <v>24</v>
      </c>
      <c r="G745" s="2" t="s">
        <v>13</v>
      </c>
      <c r="H745" s="2">
        <v>8</v>
      </c>
      <c r="I745" s="2">
        <v>157</v>
      </c>
      <c r="J745" s="5">
        <v>117750</v>
      </c>
      <c r="K745" s="5">
        <v>47100</v>
      </c>
    </row>
    <row r="746" spans="1:11" x14ac:dyDescent="0.25">
      <c r="A746" s="2">
        <v>10745</v>
      </c>
      <c r="B746" s="2">
        <f t="shared" si="11"/>
        <v>2021</v>
      </c>
      <c r="C746" s="3">
        <v>44197</v>
      </c>
      <c r="D746" s="4">
        <v>44210</v>
      </c>
      <c r="E746" s="2" t="s">
        <v>19</v>
      </c>
      <c r="F746" s="2" t="s">
        <v>18</v>
      </c>
      <c r="G746" s="2" t="s">
        <v>20</v>
      </c>
      <c r="H746" s="2">
        <v>1</v>
      </c>
      <c r="I746" s="2">
        <v>51</v>
      </c>
      <c r="J746" s="5">
        <v>43350</v>
      </c>
      <c r="K746" s="5">
        <v>12138.000000000002</v>
      </c>
    </row>
    <row r="747" spans="1:11" x14ac:dyDescent="0.25">
      <c r="A747" s="2">
        <v>10746</v>
      </c>
      <c r="B747" s="2">
        <f t="shared" si="11"/>
        <v>2021</v>
      </c>
      <c r="C747" s="3">
        <v>44197</v>
      </c>
      <c r="D747" s="4">
        <v>44211</v>
      </c>
      <c r="E747" s="2" t="s">
        <v>11</v>
      </c>
      <c r="F747" s="2" t="s">
        <v>24</v>
      </c>
      <c r="G747" s="2" t="s">
        <v>20</v>
      </c>
      <c r="H747" s="2">
        <v>8</v>
      </c>
      <c r="I747" s="2">
        <v>139</v>
      </c>
      <c r="J747" s="5">
        <v>118150</v>
      </c>
      <c r="K747" s="5">
        <v>12996.5</v>
      </c>
    </row>
    <row r="748" spans="1:11" x14ac:dyDescent="0.25">
      <c r="A748" s="2">
        <v>10747</v>
      </c>
      <c r="B748" s="2">
        <f t="shared" si="11"/>
        <v>2021</v>
      </c>
      <c r="C748" s="3">
        <v>44197</v>
      </c>
      <c r="D748" s="4">
        <v>44212</v>
      </c>
      <c r="E748" s="2" t="s">
        <v>19</v>
      </c>
      <c r="F748" s="2" t="s">
        <v>12</v>
      </c>
      <c r="G748" s="2" t="s">
        <v>20</v>
      </c>
      <c r="H748" s="2">
        <v>6</v>
      </c>
      <c r="I748" s="2">
        <v>222</v>
      </c>
      <c r="J748" s="5">
        <v>188700</v>
      </c>
      <c r="K748" s="5">
        <v>35853</v>
      </c>
    </row>
    <row r="749" spans="1:11" x14ac:dyDescent="0.25">
      <c r="A749" s="2">
        <v>10748</v>
      </c>
      <c r="B749" s="2">
        <f t="shared" si="11"/>
        <v>2021</v>
      </c>
      <c r="C749" s="3">
        <v>44197</v>
      </c>
      <c r="D749" s="4">
        <v>44213</v>
      </c>
      <c r="E749" s="2" t="s">
        <v>11</v>
      </c>
      <c r="F749" s="2" t="s">
        <v>21</v>
      </c>
      <c r="G749" s="2" t="s">
        <v>15</v>
      </c>
      <c r="H749" s="2">
        <v>15</v>
      </c>
      <c r="I749" s="2">
        <v>226</v>
      </c>
      <c r="J749" s="5">
        <v>113000</v>
      </c>
      <c r="K749" s="5">
        <v>15820.000000000002</v>
      </c>
    </row>
    <row r="750" spans="1:11" x14ac:dyDescent="0.25">
      <c r="A750" s="2">
        <v>10749</v>
      </c>
      <c r="B750" s="2">
        <f t="shared" si="11"/>
        <v>2021</v>
      </c>
      <c r="C750" s="3">
        <v>44197</v>
      </c>
      <c r="D750" s="4">
        <v>44214</v>
      </c>
      <c r="E750" s="2" t="s">
        <v>11</v>
      </c>
      <c r="F750" s="2" t="s">
        <v>24</v>
      </c>
      <c r="G750" s="2" t="s">
        <v>13</v>
      </c>
      <c r="H750" s="2">
        <v>12</v>
      </c>
      <c r="I750" s="2">
        <v>221</v>
      </c>
      <c r="J750" s="5">
        <v>165750</v>
      </c>
      <c r="K750" s="5">
        <v>71272.5</v>
      </c>
    </row>
    <row r="751" spans="1:11" x14ac:dyDescent="0.25">
      <c r="A751" s="2">
        <v>10750</v>
      </c>
      <c r="B751" s="2">
        <f t="shared" si="11"/>
        <v>2021</v>
      </c>
      <c r="C751" s="3">
        <v>44197</v>
      </c>
      <c r="D751" s="4">
        <v>44215</v>
      </c>
      <c r="E751" s="2" t="s">
        <v>19</v>
      </c>
      <c r="F751" s="2" t="s">
        <v>24</v>
      </c>
      <c r="G751" s="2" t="s">
        <v>17</v>
      </c>
      <c r="H751" s="2">
        <v>5</v>
      </c>
      <c r="I751" s="2">
        <v>380</v>
      </c>
      <c r="J751" s="5">
        <v>95000</v>
      </c>
      <c r="K751" s="5">
        <v>37050</v>
      </c>
    </row>
    <row r="752" spans="1:11" x14ac:dyDescent="0.25">
      <c r="A752" s="2">
        <v>10751</v>
      </c>
      <c r="B752" s="2">
        <f t="shared" si="11"/>
        <v>2021</v>
      </c>
      <c r="C752" s="3">
        <v>44197</v>
      </c>
      <c r="D752" s="4">
        <v>44216</v>
      </c>
      <c r="E752" s="2" t="s">
        <v>25</v>
      </c>
      <c r="F752" s="2" t="s">
        <v>21</v>
      </c>
      <c r="G752" s="2" t="s">
        <v>17</v>
      </c>
      <c r="H752" s="2">
        <v>17</v>
      </c>
      <c r="I752" s="2">
        <v>415</v>
      </c>
      <c r="J752" s="5">
        <v>103750</v>
      </c>
      <c r="K752" s="5">
        <v>33200</v>
      </c>
    </row>
    <row r="753" spans="1:11" x14ac:dyDescent="0.25">
      <c r="A753" s="2">
        <v>10752</v>
      </c>
      <c r="B753" s="2">
        <f t="shared" si="11"/>
        <v>2021</v>
      </c>
      <c r="C753" s="3">
        <v>44197</v>
      </c>
      <c r="D753" s="4">
        <v>44217</v>
      </c>
      <c r="E753" s="2" t="s">
        <v>22</v>
      </c>
      <c r="F753" s="2" t="s">
        <v>12</v>
      </c>
      <c r="G753" s="2" t="s">
        <v>17</v>
      </c>
      <c r="H753" s="2">
        <v>7</v>
      </c>
      <c r="I753" s="2">
        <v>151</v>
      </c>
      <c r="J753" s="5">
        <v>37750</v>
      </c>
      <c r="K753" s="5">
        <v>3775</v>
      </c>
    </row>
    <row r="754" spans="1:11" x14ac:dyDescent="0.25">
      <c r="A754" s="2">
        <v>10753</v>
      </c>
      <c r="B754" s="2">
        <f t="shared" si="11"/>
        <v>2021</v>
      </c>
      <c r="C754" s="3">
        <v>44197</v>
      </c>
      <c r="D754" s="4">
        <v>44218</v>
      </c>
      <c r="E754" s="2" t="s">
        <v>22</v>
      </c>
      <c r="F754" s="2" t="s">
        <v>12</v>
      </c>
      <c r="G754" s="2" t="s">
        <v>13</v>
      </c>
      <c r="H754" s="2">
        <v>5</v>
      </c>
      <c r="I754" s="2">
        <v>127</v>
      </c>
      <c r="J754" s="5">
        <v>95250</v>
      </c>
      <c r="K754" s="5">
        <v>32385.000000000004</v>
      </c>
    </row>
    <row r="755" spans="1:11" x14ac:dyDescent="0.25">
      <c r="A755" s="2">
        <v>10754</v>
      </c>
      <c r="B755" s="2">
        <f t="shared" si="11"/>
        <v>2021</v>
      </c>
      <c r="C755" s="3">
        <v>44197</v>
      </c>
      <c r="D755" s="4">
        <v>44219</v>
      </c>
      <c r="E755" s="2" t="s">
        <v>14</v>
      </c>
      <c r="F755" s="2" t="s">
        <v>21</v>
      </c>
      <c r="G755" s="2" t="s">
        <v>23</v>
      </c>
      <c r="H755" s="2">
        <v>21</v>
      </c>
      <c r="I755" s="2">
        <v>314</v>
      </c>
      <c r="J755" s="5">
        <v>109900</v>
      </c>
      <c r="K755" s="5">
        <v>12089</v>
      </c>
    </row>
    <row r="756" spans="1:11" x14ac:dyDescent="0.25">
      <c r="A756" s="2">
        <v>10755</v>
      </c>
      <c r="B756" s="2">
        <f t="shared" si="11"/>
        <v>2021</v>
      </c>
      <c r="C756" s="3">
        <v>44197</v>
      </c>
      <c r="D756" s="4">
        <v>44220</v>
      </c>
      <c r="E756" s="2" t="s">
        <v>22</v>
      </c>
      <c r="F756" s="2" t="s">
        <v>24</v>
      </c>
      <c r="G756" s="2" t="s">
        <v>20</v>
      </c>
      <c r="H756" s="2">
        <v>36</v>
      </c>
      <c r="I756" s="2">
        <v>401</v>
      </c>
      <c r="J756" s="5">
        <v>340850</v>
      </c>
      <c r="K756" s="5">
        <v>78395.5</v>
      </c>
    </row>
    <row r="757" spans="1:11" x14ac:dyDescent="0.25">
      <c r="A757" s="2">
        <v>10756</v>
      </c>
      <c r="B757" s="2">
        <f t="shared" si="11"/>
        <v>2021</v>
      </c>
      <c r="C757" s="3">
        <v>44197</v>
      </c>
      <c r="D757" s="4">
        <v>44221</v>
      </c>
      <c r="E757" s="2" t="s">
        <v>14</v>
      </c>
      <c r="F757" s="2" t="s">
        <v>18</v>
      </c>
      <c r="G757" s="2" t="s">
        <v>23</v>
      </c>
      <c r="H757" s="2">
        <v>16</v>
      </c>
      <c r="I757" s="2">
        <v>202</v>
      </c>
      <c r="J757" s="5">
        <v>70700</v>
      </c>
      <c r="K757" s="5">
        <v>22624</v>
      </c>
    </row>
    <row r="758" spans="1:11" x14ac:dyDescent="0.25">
      <c r="A758" s="2">
        <v>10757</v>
      </c>
      <c r="B758" s="2">
        <f t="shared" si="11"/>
        <v>2021</v>
      </c>
      <c r="C758" s="3">
        <v>44197</v>
      </c>
      <c r="D758" s="4">
        <v>44222</v>
      </c>
      <c r="E758" s="2" t="s">
        <v>11</v>
      </c>
      <c r="F758" s="2" t="s">
        <v>16</v>
      </c>
      <c r="G758" s="2" t="s">
        <v>15</v>
      </c>
      <c r="H758" s="2">
        <v>34</v>
      </c>
      <c r="I758" s="2">
        <v>382</v>
      </c>
      <c r="J758" s="5">
        <v>191000</v>
      </c>
      <c r="K758" s="5">
        <v>38200</v>
      </c>
    </row>
    <row r="759" spans="1:11" x14ac:dyDescent="0.25">
      <c r="A759" s="2">
        <v>10758</v>
      </c>
      <c r="B759" s="2">
        <f t="shared" si="11"/>
        <v>2021</v>
      </c>
      <c r="C759" s="3">
        <v>44197</v>
      </c>
      <c r="D759" s="4">
        <v>44223</v>
      </c>
      <c r="E759" s="2" t="s">
        <v>22</v>
      </c>
      <c r="F759" s="2" t="s">
        <v>18</v>
      </c>
      <c r="G759" s="2" t="s">
        <v>20</v>
      </c>
      <c r="H759" s="2">
        <v>13</v>
      </c>
      <c r="I759" s="2">
        <v>456</v>
      </c>
      <c r="J759" s="5">
        <v>387600</v>
      </c>
      <c r="K759" s="5">
        <v>73644</v>
      </c>
    </row>
    <row r="760" spans="1:11" x14ac:dyDescent="0.25">
      <c r="A760" s="2">
        <v>10759</v>
      </c>
      <c r="B760" s="2">
        <f t="shared" si="11"/>
        <v>2021</v>
      </c>
      <c r="C760" s="3">
        <v>44197</v>
      </c>
      <c r="D760" s="4">
        <v>44224</v>
      </c>
      <c r="E760" s="2" t="s">
        <v>14</v>
      </c>
      <c r="F760" s="2" t="s">
        <v>21</v>
      </c>
      <c r="G760" s="2" t="s">
        <v>15</v>
      </c>
      <c r="H760" s="2">
        <v>3</v>
      </c>
      <c r="I760" s="2">
        <v>215</v>
      </c>
      <c r="J760" s="5">
        <v>107500</v>
      </c>
      <c r="K760" s="5">
        <v>39775</v>
      </c>
    </row>
    <row r="761" spans="1:11" x14ac:dyDescent="0.25">
      <c r="A761" s="2">
        <v>10760</v>
      </c>
      <c r="B761" s="2">
        <f t="shared" si="11"/>
        <v>2021</v>
      </c>
      <c r="C761" s="3">
        <v>44197</v>
      </c>
      <c r="D761" s="4">
        <v>44225</v>
      </c>
      <c r="E761" s="2" t="s">
        <v>14</v>
      </c>
      <c r="F761" s="2" t="s">
        <v>16</v>
      </c>
      <c r="G761" s="2" t="s">
        <v>15</v>
      </c>
      <c r="H761" s="2">
        <v>36</v>
      </c>
      <c r="I761" s="2">
        <v>378</v>
      </c>
      <c r="J761" s="5">
        <v>189000</v>
      </c>
      <c r="K761" s="5">
        <v>83160</v>
      </c>
    </row>
    <row r="762" spans="1:11" x14ac:dyDescent="0.25">
      <c r="A762" s="2">
        <v>10761</v>
      </c>
      <c r="B762" s="2">
        <f t="shared" si="11"/>
        <v>2021</v>
      </c>
      <c r="C762" s="3">
        <v>44197</v>
      </c>
      <c r="D762" s="4">
        <v>44226</v>
      </c>
      <c r="E762" s="2" t="s">
        <v>11</v>
      </c>
      <c r="F762" s="2" t="s">
        <v>12</v>
      </c>
      <c r="G762" s="2" t="s">
        <v>23</v>
      </c>
      <c r="H762" s="2">
        <v>16</v>
      </c>
      <c r="I762" s="2">
        <v>495</v>
      </c>
      <c r="J762" s="5">
        <v>173250</v>
      </c>
      <c r="K762" s="5">
        <v>32917.5</v>
      </c>
    </row>
    <row r="763" spans="1:11" x14ac:dyDescent="0.25">
      <c r="A763" s="2">
        <v>10762</v>
      </c>
      <c r="B763" s="2">
        <f t="shared" si="11"/>
        <v>2021</v>
      </c>
      <c r="C763" s="3">
        <v>44197</v>
      </c>
      <c r="D763" s="4">
        <v>44227</v>
      </c>
      <c r="E763" s="2" t="s">
        <v>14</v>
      </c>
      <c r="F763" s="2" t="s">
        <v>21</v>
      </c>
      <c r="G763" s="2" t="s">
        <v>23</v>
      </c>
      <c r="H763" s="2">
        <v>4</v>
      </c>
      <c r="I763" s="2">
        <v>128</v>
      </c>
      <c r="J763" s="5">
        <v>44800</v>
      </c>
      <c r="K763" s="5">
        <v>17024</v>
      </c>
    </row>
    <row r="764" spans="1:11" x14ac:dyDescent="0.25">
      <c r="A764" s="2">
        <v>10763</v>
      </c>
      <c r="B764" s="2">
        <f t="shared" si="11"/>
        <v>2021</v>
      </c>
      <c r="C764" s="3">
        <v>44228</v>
      </c>
      <c r="D764" s="4">
        <v>44228</v>
      </c>
      <c r="E764" s="2" t="s">
        <v>25</v>
      </c>
      <c r="F764" s="2" t="s">
        <v>24</v>
      </c>
      <c r="G764" s="2" t="s">
        <v>17</v>
      </c>
      <c r="H764" s="2">
        <v>19</v>
      </c>
      <c r="I764" s="2">
        <v>458</v>
      </c>
      <c r="J764" s="5">
        <v>114500</v>
      </c>
      <c r="K764" s="5">
        <v>42365</v>
      </c>
    </row>
    <row r="765" spans="1:11" x14ac:dyDescent="0.25">
      <c r="A765" s="2">
        <v>10764</v>
      </c>
      <c r="B765" s="2">
        <f t="shared" si="11"/>
        <v>2021</v>
      </c>
      <c r="C765" s="3">
        <v>44228</v>
      </c>
      <c r="D765" s="4">
        <v>44229</v>
      </c>
      <c r="E765" s="2" t="s">
        <v>14</v>
      </c>
      <c r="F765" s="2" t="s">
        <v>12</v>
      </c>
      <c r="G765" s="2" t="s">
        <v>13</v>
      </c>
      <c r="H765" s="2">
        <v>7</v>
      </c>
      <c r="I765" s="2">
        <v>457</v>
      </c>
      <c r="J765" s="5">
        <v>342750</v>
      </c>
      <c r="K765" s="5">
        <v>78832.5</v>
      </c>
    </row>
    <row r="766" spans="1:11" x14ac:dyDescent="0.25">
      <c r="A766" s="2">
        <v>10765</v>
      </c>
      <c r="B766" s="2">
        <f t="shared" si="11"/>
        <v>2021</v>
      </c>
      <c r="C766" s="3">
        <v>44228</v>
      </c>
      <c r="D766" s="4">
        <v>44230</v>
      </c>
      <c r="E766" s="2" t="s">
        <v>25</v>
      </c>
      <c r="F766" s="2" t="s">
        <v>16</v>
      </c>
      <c r="G766" s="2" t="s">
        <v>23</v>
      </c>
      <c r="H766" s="2">
        <v>3</v>
      </c>
      <c r="I766" s="2">
        <v>200</v>
      </c>
      <c r="J766" s="5">
        <v>70000</v>
      </c>
      <c r="K766" s="5">
        <v>7000</v>
      </c>
    </row>
    <row r="767" spans="1:11" x14ac:dyDescent="0.25">
      <c r="A767" s="2">
        <v>10766</v>
      </c>
      <c r="B767" s="2">
        <f t="shared" si="11"/>
        <v>2021</v>
      </c>
      <c r="C767" s="3">
        <v>44228</v>
      </c>
      <c r="D767" s="4">
        <v>44231</v>
      </c>
      <c r="E767" s="2" t="s">
        <v>11</v>
      </c>
      <c r="F767" s="2" t="s">
        <v>24</v>
      </c>
      <c r="G767" s="2" t="s">
        <v>20</v>
      </c>
      <c r="H767" s="2">
        <v>1</v>
      </c>
      <c r="I767" s="2">
        <v>75</v>
      </c>
      <c r="J767" s="5">
        <v>63750</v>
      </c>
      <c r="K767" s="5">
        <v>6375</v>
      </c>
    </row>
    <row r="768" spans="1:11" x14ac:dyDescent="0.25">
      <c r="A768" s="2">
        <v>10767</v>
      </c>
      <c r="B768" s="2">
        <f t="shared" si="11"/>
        <v>2021</v>
      </c>
      <c r="C768" s="3">
        <v>44228</v>
      </c>
      <c r="D768" s="4">
        <v>44232</v>
      </c>
      <c r="E768" s="2" t="s">
        <v>19</v>
      </c>
      <c r="F768" s="2" t="s">
        <v>21</v>
      </c>
      <c r="G768" s="2" t="s">
        <v>20</v>
      </c>
      <c r="H768" s="2">
        <v>4</v>
      </c>
      <c r="I768" s="2">
        <v>57</v>
      </c>
      <c r="J768" s="5">
        <v>48450</v>
      </c>
      <c r="K768" s="5">
        <v>14050.499999999998</v>
      </c>
    </row>
    <row r="769" spans="1:11" x14ac:dyDescent="0.25">
      <c r="A769" s="2">
        <v>10768</v>
      </c>
      <c r="B769" s="2">
        <f t="shared" si="11"/>
        <v>2021</v>
      </c>
      <c r="C769" s="3">
        <v>44228</v>
      </c>
      <c r="D769" s="4">
        <v>44233</v>
      </c>
      <c r="E769" s="2" t="s">
        <v>19</v>
      </c>
      <c r="F769" s="2" t="s">
        <v>24</v>
      </c>
      <c r="G769" s="2" t="s">
        <v>13</v>
      </c>
      <c r="H769" s="2">
        <v>35</v>
      </c>
      <c r="I769" s="2">
        <v>383</v>
      </c>
      <c r="J769" s="5">
        <v>287250</v>
      </c>
      <c r="K769" s="5">
        <v>37342.5</v>
      </c>
    </row>
    <row r="770" spans="1:11" x14ac:dyDescent="0.25">
      <c r="A770" s="2">
        <v>10769</v>
      </c>
      <c r="B770" s="2">
        <f t="shared" si="11"/>
        <v>2021</v>
      </c>
      <c r="C770" s="3">
        <v>44228</v>
      </c>
      <c r="D770" s="4">
        <v>44234</v>
      </c>
      <c r="E770" s="2" t="s">
        <v>11</v>
      </c>
      <c r="F770" s="2" t="s">
        <v>21</v>
      </c>
      <c r="G770" s="2" t="s">
        <v>13</v>
      </c>
      <c r="H770" s="2">
        <v>25</v>
      </c>
      <c r="I770" s="2">
        <v>286</v>
      </c>
      <c r="J770" s="5">
        <v>214500</v>
      </c>
      <c r="K770" s="5">
        <v>96525</v>
      </c>
    </row>
    <row r="771" spans="1:11" x14ac:dyDescent="0.25">
      <c r="A771" s="2">
        <v>10770</v>
      </c>
      <c r="B771" s="2">
        <f t="shared" ref="B771:B834" si="12">YEAR(C771)</f>
        <v>2021</v>
      </c>
      <c r="C771" s="3">
        <v>44228</v>
      </c>
      <c r="D771" s="4">
        <v>44235</v>
      </c>
      <c r="E771" s="2" t="s">
        <v>22</v>
      </c>
      <c r="F771" s="2" t="s">
        <v>21</v>
      </c>
      <c r="G771" s="2" t="s">
        <v>20</v>
      </c>
      <c r="H771" s="2">
        <v>24</v>
      </c>
      <c r="I771" s="2">
        <v>322</v>
      </c>
      <c r="J771" s="5">
        <v>273700</v>
      </c>
      <c r="K771" s="5">
        <v>30107</v>
      </c>
    </row>
    <row r="772" spans="1:11" x14ac:dyDescent="0.25">
      <c r="A772" s="2">
        <v>10771</v>
      </c>
      <c r="B772" s="2">
        <f t="shared" si="12"/>
        <v>2021</v>
      </c>
      <c r="C772" s="3">
        <v>44228</v>
      </c>
      <c r="D772" s="4">
        <v>44236</v>
      </c>
      <c r="E772" s="2" t="s">
        <v>11</v>
      </c>
      <c r="F772" s="2" t="s">
        <v>12</v>
      </c>
      <c r="G772" s="2" t="s">
        <v>20</v>
      </c>
      <c r="H772" s="2">
        <v>12</v>
      </c>
      <c r="I772" s="2">
        <v>340</v>
      </c>
      <c r="J772" s="5">
        <v>289000</v>
      </c>
      <c r="K772" s="5">
        <v>112710</v>
      </c>
    </row>
    <row r="773" spans="1:11" x14ac:dyDescent="0.25">
      <c r="A773" s="2">
        <v>10772</v>
      </c>
      <c r="B773" s="2">
        <f t="shared" si="12"/>
        <v>2021</v>
      </c>
      <c r="C773" s="3">
        <v>44228</v>
      </c>
      <c r="D773" s="4">
        <v>44237</v>
      </c>
      <c r="E773" s="2" t="s">
        <v>14</v>
      </c>
      <c r="F773" s="2" t="s">
        <v>24</v>
      </c>
      <c r="G773" s="2" t="s">
        <v>15</v>
      </c>
      <c r="H773" s="2">
        <v>6</v>
      </c>
      <c r="I773" s="2">
        <v>490</v>
      </c>
      <c r="J773" s="5">
        <v>245000</v>
      </c>
      <c r="K773" s="5">
        <v>53900</v>
      </c>
    </row>
    <row r="774" spans="1:11" x14ac:dyDescent="0.25">
      <c r="A774" s="2">
        <v>10773</v>
      </c>
      <c r="B774" s="2">
        <f t="shared" si="12"/>
        <v>2021</v>
      </c>
      <c r="C774" s="3">
        <v>44228</v>
      </c>
      <c r="D774" s="4">
        <v>44238</v>
      </c>
      <c r="E774" s="2" t="s">
        <v>11</v>
      </c>
      <c r="F774" s="2" t="s">
        <v>18</v>
      </c>
      <c r="G774" s="2" t="s">
        <v>20</v>
      </c>
      <c r="H774" s="2">
        <v>10</v>
      </c>
      <c r="I774" s="2">
        <v>146</v>
      </c>
      <c r="J774" s="5">
        <v>124100</v>
      </c>
      <c r="K774" s="5">
        <v>31025</v>
      </c>
    </row>
    <row r="775" spans="1:11" x14ac:dyDescent="0.25">
      <c r="A775" s="2">
        <v>10774</v>
      </c>
      <c r="B775" s="2">
        <f t="shared" si="12"/>
        <v>2021</v>
      </c>
      <c r="C775" s="3">
        <v>44228</v>
      </c>
      <c r="D775" s="4">
        <v>44239</v>
      </c>
      <c r="E775" s="2" t="s">
        <v>22</v>
      </c>
      <c r="F775" s="2" t="s">
        <v>18</v>
      </c>
      <c r="G775" s="2" t="s">
        <v>23</v>
      </c>
      <c r="H775" s="2">
        <v>3</v>
      </c>
      <c r="I775" s="2">
        <v>213</v>
      </c>
      <c r="J775" s="5">
        <v>74550</v>
      </c>
      <c r="K775" s="5">
        <v>28329</v>
      </c>
    </row>
    <row r="776" spans="1:11" x14ac:dyDescent="0.25">
      <c r="A776" s="2">
        <v>10775</v>
      </c>
      <c r="B776" s="2">
        <f t="shared" si="12"/>
        <v>2021</v>
      </c>
      <c r="C776" s="3">
        <v>44228</v>
      </c>
      <c r="D776" s="4">
        <v>44240</v>
      </c>
      <c r="E776" s="2" t="s">
        <v>11</v>
      </c>
      <c r="F776" s="2" t="s">
        <v>18</v>
      </c>
      <c r="G776" s="2" t="s">
        <v>20</v>
      </c>
      <c r="H776" s="2">
        <v>3</v>
      </c>
      <c r="I776" s="2">
        <v>109</v>
      </c>
      <c r="J776" s="5">
        <v>92650</v>
      </c>
      <c r="K776" s="5">
        <v>28721.5</v>
      </c>
    </row>
    <row r="777" spans="1:11" x14ac:dyDescent="0.25">
      <c r="A777" s="2">
        <v>10776</v>
      </c>
      <c r="B777" s="2">
        <f t="shared" si="12"/>
        <v>2021</v>
      </c>
      <c r="C777" s="3">
        <v>44228</v>
      </c>
      <c r="D777" s="4">
        <v>44241</v>
      </c>
      <c r="E777" s="2" t="s">
        <v>11</v>
      </c>
      <c r="F777" s="2" t="s">
        <v>18</v>
      </c>
      <c r="G777" s="2" t="s">
        <v>15</v>
      </c>
      <c r="H777" s="2">
        <v>40</v>
      </c>
      <c r="I777" s="2">
        <v>476</v>
      </c>
      <c r="J777" s="5">
        <v>238000</v>
      </c>
      <c r="K777" s="5">
        <v>83300</v>
      </c>
    </row>
    <row r="778" spans="1:11" x14ac:dyDescent="0.25">
      <c r="A778" s="2">
        <v>10777</v>
      </c>
      <c r="B778" s="2">
        <f t="shared" si="12"/>
        <v>2021</v>
      </c>
      <c r="C778" s="3">
        <v>44228</v>
      </c>
      <c r="D778" s="4">
        <v>44242</v>
      </c>
      <c r="E778" s="2" t="s">
        <v>22</v>
      </c>
      <c r="F778" s="2" t="s">
        <v>16</v>
      </c>
      <c r="G778" s="2" t="s">
        <v>23</v>
      </c>
      <c r="H778" s="2">
        <v>9</v>
      </c>
      <c r="I778" s="2">
        <v>401</v>
      </c>
      <c r="J778" s="5">
        <v>140350</v>
      </c>
      <c r="K778" s="5">
        <v>57543.5</v>
      </c>
    </row>
    <row r="779" spans="1:11" x14ac:dyDescent="0.25">
      <c r="A779" s="2">
        <v>10778</v>
      </c>
      <c r="B779" s="2">
        <f t="shared" si="12"/>
        <v>2021</v>
      </c>
      <c r="C779" s="3">
        <v>44228</v>
      </c>
      <c r="D779" s="4">
        <v>44243</v>
      </c>
      <c r="E779" s="2" t="s">
        <v>19</v>
      </c>
      <c r="F779" s="2" t="s">
        <v>24</v>
      </c>
      <c r="G779" s="2" t="s">
        <v>17</v>
      </c>
      <c r="H779" s="2">
        <v>12</v>
      </c>
      <c r="I779" s="2">
        <v>263</v>
      </c>
      <c r="J779" s="5">
        <v>65750</v>
      </c>
      <c r="K779" s="5">
        <v>11835</v>
      </c>
    </row>
    <row r="780" spans="1:11" x14ac:dyDescent="0.25">
      <c r="A780" s="2">
        <v>10779</v>
      </c>
      <c r="B780" s="2">
        <f t="shared" si="12"/>
        <v>2021</v>
      </c>
      <c r="C780" s="3">
        <v>44228</v>
      </c>
      <c r="D780" s="4">
        <v>44244</v>
      </c>
      <c r="E780" s="2" t="s">
        <v>19</v>
      </c>
      <c r="F780" s="2" t="s">
        <v>18</v>
      </c>
      <c r="G780" s="2" t="s">
        <v>17</v>
      </c>
      <c r="H780" s="2">
        <v>3</v>
      </c>
      <c r="I780" s="2">
        <v>39</v>
      </c>
      <c r="J780" s="5">
        <v>9750</v>
      </c>
      <c r="K780" s="5">
        <v>2340</v>
      </c>
    </row>
    <row r="781" spans="1:11" x14ac:dyDescent="0.25">
      <c r="A781" s="2">
        <v>10780</v>
      </c>
      <c r="B781" s="2">
        <f t="shared" si="12"/>
        <v>2021</v>
      </c>
      <c r="C781" s="3">
        <v>44228</v>
      </c>
      <c r="D781" s="4">
        <v>44245</v>
      </c>
      <c r="E781" s="2" t="s">
        <v>25</v>
      </c>
      <c r="F781" s="2" t="s">
        <v>12</v>
      </c>
      <c r="G781" s="2" t="s">
        <v>23</v>
      </c>
      <c r="H781" s="2">
        <v>10</v>
      </c>
      <c r="I781" s="2">
        <v>380</v>
      </c>
      <c r="J781" s="5">
        <v>133000</v>
      </c>
      <c r="K781" s="5">
        <v>26600</v>
      </c>
    </row>
    <row r="782" spans="1:11" x14ac:dyDescent="0.25">
      <c r="A782" s="2">
        <v>10781</v>
      </c>
      <c r="B782" s="2">
        <f t="shared" si="12"/>
        <v>2021</v>
      </c>
      <c r="C782" s="3">
        <v>44228</v>
      </c>
      <c r="D782" s="4">
        <v>44246</v>
      </c>
      <c r="E782" s="2" t="s">
        <v>25</v>
      </c>
      <c r="F782" s="2" t="s">
        <v>24</v>
      </c>
      <c r="G782" s="2" t="s">
        <v>20</v>
      </c>
      <c r="H782" s="2">
        <v>11</v>
      </c>
      <c r="I782" s="2">
        <v>153</v>
      </c>
      <c r="J782" s="5">
        <v>130050</v>
      </c>
      <c r="K782" s="5">
        <v>16906.5</v>
      </c>
    </row>
    <row r="783" spans="1:11" x14ac:dyDescent="0.25">
      <c r="A783" s="2">
        <v>10782</v>
      </c>
      <c r="B783" s="2">
        <f t="shared" si="12"/>
        <v>2021</v>
      </c>
      <c r="C783" s="3">
        <v>44228</v>
      </c>
      <c r="D783" s="4">
        <v>44247</v>
      </c>
      <c r="E783" s="2" t="s">
        <v>19</v>
      </c>
      <c r="F783" s="2" t="s">
        <v>16</v>
      </c>
      <c r="G783" s="2" t="s">
        <v>23</v>
      </c>
      <c r="H783" s="2">
        <v>1</v>
      </c>
      <c r="I783" s="2">
        <v>11</v>
      </c>
      <c r="J783" s="5">
        <v>3850</v>
      </c>
      <c r="K783" s="5">
        <v>1193.5</v>
      </c>
    </row>
    <row r="784" spans="1:11" x14ac:dyDescent="0.25">
      <c r="A784" s="2">
        <v>10783</v>
      </c>
      <c r="B784" s="2">
        <f t="shared" si="12"/>
        <v>2021</v>
      </c>
      <c r="C784" s="3">
        <v>44228</v>
      </c>
      <c r="D784" s="4">
        <v>44248</v>
      </c>
      <c r="E784" s="2" t="s">
        <v>22</v>
      </c>
      <c r="F784" s="2" t="s">
        <v>18</v>
      </c>
      <c r="G784" s="2" t="s">
        <v>23</v>
      </c>
      <c r="H784" s="2">
        <v>4</v>
      </c>
      <c r="I784" s="2">
        <v>176</v>
      </c>
      <c r="J784" s="5">
        <v>61600</v>
      </c>
      <c r="K784" s="5">
        <v>18480</v>
      </c>
    </row>
    <row r="785" spans="1:11" x14ac:dyDescent="0.25">
      <c r="A785" s="2">
        <v>10784</v>
      </c>
      <c r="B785" s="2">
        <f t="shared" si="12"/>
        <v>2021</v>
      </c>
      <c r="C785" s="3">
        <v>44228</v>
      </c>
      <c r="D785" s="4">
        <v>44249</v>
      </c>
      <c r="E785" s="2" t="s">
        <v>11</v>
      </c>
      <c r="F785" s="2" t="s">
        <v>24</v>
      </c>
      <c r="G785" s="2" t="s">
        <v>15</v>
      </c>
      <c r="H785" s="2">
        <v>10</v>
      </c>
      <c r="I785" s="2">
        <v>153</v>
      </c>
      <c r="J785" s="5">
        <v>76500</v>
      </c>
      <c r="K785" s="5">
        <v>22950</v>
      </c>
    </row>
    <row r="786" spans="1:11" x14ac:dyDescent="0.25">
      <c r="A786" s="2">
        <v>10785</v>
      </c>
      <c r="B786" s="2">
        <f t="shared" si="12"/>
        <v>2021</v>
      </c>
      <c r="C786" s="3">
        <v>44228</v>
      </c>
      <c r="D786" s="4">
        <v>44250</v>
      </c>
      <c r="E786" s="2" t="s">
        <v>25</v>
      </c>
      <c r="F786" s="2" t="s">
        <v>16</v>
      </c>
      <c r="G786" s="2" t="s">
        <v>20</v>
      </c>
      <c r="H786" s="2">
        <v>5</v>
      </c>
      <c r="I786" s="2">
        <v>139</v>
      </c>
      <c r="J786" s="5">
        <v>118150</v>
      </c>
      <c r="K786" s="5">
        <v>51986</v>
      </c>
    </row>
    <row r="787" spans="1:11" x14ac:dyDescent="0.25">
      <c r="A787" s="2">
        <v>10786</v>
      </c>
      <c r="B787" s="2">
        <f t="shared" si="12"/>
        <v>2021</v>
      </c>
      <c r="C787" s="3">
        <v>44228</v>
      </c>
      <c r="D787" s="4">
        <v>44251</v>
      </c>
      <c r="E787" s="2" t="s">
        <v>25</v>
      </c>
      <c r="F787" s="2" t="s">
        <v>16</v>
      </c>
      <c r="G787" s="2" t="s">
        <v>20</v>
      </c>
      <c r="H787" s="2">
        <v>42</v>
      </c>
      <c r="I787" s="2">
        <v>458</v>
      </c>
      <c r="J787" s="5">
        <v>389300</v>
      </c>
      <c r="K787" s="5">
        <v>151827</v>
      </c>
    </row>
    <row r="788" spans="1:11" x14ac:dyDescent="0.25">
      <c r="A788" s="2">
        <v>10787</v>
      </c>
      <c r="B788" s="2">
        <f t="shared" si="12"/>
        <v>2021</v>
      </c>
      <c r="C788" s="3">
        <v>44228</v>
      </c>
      <c r="D788" s="4">
        <v>44252</v>
      </c>
      <c r="E788" s="2" t="s">
        <v>22</v>
      </c>
      <c r="F788" s="2" t="s">
        <v>18</v>
      </c>
      <c r="G788" s="2" t="s">
        <v>13</v>
      </c>
      <c r="H788" s="2">
        <v>3</v>
      </c>
      <c r="I788" s="2">
        <v>47</v>
      </c>
      <c r="J788" s="5">
        <v>35250</v>
      </c>
      <c r="K788" s="5">
        <v>7050</v>
      </c>
    </row>
    <row r="789" spans="1:11" x14ac:dyDescent="0.25">
      <c r="A789" s="2">
        <v>10788</v>
      </c>
      <c r="B789" s="2">
        <f t="shared" si="12"/>
        <v>2021</v>
      </c>
      <c r="C789" s="3">
        <v>44228</v>
      </c>
      <c r="D789" s="4">
        <v>44253</v>
      </c>
      <c r="E789" s="2" t="s">
        <v>14</v>
      </c>
      <c r="F789" s="2" t="s">
        <v>18</v>
      </c>
      <c r="G789" s="2" t="s">
        <v>15</v>
      </c>
      <c r="H789" s="2">
        <v>1</v>
      </c>
      <c r="I789" s="2">
        <v>19</v>
      </c>
      <c r="J789" s="5">
        <v>9500</v>
      </c>
      <c r="K789" s="5">
        <v>3610</v>
      </c>
    </row>
    <row r="790" spans="1:11" x14ac:dyDescent="0.25">
      <c r="A790" s="2">
        <v>10789</v>
      </c>
      <c r="B790" s="2">
        <f t="shared" si="12"/>
        <v>2021</v>
      </c>
      <c r="C790" s="3">
        <v>44228</v>
      </c>
      <c r="D790" s="4">
        <v>44254</v>
      </c>
      <c r="E790" s="2" t="s">
        <v>14</v>
      </c>
      <c r="F790" s="2" t="s">
        <v>16</v>
      </c>
      <c r="G790" s="2" t="s">
        <v>17</v>
      </c>
      <c r="H790" s="2">
        <v>8</v>
      </c>
      <c r="I790" s="2">
        <v>360</v>
      </c>
      <c r="J790" s="5">
        <v>90000</v>
      </c>
      <c r="K790" s="5">
        <v>9000</v>
      </c>
    </row>
    <row r="791" spans="1:11" x14ac:dyDescent="0.25">
      <c r="A791" s="2">
        <v>10790</v>
      </c>
      <c r="B791" s="2">
        <f t="shared" si="12"/>
        <v>2021</v>
      </c>
      <c r="C791" s="3">
        <v>44228</v>
      </c>
      <c r="D791" s="4">
        <v>44255</v>
      </c>
      <c r="E791" s="2" t="s">
        <v>11</v>
      </c>
      <c r="F791" s="2" t="s">
        <v>21</v>
      </c>
      <c r="G791" s="2" t="s">
        <v>23</v>
      </c>
      <c r="H791" s="2">
        <v>18</v>
      </c>
      <c r="I791" s="2">
        <v>452</v>
      </c>
      <c r="J791" s="5">
        <v>158200</v>
      </c>
      <c r="K791" s="5">
        <v>64861.999999999993</v>
      </c>
    </row>
    <row r="792" spans="1:11" x14ac:dyDescent="0.25">
      <c r="A792" s="2">
        <v>10791</v>
      </c>
      <c r="B792" s="2">
        <f t="shared" si="12"/>
        <v>2021</v>
      </c>
      <c r="C792" s="3">
        <v>44256</v>
      </c>
      <c r="D792" s="4">
        <v>44256</v>
      </c>
      <c r="E792" s="2" t="s">
        <v>14</v>
      </c>
      <c r="F792" s="2" t="s">
        <v>18</v>
      </c>
      <c r="G792" s="2" t="s">
        <v>15</v>
      </c>
      <c r="H792" s="2">
        <v>8</v>
      </c>
      <c r="I792" s="2">
        <v>488</v>
      </c>
      <c r="J792" s="5">
        <v>244000</v>
      </c>
      <c r="K792" s="5">
        <v>39040</v>
      </c>
    </row>
    <row r="793" spans="1:11" x14ac:dyDescent="0.25">
      <c r="A793" s="2">
        <v>10792</v>
      </c>
      <c r="B793" s="2">
        <f t="shared" si="12"/>
        <v>2021</v>
      </c>
      <c r="C793" s="3">
        <v>44256</v>
      </c>
      <c r="D793" s="4">
        <v>44257</v>
      </c>
      <c r="E793" s="2" t="s">
        <v>25</v>
      </c>
      <c r="F793" s="2" t="s">
        <v>21</v>
      </c>
      <c r="G793" s="2" t="s">
        <v>23</v>
      </c>
      <c r="H793" s="2">
        <v>18</v>
      </c>
      <c r="I793" s="2">
        <v>445</v>
      </c>
      <c r="J793" s="5">
        <v>155750</v>
      </c>
      <c r="K793" s="5">
        <v>49840</v>
      </c>
    </row>
    <row r="794" spans="1:11" x14ac:dyDescent="0.25">
      <c r="A794" s="2">
        <v>10793</v>
      </c>
      <c r="B794" s="2">
        <f t="shared" si="12"/>
        <v>2021</v>
      </c>
      <c r="C794" s="3">
        <v>44256</v>
      </c>
      <c r="D794" s="4">
        <v>44258</v>
      </c>
      <c r="E794" s="2" t="s">
        <v>19</v>
      </c>
      <c r="F794" s="2" t="s">
        <v>18</v>
      </c>
      <c r="G794" s="2" t="s">
        <v>17</v>
      </c>
      <c r="H794" s="2">
        <v>2</v>
      </c>
      <c r="I794" s="2">
        <v>45</v>
      </c>
      <c r="J794" s="5">
        <v>11250</v>
      </c>
      <c r="K794" s="5">
        <v>2250</v>
      </c>
    </row>
    <row r="795" spans="1:11" x14ac:dyDescent="0.25">
      <c r="A795" s="2">
        <v>10794</v>
      </c>
      <c r="B795" s="2">
        <f t="shared" si="12"/>
        <v>2021</v>
      </c>
      <c r="C795" s="3">
        <v>44256</v>
      </c>
      <c r="D795" s="4">
        <v>44259</v>
      </c>
      <c r="E795" s="2" t="s">
        <v>22</v>
      </c>
      <c r="F795" s="2" t="s">
        <v>12</v>
      </c>
      <c r="G795" s="2" t="s">
        <v>17</v>
      </c>
      <c r="H795" s="2">
        <v>3</v>
      </c>
      <c r="I795" s="2">
        <v>30</v>
      </c>
      <c r="J795" s="5">
        <v>7500</v>
      </c>
      <c r="K795" s="5">
        <v>1875</v>
      </c>
    </row>
    <row r="796" spans="1:11" x14ac:dyDescent="0.25">
      <c r="A796" s="2">
        <v>10795</v>
      </c>
      <c r="B796" s="2">
        <f t="shared" si="12"/>
        <v>2021</v>
      </c>
      <c r="C796" s="3">
        <v>44256</v>
      </c>
      <c r="D796" s="4">
        <v>44260</v>
      </c>
      <c r="E796" s="2" t="s">
        <v>19</v>
      </c>
      <c r="F796" s="2" t="s">
        <v>16</v>
      </c>
      <c r="G796" s="2" t="s">
        <v>20</v>
      </c>
      <c r="H796" s="2">
        <v>7</v>
      </c>
      <c r="I796" s="2">
        <v>139</v>
      </c>
      <c r="J796" s="5">
        <v>118150</v>
      </c>
      <c r="K796" s="5">
        <v>42534</v>
      </c>
    </row>
    <row r="797" spans="1:11" x14ac:dyDescent="0.25">
      <c r="A797" s="2">
        <v>10796</v>
      </c>
      <c r="B797" s="2">
        <f t="shared" si="12"/>
        <v>2021</v>
      </c>
      <c r="C797" s="3">
        <v>44256</v>
      </c>
      <c r="D797" s="4">
        <v>44261</v>
      </c>
      <c r="E797" s="2" t="s">
        <v>25</v>
      </c>
      <c r="F797" s="2" t="s">
        <v>12</v>
      </c>
      <c r="G797" s="2" t="s">
        <v>13</v>
      </c>
      <c r="H797" s="2">
        <v>13</v>
      </c>
      <c r="I797" s="2">
        <v>147</v>
      </c>
      <c r="J797" s="5">
        <v>110250</v>
      </c>
      <c r="K797" s="5">
        <v>35280</v>
      </c>
    </row>
    <row r="798" spans="1:11" x14ac:dyDescent="0.25">
      <c r="A798" s="2">
        <v>10797</v>
      </c>
      <c r="B798" s="2">
        <f t="shared" si="12"/>
        <v>2021</v>
      </c>
      <c r="C798" s="3">
        <v>44256</v>
      </c>
      <c r="D798" s="4">
        <v>44262</v>
      </c>
      <c r="E798" s="2" t="s">
        <v>22</v>
      </c>
      <c r="F798" s="2" t="s">
        <v>24</v>
      </c>
      <c r="G798" s="2" t="s">
        <v>15</v>
      </c>
      <c r="H798" s="2">
        <v>5</v>
      </c>
      <c r="I798" s="2">
        <v>313</v>
      </c>
      <c r="J798" s="5">
        <v>156500</v>
      </c>
      <c r="K798" s="5">
        <v>62600</v>
      </c>
    </row>
    <row r="799" spans="1:11" x14ac:dyDescent="0.25">
      <c r="A799" s="2">
        <v>10798</v>
      </c>
      <c r="B799" s="2">
        <f t="shared" si="12"/>
        <v>2021</v>
      </c>
      <c r="C799" s="3">
        <v>44256</v>
      </c>
      <c r="D799" s="4">
        <v>44263</v>
      </c>
      <c r="E799" s="2" t="s">
        <v>11</v>
      </c>
      <c r="F799" s="2" t="s">
        <v>18</v>
      </c>
      <c r="G799" s="2" t="s">
        <v>20</v>
      </c>
      <c r="H799" s="2">
        <v>12</v>
      </c>
      <c r="I799" s="2">
        <v>372</v>
      </c>
      <c r="J799" s="5">
        <v>316200</v>
      </c>
      <c r="K799" s="5">
        <v>69564</v>
      </c>
    </row>
    <row r="800" spans="1:11" x14ac:dyDescent="0.25">
      <c r="A800" s="2">
        <v>10799</v>
      </c>
      <c r="B800" s="2">
        <f t="shared" si="12"/>
        <v>2021</v>
      </c>
      <c r="C800" s="3">
        <v>44256</v>
      </c>
      <c r="D800" s="4">
        <v>44264</v>
      </c>
      <c r="E800" s="2" t="s">
        <v>25</v>
      </c>
      <c r="F800" s="2" t="s">
        <v>18</v>
      </c>
      <c r="G800" s="2" t="s">
        <v>20</v>
      </c>
      <c r="H800" s="2">
        <v>4</v>
      </c>
      <c r="I800" s="2">
        <v>207</v>
      </c>
      <c r="J800" s="5">
        <v>175950</v>
      </c>
      <c r="K800" s="5">
        <v>33430.5</v>
      </c>
    </row>
    <row r="801" spans="1:11" x14ac:dyDescent="0.25">
      <c r="A801" s="2">
        <v>10800</v>
      </c>
      <c r="B801" s="2">
        <f t="shared" si="12"/>
        <v>2021</v>
      </c>
      <c r="C801" s="3">
        <v>44256</v>
      </c>
      <c r="D801" s="4">
        <v>44265</v>
      </c>
      <c r="E801" s="2" t="s">
        <v>14</v>
      </c>
      <c r="F801" s="2" t="s">
        <v>21</v>
      </c>
      <c r="G801" s="2" t="s">
        <v>15</v>
      </c>
      <c r="H801" s="2">
        <v>19</v>
      </c>
      <c r="I801" s="2">
        <v>493</v>
      </c>
      <c r="J801" s="5">
        <v>246500</v>
      </c>
      <c r="K801" s="5">
        <v>41905</v>
      </c>
    </row>
    <row r="802" spans="1:11" x14ac:dyDescent="0.25">
      <c r="A802" s="2">
        <v>10801</v>
      </c>
      <c r="B802" s="2">
        <f t="shared" si="12"/>
        <v>2021</v>
      </c>
      <c r="C802" s="3">
        <v>44256</v>
      </c>
      <c r="D802" s="4">
        <v>44266</v>
      </c>
      <c r="E802" s="2" t="s">
        <v>11</v>
      </c>
      <c r="F802" s="2" t="s">
        <v>18</v>
      </c>
      <c r="G802" s="2" t="s">
        <v>23</v>
      </c>
      <c r="H802" s="2">
        <v>3</v>
      </c>
      <c r="I802" s="2">
        <v>116</v>
      </c>
      <c r="J802" s="5">
        <v>40600</v>
      </c>
      <c r="K802" s="5">
        <v>14616</v>
      </c>
    </row>
    <row r="803" spans="1:11" x14ac:dyDescent="0.25">
      <c r="A803" s="2">
        <v>10802</v>
      </c>
      <c r="B803" s="2">
        <f t="shared" si="12"/>
        <v>2021</v>
      </c>
      <c r="C803" s="3">
        <v>44256</v>
      </c>
      <c r="D803" s="4">
        <v>44267</v>
      </c>
      <c r="E803" s="2" t="s">
        <v>19</v>
      </c>
      <c r="F803" s="2" t="s">
        <v>21</v>
      </c>
      <c r="G803" s="2" t="s">
        <v>15</v>
      </c>
      <c r="H803" s="2">
        <v>5</v>
      </c>
      <c r="I803" s="2">
        <v>209</v>
      </c>
      <c r="J803" s="5">
        <v>104500</v>
      </c>
      <c r="K803" s="5">
        <v>41800</v>
      </c>
    </row>
    <row r="804" spans="1:11" x14ac:dyDescent="0.25">
      <c r="A804" s="2">
        <v>10803</v>
      </c>
      <c r="B804" s="2">
        <f t="shared" si="12"/>
        <v>2021</v>
      </c>
      <c r="C804" s="3">
        <v>44256</v>
      </c>
      <c r="D804" s="4">
        <v>44268</v>
      </c>
      <c r="E804" s="2" t="s">
        <v>14</v>
      </c>
      <c r="F804" s="2" t="s">
        <v>12</v>
      </c>
      <c r="G804" s="2" t="s">
        <v>23</v>
      </c>
      <c r="H804" s="2">
        <v>12</v>
      </c>
      <c r="I804" s="2">
        <v>290</v>
      </c>
      <c r="J804" s="5">
        <v>101500</v>
      </c>
      <c r="K804" s="5">
        <v>25375</v>
      </c>
    </row>
    <row r="805" spans="1:11" x14ac:dyDescent="0.25">
      <c r="A805" s="2">
        <v>10804</v>
      </c>
      <c r="B805" s="2">
        <f t="shared" si="12"/>
        <v>2021</v>
      </c>
      <c r="C805" s="3">
        <v>44256</v>
      </c>
      <c r="D805" s="4">
        <v>44269</v>
      </c>
      <c r="E805" s="2" t="s">
        <v>25</v>
      </c>
      <c r="F805" s="2" t="s">
        <v>16</v>
      </c>
      <c r="G805" s="2" t="s">
        <v>17</v>
      </c>
      <c r="H805" s="2">
        <v>6</v>
      </c>
      <c r="I805" s="2">
        <v>84</v>
      </c>
      <c r="J805" s="5">
        <v>21000</v>
      </c>
      <c r="K805" s="5">
        <v>2940.0000000000005</v>
      </c>
    </row>
    <row r="806" spans="1:11" x14ac:dyDescent="0.25">
      <c r="A806" s="2">
        <v>10805</v>
      </c>
      <c r="B806" s="2">
        <f t="shared" si="12"/>
        <v>2021</v>
      </c>
      <c r="C806" s="3">
        <v>44256</v>
      </c>
      <c r="D806" s="4">
        <v>44270</v>
      </c>
      <c r="E806" s="2" t="s">
        <v>22</v>
      </c>
      <c r="F806" s="2" t="s">
        <v>16</v>
      </c>
      <c r="G806" s="2" t="s">
        <v>23</v>
      </c>
      <c r="H806" s="2">
        <v>24</v>
      </c>
      <c r="I806" s="2">
        <v>441</v>
      </c>
      <c r="J806" s="5">
        <v>154350</v>
      </c>
      <c r="K806" s="5">
        <v>38587.5</v>
      </c>
    </row>
    <row r="807" spans="1:11" x14ac:dyDescent="0.25">
      <c r="A807" s="2">
        <v>10806</v>
      </c>
      <c r="B807" s="2">
        <f t="shared" si="12"/>
        <v>2021</v>
      </c>
      <c r="C807" s="3">
        <v>44256</v>
      </c>
      <c r="D807" s="4">
        <v>44271</v>
      </c>
      <c r="E807" s="2" t="s">
        <v>11</v>
      </c>
      <c r="F807" s="2" t="s">
        <v>16</v>
      </c>
      <c r="G807" s="2" t="s">
        <v>15</v>
      </c>
      <c r="H807" s="2">
        <v>7</v>
      </c>
      <c r="I807" s="2">
        <v>318</v>
      </c>
      <c r="J807" s="5">
        <v>159000</v>
      </c>
      <c r="K807" s="5">
        <v>39750</v>
      </c>
    </row>
    <row r="808" spans="1:11" x14ac:dyDescent="0.25">
      <c r="A808" s="2">
        <v>10807</v>
      </c>
      <c r="B808" s="2">
        <f t="shared" si="12"/>
        <v>2021</v>
      </c>
      <c r="C808" s="3">
        <v>44256</v>
      </c>
      <c r="D808" s="4">
        <v>44272</v>
      </c>
      <c r="E808" s="2" t="s">
        <v>14</v>
      </c>
      <c r="F808" s="2" t="s">
        <v>18</v>
      </c>
      <c r="G808" s="2" t="s">
        <v>17</v>
      </c>
      <c r="H808" s="2">
        <v>2</v>
      </c>
      <c r="I808" s="2">
        <v>158</v>
      </c>
      <c r="J808" s="5">
        <v>39500</v>
      </c>
      <c r="K808" s="5">
        <v>11455</v>
      </c>
    </row>
    <row r="809" spans="1:11" x14ac:dyDescent="0.25">
      <c r="A809" s="2">
        <v>10808</v>
      </c>
      <c r="B809" s="2">
        <f t="shared" si="12"/>
        <v>2021</v>
      </c>
      <c r="C809" s="3">
        <v>44256</v>
      </c>
      <c r="D809" s="4">
        <v>44273</v>
      </c>
      <c r="E809" s="2" t="s">
        <v>14</v>
      </c>
      <c r="F809" s="2" t="s">
        <v>21</v>
      </c>
      <c r="G809" s="2" t="s">
        <v>15</v>
      </c>
      <c r="H809" s="2">
        <v>8</v>
      </c>
      <c r="I809" s="2">
        <v>122</v>
      </c>
      <c r="J809" s="5">
        <v>61000</v>
      </c>
      <c r="K809" s="5">
        <v>16470</v>
      </c>
    </row>
    <row r="810" spans="1:11" x14ac:dyDescent="0.25">
      <c r="A810" s="2">
        <v>10809</v>
      </c>
      <c r="B810" s="2">
        <f t="shared" si="12"/>
        <v>2021</v>
      </c>
      <c r="C810" s="3">
        <v>44256</v>
      </c>
      <c r="D810" s="4">
        <v>44274</v>
      </c>
      <c r="E810" s="2" t="s">
        <v>25</v>
      </c>
      <c r="F810" s="2" t="s">
        <v>21</v>
      </c>
      <c r="G810" s="2" t="s">
        <v>17</v>
      </c>
      <c r="H810" s="2">
        <v>14</v>
      </c>
      <c r="I810" s="2">
        <v>275</v>
      </c>
      <c r="J810" s="5">
        <v>68750</v>
      </c>
      <c r="K810" s="5">
        <v>24750</v>
      </c>
    </row>
    <row r="811" spans="1:11" x14ac:dyDescent="0.25">
      <c r="A811" s="2">
        <v>10810</v>
      </c>
      <c r="B811" s="2">
        <f t="shared" si="12"/>
        <v>2021</v>
      </c>
      <c r="C811" s="3">
        <v>44256</v>
      </c>
      <c r="D811" s="4">
        <v>44275</v>
      </c>
      <c r="E811" s="2" t="s">
        <v>11</v>
      </c>
      <c r="F811" s="2" t="s">
        <v>16</v>
      </c>
      <c r="G811" s="2" t="s">
        <v>20</v>
      </c>
      <c r="H811" s="2">
        <v>11</v>
      </c>
      <c r="I811" s="2">
        <v>127</v>
      </c>
      <c r="J811" s="5">
        <v>107950</v>
      </c>
      <c r="K811" s="5">
        <v>18351.5</v>
      </c>
    </row>
    <row r="812" spans="1:11" x14ac:dyDescent="0.25">
      <c r="A812" s="2">
        <v>10811</v>
      </c>
      <c r="B812" s="2">
        <f t="shared" si="12"/>
        <v>2021</v>
      </c>
      <c r="C812" s="3">
        <v>44256</v>
      </c>
      <c r="D812" s="4">
        <v>44276</v>
      </c>
      <c r="E812" s="2" t="s">
        <v>11</v>
      </c>
      <c r="F812" s="2" t="s">
        <v>16</v>
      </c>
      <c r="G812" s="2" t="s">
        <v>23</v>
      </c>
      <c r="H812" s="2">
        <v>19</v>
      </c>
      <c r="I812" s="2">
        <v>266</v>
      </c>
      <c r="J812" s="5">
        <v>93100</v>
      </c>
      <c r="K812" s="5">
        <v>26068.000000000004</v>
      </c>
    </row>
    <row r="813" spans="1:11" x14ac:dyDescent="0.25">
      <c r="A813" s="2">
        <v>10812</v>
      </c>
      <c r="B813" s="2">
        <f t="shared" si="12"/>
        <v>2021</v>
      </c>
      <c r="C813" s="3">
        <v>44256</v>
      </c>
      <c r="D813" s="4">
        <v>44277</v>
      </c>
      <c r="E813" s="2" t="s">
        <v>19</v>
      </c>
      <c r="F813" s="2" t="s">
        <v>16</v>
      </c>
      <c r="G813" s="2" t="s">
        <v>13</v>
      </c>
      <c r="H813" s="2">
        <v>30</v>
      </c>
      <c r="I813" s="2">
        <v>376</v>
      </c>
      <c r="J813" s="5">
        <v>282000</v>
      </c>
      <c r="K813" s="5">
        <v>93060</v>
      </c>
    </row>
    <row r="814" spans="1:11" x14ac:dyDescent="0.25">
      <c r="A814" s="2">
        <v>10813</v>
      </c>
      <c r="B814" s="2">
        <f t="shared" si="12"/>
        <v>2021</v>
      </c>
      <c r="C814" s="3">
        <v>44256</v>
      </c>
      <c r="D814" s="4">
        <v>44278</v>
      </c>
      <c r="E814" s="2" t="s">
        <v>22</v>
      </c>
      <c r="F814" s="2" t="s">
        <v>16</v>
      </c>
      <c r="G814" s="2" t="s">
        <v>17</v>
      </c>
      <c r="H814" s="2">
        <v>12</v>
      </c>
      <c r="I814" s="2">
        <v>154</v>
      </c>
      <c r="J814" s="5">
        <v>38500</v>
      </c>
      <c r="K814" s="5">
        <v>5005</v>
      </c>
    </row>
    <row r="815" spans="1:11" x14ac:dyDescent="0.25">
      <c r="A815" s="2">
        <v>10814</v>
      </c>
      <c r="B815" s="2">
        <f t="shared" si="12"/>
        <v>2021</v>
      </c>
      <c r="C815" s="3">
        <v>44256</v>
      </c>
      <c r="D815" s="4">
        <v>44279</v>
      </c>
      <c r="E815" s="2" t="s">
        <v>14</v>
      </c>
      <c r="F815" s="2" t="s">
        <v>16</v>
      </c>
      <c r="G815" s="2" t="s">
        <v>20</v>
      </c>
      <c r="H815" s="2">
        <v>26</v>
      </c>
      <c r="I815" s="2">
        <v>468</v>
      </c>
      <c r="J815" s="5">
        <v>397800</v>
      </c>
      <c r="K815" s="5">
        <v>43758</v>
      </c>
    </row>
    <row r="816" spans="1:11" x14ac:dyDescent="0.25">
      <c r="A816" s="2">
        <v>10815</v>
      </c>
      <c r="B816" s="2">
        <f t="shared" si="12"/>
        <v>2021</v>
      </c>
      <c r="C816" s="3">
        <v>44256</v>
      </c>
      <c r="D816" s="4">
        <v>44280</v>
      </c>
      <c r="E816" s="2" t="s">
        <v>25</v>
      </c>
      <c r="F816" s="2" t="s">
        <v>18</v>
      </c>
      <c r="G816" s="2" t="s">
        <v>15</v>
      </c>
      <c r="H816" s="2">
        <v>32</v>
      </c>
      <c r="I816" s="2">
        <v>348</v>
      </c>
      <c r="J816" s="5">
        <v>174000</v>
      </c>
      <c r="K816" s="5">
        <v>36540</v>
      </c>
    </row>
    <row r="817" spans="1:11" x14ac:dyDescent="0.25">
      <c r="A817" s="2">
        <v>10816</v>
      </c>
      <c r="B817" s="2">
        <f t="shared" si="12"/>
        <v>2021</v>
      </c>
      <c r="C817" s="3">
        <v>44256</v>
      </c>
      <c r="D817" s="4">
        <v>44281</v>
      </c>
      <c r="E817" s="2" t="s">
        <v>19</v>
      </c>
      <c r="F817" s="2" t="s">
        <v>24</v>
      </c>
      <c r="G817" s="2" t="s">
        <v>17</v>
      </c>
      <c r="H817" s="2">
        <v>19</v>
      </c>
      <c r="I817" s="2">
        <v>191</v>
      </c>
      <c r="J817" s="5">
        <v>47750</v>
      </c>
      <c r="K817" s="5">
        <v>10505</v>
      </c>
    </row>
    <row r="818" spans="1:11" x14ac:dyDescent="0.25">
      <c r="A818" s="2">
        <v>10817</v>
      </c>
      <c r="B818" s="2">
        <f t="shared" si="12"/>
        <v>2021</v>
      </c>
      <c r="C818" s="3">
        <v>44256</v>
      </c>
      <c r="D818" s="4">
        <v>44282</v>
      </c>
      <c r="E818" s="2" t="s">
        <v>25</v>
      </c>
      <c r="F818" s="2" t="s">
        <v>16</v>
      </c>
      <c r="G818" s="2" t="s">
        <v>15</v>
      </c>
      <c r="H818" s="2">
        <v>7</v>
      </c>
      <c r="I818" s="2">
        <v>119</v>
      </c>
      <c r="J818" s="5">
        <v>59500</v>
      </c>
      <c r="K818" s="5">
        <v>12495</v>
      </c>
    </row>
    <row r="819" spans="1:11" x14ac:dyDescent="0.25">
      <c r="A819" s="2">
        <v>10818</v>
      </c>
      <c r="B819" s="2">
        <f t="shared" si="12"/>
        <v>2021</v>
      </c>
      <c r="C819" s="3">
        <v>44256</v>
      </c>
      <c r="D819" s="4">
        <v>44283</v>
      </c>
      <c r="E819" s="2" t="s">
        <v>14</v>
      </c>
      <c r="F819" s="2" t="s">
        <v>18</v>
      </c>
      <c r="G819" s="2" t="s">
        <v>15</v>
      </c>
      <c r="H819" s="2">
        <v>2</v>
      </c>
      <c r="I819" s="2">
        <v>61</v>
      </c>
      <c r="J819" s="5">
        <v>30500</v>
      </c>
      <c r="K819" s="5">
        <v>4880</v>
      </c>
    </row>
    <row r="820" spans="1:11" x14ac:dyDescent="0.25">
      <c r="A820" s="2">
        <v>10819</v>
      </c>
      <c r="B820" s="2">
        <f t="shared" si="12"/>
        <v>2021</v>
      </c>
      <c r="C820" s="3">
        <v>44256</v>
      </c>
      <c r="D820" s="4">
        <v>44284</v>
      </c>
      <c r="E820" s="2" t="s">
        <v>25</v>
      </c>
      <c r="F820" s="2" t="s">
        <v>21</v>
      </c>
      <c r="G820" s="2" t="s">
        <v>15</v>
      </c>
      <c r="H820" s="2">
        <v>14</v>
      </c>
      <c r="I820" s="2">
        <v>270</v>
      </c>
      <c r="J820" s="5">
        <v>135000</v>
      </c>
      <c r="K820" s="5">
        <v>45900</v>
      </c>
    </row>
    <row r="821" spans="1:11" x14ac:dyDescent="0.25">
      <c r="A821" s="2">
        <v>10820</v>
      </c>
      <c r="B821" s="2">
        <f t="shared" si="12"/>
        <v>2021</v>
      </c>
      <c r="C821" s="3">
        <v>44256</v>
      </c>
      <c r="D821" s="4">
        <v>44285</v>
      </c>
      <c r="E821" s="2" t="s">
        <v>22</v>
      </c>
      <c r="F821" s="2" t="s">
        <v>21</v>
      </c>
      <c r="G821" s="2" t="s">
        <v>20</v>
      </c>
      <c r="H821" s="2">
        <v>8</v>
      </c>
      <c r="I821" s="2">
        <v>436</v>
      </c>
      <c r="J821" s="5">
        <v>370600</v>
      </c>
      <c r="K821" s="5">
        <v>159358</v>
      </c>
    </row>
    <row r="822" spans="1:11" x14ac:dyDescent="0.25">
      <c r="A822" s="2">
        <v>10821</v>
      </c>
      <c r="B822" s="2">
        <f t="shared" si="12"/>
        <v>2021</v>
      </c>
      <c r="C822" s="3">
        <v>44256</v>
      </c>
      <c r="D822" s="4">
        <v>44286</v>
      </c>
      <c r="E822" s="2" t="s">
        <v>25</v>
      </c>
      <c r="F822" s="2" t="s">
        <v>16</v>
      </c>
      <c r="G822" s="2" t="s">
        <v>13</v>
      </c>
      <c r="H822" s="2">
        <v>3</v>
      </c>
      <c r="I822" s="2">
        <v>103</v>
      </c>
      <c r="J822" s="5">
        <v>77250</v>
      </c>
      <c r="K822" s="5">
        <v>27037.5</v>
      </c>
    </row>
    <row r="823" spans="1:11" x14ac:dyDescent="0.25">
      <c r="A823" s="2">
        <v>10822</v>
      </c>
      <c r="B823" s="2">
        <f t="shared" si="12"/>
        <v>2021</v>
      </c>
      <c r="C823" s="3">
        <v>44287</v>
      </c>
      <c r="D823" s="4">
        <v>44287</v>
      </c>
      <c r="E823" s="2" t="s">
        <v>14</v>
      </c>
      <c r="F823" s="2" t="s">
        <v>21</v>
      </c>
      <c r="G823" s="2" t="s">
        <v>17</v>
      </c>
      <c r="H823" s="2">
        <v>10</v>
      </c>
      <c r="I823" s="2">
        <v>119</v>
      </c>
      <c r="J823" s="5">
        <v>29750</v>
      </c>
      <c r="K823" s="5">
        <v>11007.5</v>
      </c>
    </row>
    <row r="824" spans="1:11" x14ac:dyDescent="0.25">
      <c r="A824" s="2">
        <v>10823</v>
      </c>
      <c r="B824" s="2">
        <f t="shared" si="12"/>
        <v>2021</v>
      </c>
      <c r="C824" s="3">
        <v>44287</v>
      </c>
      <c r="D824" s="4">
        <v>44288</v>
      </c>
      <c r="E824" s="2" t="s">
        <v>11</v>
      </c>
      <c r="F824" s="2" t="s">
        <v>12</v>
      </c>
      <c r="G824" s="2" t="s">
        <v>15</v>
      </c>
      <c r="H824" s="2">
        <v>37</v>
      </c>
      <c r="I824" s="2">
        <v>455</v>
      </c>
      <c r="J824" s="5">
        <v>227500</v>
      </c>
      <c r="K824" s="5">
        <v>36400</v>
      </c>
    </row>
    <row r="825" spans="1:11" x14ac:dyDescent="0.25">
      <c r="A825" s="2">
        <v>10824</v>
      </c>
      <c r="B825" s="2">
        <f t="shared" si="12"/>
        <v>2021</v>
      </c>
      <c r="C825" s="3">
        <v>44287</v>
      </c>
      <c r="D825" s="4">
        <v>44289</v>
      </c>
      <c r="E825" s="2" t="s">
        <v>22</v>
      </c>
      <c r="F825" s="2" t="s">
        <v>21</v>
      </c>
      <c r="G825" s="2" t="s">
        <v>17</v>
      </c>
      <c r="H825" s="2">
        <v>25</v>
      </c>
      <c r="I825" s="2">
        <v>255</v>
      </c>
      <c r="J825" s="5">
        <v>63750</v>
      </c>
      <c r="K825" s="5">
        <v>7012.5</v>
      </c>
    </row>
    <row r="826" spans="1:11" x14ac:dyDescent="0.25">
      <c r="A826" s="2">
        <v>10825</v>
      </c>
      <c r="B826" s="2">
        <f t="shared" si="12"/>
        <v>2021</v>
      </c>
      <c r="C826" s="3">
        <v>44287</v>
      </c>
      <c r="D826" s="4">
        <v>44290</v>
      </c>
      <c r="E826" s="2" t="s">
        <v>25</v>
      </c>
      <c r="F826" s="2" t="s">
        <v>21</v>
      </c>
      <c r="G826" s="2" t="s">
        <v>23</v>
      </c>
      <c r="H826" s="2">
        <v>20</v>
      </c>
      <c r="I826" s="2">
        <v>338</v>
      </c>
      <c r="J826" s="5">
        <v>118300</v>
      </c>
      <c r="K826" s="5">
        <v>15379</v>
      </c>
    </row>
    <row r="827" spans="1:11" x14ac:dyDescent="0.25">
      <c r="A827" s="2">
        <v>10826</v>
      </c>
      <c r="B827" s="2">
        <f t="shared" si="12"/>
        <v>2021</v>
      </c>
      <c r="C827" s="3">
        <v>44287</v>
      </c>
      <c r="D827" s="4">
        <v>44291</v>
      </c>
      <c r="E827" s="2" t="s">
        <v>11</v>
      </c>
      <c r="F827" s="2" t="s">
        <v>16</v>
      </c>
      <c r="G827" s="2" t="s">
        <v>17</v>
      </c>
      <c r="H827" s="2">
        <v>2</v>
      </c>
      <c r="I827" s="2">
        <v>37</v>
      </c>
      <c r="J827" s="5">
        <v>9250</v>
      </c>
      <c r="K827" s="5">
        <v>2220</v>
      </c>
    </row>
    <row r="828" spans="1:11" x14ac:dyDescent="0.25">
      <c r="A828" s="2">
        <v>10827</v>
      </c>
      <c r="B828" s="2">
        <f t="shared" si="12"/>
        <v>2021</v>
      </c>
      <c r="C828" s="3">
        <v>44287</v>
      </c>
      <c r="D828" s="4">
        <v>44292</v>
      </c>
      <c r="E828" s="2" t="s">
        <v>14</v>
      </c>
      <c r="F828" s="2" t="s">
        <v>16</v>
      </c>
      <c r="G828" s="2" t="s">
        <v>23</v>
      </c>
      <c r="H828" s="2">
        <v>2</v>
      </c>
      <c r="I828" s="2">
        <v>26</v>
      </c>
      <c r="J828" s="5">
        <v>9100</v>
      </c>
      <c r="K828" s="5">
        <v>1729</v>
      </c>
    </row>
    <row r="829" spans="1:11" x14ac:dyDescent="0.25">
      <c r="A829" s="2">
        <v>10828</v>
      </c>
      <c r="B829" s="2">
        <f t="shared" si="12"/>
        <v>2021</v>
      </c>
      <c r="C829" s="3">
        <v>44287</v>
      </c>
      <c r="D829" s="4">
        <v>44293</v>
      </c>
      <c r="E829" s="2" t="s">
        <v>11</v>
      </c>
      <c r="F829" s="2" t="s">
        <v>21</v>
      </c>
      <c r="G829" s="2" t="s">
        <v>23</v>
      </c>
      <c r="H829" s="2">
        <v>10</v>
      </c>
      <c r="I829" s="2">
        <v>151</v>
      </c>
      <c r="J829" s="5">
        <v>52850</v>
      </c>
      <c r="K829" s="5">
        <v>23782.5</v>
      </c>
    </row>
    <row r="830" spans="1:11" x14ac:dyDescent="0.25">
      <c r="A830" s="2">
        <v>10829</v>
      </c>
      <c r="B830" s="2">
        <f t="shared" si="12"/>
        <v>2021</v>
      </c>
      <c r="C830" s="3">
        <v>44287</v>
      </c>
      <c r="D830" s="4">
        <v>44294</v>
      </c>
      <c r="E830" s="2" t="s">
        <v>25</v>
      </c>
      <c r="F830" s="2" t="s">
        <v>21</v>
      </c>
      <c r="G830" s="2" t="s">
        <v>15</v>
      </c>
      <c r="H830" s="2">
        <v>6</v>
      </c>
      <c r="I830" s="2">
        <v>411</v>
      </c>
      <c r="J830" s="5">
        <v>205500</v>
      </c>
      <c r="K830" s="5">
        <v>20550</v>
      </c>
    </row>
    <row r="831" spans="1:11" x14ac:dyDescent="0.25">
      <c r="A831" s="2">
        <v>10830</v>
      </c>
      <c r="B831" s="2">
        <f t="shared" si="12"/>
        <v>2021</v>
      </c>
      <c r="C831" s="3">
        <v>44287</v>
      </c>
      <c r="D831" s="4">
        <v>44295</v>
      </c>
      <c r="E831" s="2" t="s">
        <v>19</v>
      </c>
      <c r="F831" s="2" t="s">
        <v>16</v>
      </c>
      <c r="G831" s="2" t="s">
        <v>17</v>
      </c>
      <c r="H831" s="2">
        <v>13</v>
      </c>
      <c r="I831" s="2">
        <v>381</v>
      </c>
      <c r="J831" s="5">
        <v>95250</v>
      </c>
      <c r="K831" s="5">
        <v>19050</v>
      </c>
    </row>
    <row r="832" spans="1:11" x14ac:dyDescent="0.25">
      <c r="A832" s="2">
        <v>10831</v>
      </c>
      <c r="B832" s="2">
        <f t="shared" si="12"/>
        <v>2021</v>
      </c>
      <c r="C832" s="3">
        <v>44287</v>
      </c>
      <c r="D832" s="4">
        <v>44296</v>
      </c>
      <c r="E832" s="2" t="s">
        <v>14</v>
      </c>
      <c r="F832" s="2" t="s">
        <v>12</v>
      </c>
      <c r="G832" s="2" t="s">
        <v>15</v>
      </c>
      <c r="H832" s="2">
        <v>12</v>
      </c>
      <c r="I832" s="2">
        <v>172</v>
      </c>
      <c r="J832" s="5">
        <v>86000</v>
      </c>
      <c r="K832" s="5">
        <v>11180</v>
      </c>
    </row>
    <row r="833" spans="1:11" x14ac:dyDescent="0.25">
      <c r="A833" s="2">
        <v>10832</v>
      </c>
      <c r="B833" s="2">
        <f t="shared" si="12"/>
        <v>2021</v>
      </c>
      <c r="C833" s="3">
        <v>44287</v>
      </c>
      <c r="D833" s="4">
        <v>44297</v>
      </c>
      <c r="E833" s="2" t="s">
        <v>25</v>
      </c>
      <c r="F833" s="2" t="s">
        <v>12</v>
      </c>
      <c r="G833" s="2" t="s">
        <v>13</v>
      </c>
      <c r="H833" s="2">
        <v>13</v>
      </c>
      <c r="I833" s="2">
        <v>492</v>
      </c>
      <c r="J833" s="5">
        <v>369000</v>
      </c>
      <c r="K833" s="5">
        <v>99630</v>
      </c>
    </row>
    <row r="834" spans="1:11" x14ac:dyDescent="0.25">
      <c r="A834" s="2">
        <v>10833</v>
      </c>
      <c r="B834" s="2">
        <f t="shared" si="12"/>
        <v>2021</v>
      </c>
      <c r="C834" s="3">
        <v>44287</v>
      </c>
      <c r="D834" s="4">
        <v>44298</v>
      </c>
      <c r="E834" s="2" t="s">
        <v>14</v>
      </c>
      <c r="F834" s="2" t="s">
        <v>12</v>
      </c>
      <c r="G834" s="2" t="s">
        <v>23</v>
      </c>
      <c r="H834" s="2">
        <v>35</v>
      </c>
      <c r="I834" s="2">
        <v>460</v>
      </c>
      <c r="J834" s="5">
        <v>161000</v>
      </c>
      <c r="K834" s="5">
        <v>72450</v>
      </c>
    </row>
    <row r="835" spans="1:11" x14ac:dyDescent="0.25">
      <c r="A835" s="2">
        <v>10834</v>
      </c>
      <c r="B835" s="2">
        <f t="shared" ref="B835:B898" si="13">YEAR(C835)</f>
        <v>2021</v>
      </c>
      <c r="C835" s="3">
        <v>44287</v>
      </c>
      <c r="D835" s="4">
        <v>44299</v>
      </c>
      <c r="E835" s="2" t="s">
        <v>22</v>
      </c>
      <c r="F835" s="2" t="s">
        <v>12</v>
      </c>
      <c r="G835" s="2" t="s">
        <v>13</v>
      </c>
      <c r="H835" s="2">
        <v>16</v>
      </c>
      <c r="I835" s="2">
        <v>481</v>
      </c>
      <c r="J835" s="5">
        <v>360750</v>
      </c>
      <c r="K835" s="5">
        <v>64935</v>
      </c>
    </row>
    <row r="836" spans="1:11" x14ac:dyDescent="0.25">
      <c r="A836" s="2">
        <v>10835</v>
      </c>
      <c r="B836" s="2">
        <f t="shared" si="13"/>
        <v>2021</v>
      </c>
      <c r="C836" s="3">
        <v>44287</v>
      </c>
      <c r="D836" s="4">
        <v>44300</v>
      </c>
      <c r="E836" s="2" t="s">
        <v>19</v>
      </c>
      <c r="F836" s="2" t="s">
        <v>24</v>
      </c>
      <c r="G836" s="2" t="s">
        <v>15</v>
      </c>
      <c r="H836" s="2">
        <v>23</v>
      </c>
      <c r="I836" s="2">
        <v>361</v>
      </c>
      <c r="J836" s="5">
        <v>180500</v>
      </c>
      <c r="K836" s="5">
        <v>36100</v>
      </c>
    </row>
    <row r="837" spans="1:11" x14ac:dyDescent="0.25">
      <c r="A837" s="2">
        <v>10836</v>
      </c>
      <c r="B837" s="2">
        <f t="shared" si="13"/>
        <v>2021</v>
      </c>
      <c r="C837" s="3">
        <v>44287</v>
      </c>
      <c r="D837" s="4">
        <v>44301</v>
      </c>
      <c r="E837" s="2" t="s">
        <v>14</v>
      </c>
      <c r="F837" s="2" t="s">
        <v>12</v>
      </c>
      <c r="G837" s="2" t="s">
        <v>17</v>
      </c>
      <c r="H837" s="2">
        <v>16</v>
      </c>
      <c r="I837" s="2">
        <v>261</v>
      </c>
      <c r="J837" s="5">
        <v>65250</v>
      </c>
      <c r="K837" s="5">
        <v>25447.5</v>
      </c>
    </row>
    <row r="838" spans="1:11" x14ac:dyDescent="0.25">
      <c r="A838" s="2">
        <v>10837</v>
      </c>
      <c r="B838" s="2">
        <f t="shared" si="13"/>
        <v>2021</v>
      </c>
      <c r="C838" s="3">
        <v>44287</v>
      </c>
      <c r="D838" s="4">
        <v>44302</v>
      </c>
      <c r="E838" s="2" t="s">
        <v>11</v>
      </c>
      <c r="F838" s="2" t="s">
        <v>18</v>
      </c>
      <c r="G838" s="2" t="s">
        <v>13</v>
      </c>
      <c r="H838" s="2">
        <v>7</v>
      </c>
      <c r="I838" s="2">
        <v>486</v>
      </c>
      <c r="J838" s="5">
        <v>364500</v>
      </c>
      <c r="K838" s="5">
        <v>120285</v>
      </c>
    </row>
    <row r="839" spans="1:11" x14ac:dyDescent="0.25">
      <c r="A839" s="2">
        <v>10838</v>
      </c>
      <c r="B839" s="2">
        <f t="shared" si="13"/>
        <v>2021</v>
      </c>
      <c r="C839" s="3">
        <v>44287</v>
      </c>
      <c r="D839" s="4">
        <v>44303</v>
      </c>
      <c r="E839" s="2" t="s">
        <v>14</v>
      </c>
      <c r="F839" s="2" t="s">
        <v>12</v>
      </c>
      <c r="G839" s="2" t="s">
        <v>13</v>
      </c>
      <c r="H839" s="2">
        <v>10</v>
      </c>
      <c r="I839" s="2">
        <v>105</v>
      </c>
      <c r="J839" s="5">
        <v>78750</v>
      </c>
      <c r="K839" s="5">
        <v>33075</v>
      </c>
    </row>
    <row r="840" spans="1:11" x14ac:dyDescent="0.25">
      <c r="A840" s="2">
        <v>10839</v>
      </c>
      <c r="B840" s="2">
        <f t="shared" si="13"/>
        <v>2021</v>
      </c>
      <c r="C840" s="3">
        <v>44287</v>
      </c>
      <c r="D840" s="4">
        <v>44304</v>
      </c>
      <c r="E840" s="2" t="s">
        <v>11</v>
      </c>
      <c r="F840" s="2" t="s">
        <v>21</v>
      </c>
      <c r="G840" s="2" t="s">
        <v>23</v>
      </c>
      <c r="H840" s="2">
        <v>25</v>
      </c>
      <c r="I840" s="2">
        <v>258</v>
      </c>
      <c r="J840" s="5">
        <v>90300</v>
      </c>
      <c r="K840" s="5">
        <v>9030</v>
      </c>
    </row>
    <row r="841" spans="1:11" x14ac:dyDescent="0.25">
      <c r="A841" s="2">
        <v>10840</v>
      </c>
      <c r="B841" s="2">
        <f t="shared" si="13"/>
        <v>2021</v>
      </c>
      <c r="C841" s="3">
        <v>44287</v>
      </c>
      <c r="D841" s="4">
        <v>44305</v>
      </c>
      <c r="E841" s="2" t="s">
        <v>11</v>
      </c>
      <c r="F841" s="2" t="s">
        <v>18</v>
      </c>
      <c r="G841" s="2" t="s">
        <v>13</v>
      </c>
      <c r="H841" s="2">
        <v>13</v>
      </c>
      <c r="I841" s="2">
        <v>201</v>
      </c>
      <c r="J841" s="5">
        <v>150750</v>
      </c>
      <c r="K841" s="5">
        <v>60300</v>
      </c>
    </row>
    <row r="842" spans="1:11" x14ac:dyDescent="0.25">
      <c r="A842" s="2">
        <v>10841</v>
      </c>
      <c r="B842" s="2">
        <f t="shared" si="13"/>
        <v>2021</v>
      </c>
      <c r="C842" s="3">
        <v>44287</v>
      </c>
      <c r="D842" s="4">
        <v>44306</v>
      </c>
      <c r="E842" s="2" t="s">
        <v>11</v>
      </c>
      <c r="F842" s="2" t="s">
        <v>12</v>
      </c>
      <c r="G842" s="2" t="s">
        <v>20</v>
      </c>
      <c r="H842" s="2">
        <v>11</v>
      </c>
      <c r="I842" s="2">
        <v>299</v>
      </c>
      <c r="J842" s="5">
        <v>254150</v>
      </c>
      <c r="K842" s="5">
        <v>40664</v>
      </c>
    </row>
    <row r="843" spans="1:11" x14ac:dyDescent="0.25">
      <c r="A843" s="2">
        <v>10842</v>
      </c>
      <c r="B843" s="2">
        <f t="shared" si="13"/>
        <v>2021</v>
      </c>
      <c r="C843" s="3">
        <v>44287</v>
      </c>
      <c r="D843" s="4">
        <v>44307</v>
      </c>
      <c r="E843" s="2" t="s">
        <v>22</v>
      </c>
      <c r="F843" s="2" t="s">
        <v>12</v>
      </c>
      <c r="G843" s="2" t="s">
        <v>15</v>
      </c>
      <c r="H843" s="2">
        <v>12</v>
      </c>
      <c r="I843" s="2">
        <v>410</v>
      </c>
      <c r="J843" s="5">
        <v>205000</v>
      </c>
      <c r="K843" s="5">
        <v>43050</v>
      </c>
    </row>
    <row r="844" spans="1:11" x14ac:dyDescent="0.25">
      <c r="A844" s="2">
        <v>10843</v>
      </c>
      <c r="B844" s="2">
        <f t="shared" si="13"/>
        <v>2021</v>
      </c>
      <c r="C844" s="3">
        <v>44287</v>
      </c>
      <c r="D844" s="4">
        <v>44308</v>
      </c>
      <c r="E844" s="2" t="s">
        <v>14</v>
      </c>
      <c r="F844" s="2" t="s">
        <v>24</v>
      </c>
      <c r="G844" s="2" t="s">
        <v>13</v>
      </c>
      <c r="H844" s="2">
        <v>13</v>
      </c>
      <c r="I844" s="2">
        <v>179</v>
      </c>
      <c r="J844" s="5">
        <v>134250</v>
      </c>
      <c r="K844" s="5">
        <v>34905</v>
      </c>
    </row>
    <row r="845" spans="1:11" x14ac:dyDescent="0.25">
      <c r="A845" s="2">
        <v>10844</v>
      </c>
      <c r="B845" s="2">
        <f t="shared" si="13"/>
        <v>2021</v>
      </c>
      <c r="C845" s="3">
        <v>44287</v>
      </c>
      <c r="D845" s="4">
        <v>44309</v>
      </c>
      <c r="E845" s="2" t="s">
        <v>22</v>
      </c>
      <c r="F845" s="2" t="s">
        <v>21</v>
      </c>
      <c r="G845" s="2" t="s">
        <v>20</v>
      </c>
      <c r="H845" s="2">
        <v>18</v>
      </c>
      <c r="I845" s="2">
        <v>288</v>
      </c>
      <c r="J845" s="5">
        <v>244800</v>
      </c>
      <c r="K845" s="5">
        <v>63648</v>
      </c>
    </row>
    <row r="846" spans="1:11" x14ac:dyDescent="0.25">
      <c r="A846" s="2">
        <v>10845</v>
      </c>
      <c r="B846" s="2">
        <f t="shared" si="13"/>
        <v>2021</v>
      </c>
      <c r="C846" s="3">
        <v>44287</v>
      </c>
      <c r="D846" s="4">
        <v>44310</v>
      </c>
      <c r="E846" s="2" t="s">
        <v>25</v>
      </c>
      <c r="F846" s="2" t="s">
        <v>21</v>
      </c>
      <c r="G846" s="2" t="s">
        <v>20</v>
      </c>
      <c r="H846" s="2">
        <v>7</v>
      </c>
      <c r="I846" s="2">
        <v>257</v>
      </c>
      <c r="J846" s="5">
        <v>218450</v>
      </c>
      <c r="K846" s="5">
        <v>21845</v>
      </c>
    </row>
    <row r="847" spans="1:11" x14ac:dyDescent="0.25">
      <c r="A847" s="2">
        <v>10846</v>
      </c>
      <c r="B847" s="2">
        <f t="shared" si="13"/>
        <v>2021</v>
      </c>
      <c r="C847" s="3">
        <v>44287</v>
      </c>
      <c r="D847" s="4">
        <v>44311</v>
      </c>
      <c r="E847" s="2" t="s">
        <v>11</v>
      </c>
      <c r="F847" s="2" t="s">
        <v>24</v>
      </c>
      <c r="G847" s="2" t="s">
        <v>13</v>
      </c>
      <c r="H847" s="2">
        <v>7</v>
      </c>
      <c r="I847" s="2">
        <v>306</v>
      </c>
      <c r="J847" s="5">
        <v>229500</v>
      </c>
      <c r="K847" s="5">
        <v>29835</v>
      </c>
    </row>
    <row r="848" spans="1:11" x14ac:dyDescent="0.25">
      <c r="A848" s="2">
        <v>10847</v>
      </c>
      <c r="B848" s="2">
        <f t="shared" si="13"/>
        <v>2021</v>
      </c>
      <c r="C848" s="3">
        <v>44287</v>
      </c>
      <c r="D848" s="4">
        <v>44312</v>
      </c>
      <c r="E848" s="2" t="s">
        <v>19</v>
      </c>
      <c r="F848" s="2" t="s">
        <v>21</v>
      </c>
      <c r="G848" s="2" t="s">
        <v>20</v>
      </c>
      <c r="H848" s="2">
        <v>3</v>
      </c>
      <c r="I848" s="2">
        <v>163</v>
      </c>
      <c r="J848" s="5">
        <v>138550</v>
      </c>
      <c r="K848" s="5">
        <v>20782.5</v>
      </c>
    </row>
    <row r="849" spans="1:11" x14ac:dyDescent="0.25">
      <c r="A849" s="2">
        <v>10848</v>
      </c>
      <c r="B849" s="2">
        <f t="shared" si="13"/>
        <v>2021</v>
      </c>
      <c r="C849" s="3">
        <v>44287</v>
      </c>
      <c r="D849" s="4">
        <v>44313</v>
      </c>
      <c r="E849" s="2" t="s">
        <v>22</v>
      </c>
      <c r="F849" s="2" t="s">
        <v>16</v>
      </c>
      <c r="G849" s="2" t="s">
        <v>23</v>
      </c>
      <c r="H849" s="2">
        <v>19</v>
      </c>
      <c r="I849" s="2">
        <v>250</v>
      </c>
      <c r="J849" s="5">
        <v>87500</v>
      </c>
      <c r="K849" s="5">
        <v>30624.999999999996</v>
      </c>
    </row>
    <row r="850" spans="1:11" x14ac:dyDescent="0.25">
      <c r="A850" s="2">
        <v>10849</v>
      </c>
      <c r="B850" s="2">
        <f t="shared" si="13"/>
        <v>2021</v>
      </c>
      <c r="C850" s="3">
        <v>44287</v>
      </c>
      <c r="D850" s="4">
        <v>44314</v>
      </c>
      <c r="E850" s="2" t="s">
        <v>14</v>
      </c>
      <c r="F850" s="2" t="s">
        <v>16</v>
      </c>
      <c r="G850" s="2" t="s">
        <v>17</v>
      </c>
      <c r="H850" s="2">
        <v>17</v>
      </c>
      <c r="I850" s="2">
        <v>241</v>
      </c>
      <c r="J850" s="5">
        <v>60250</v>
      </c>
      <c r="K850" s="5">
        <v>23497.5</v>
      </c>
    </row>
    <row r="851" spans="1:11" x14ac:dyDescent="0.25">
      <c r="A851" s="2">
        <v>10850</v>
      </c>
      <c r="B851" s="2">
        <f t="shared" si="13"/>
        <v>2021</v>
      </c>
      <c r="C851" s="3">
        <v>44287</v>
      </c>
      <c r="D851" s="4">
        <v>44315</v>
      </c>
      <c r="E851" s="2" t="s">
        <v>22</v>
      </c>
      <c r="F851" s="2" t="s">
        <v>21</v>
      </c>
      <c r="G851" s="2" t="s">
        <v>20</v>
      </c>
      <c r="H851" s="2">
        <v>9</v>
      </c>
      <c r="I851" s="2">
        <v>129</v>
      </c>
      <c r="J851" s="5">
        <v>109650</v>
      </c>
      <c r="K851" s="5">
        <v>44956.5</v>
      </c>
    </row>
    <row r="852" spans="1:11" x14ac:dyDescent="0.25">
      <c r="A852" s="2">
        <v>10851</v>
      </c>
      <c r="B852" s="2">
        <f t="shared" si="13"/>
        <v>2021</v>
      </c>
      <c r="C852" s="3">
        <v>44287</v>
      </c>
      <c r="D852" s="4">
        <v>44316</v>
      </c>
      <c r="E852" s="2" t="s">
        <v>25</v>
      </c>
      <c r="F852" s="2" t="s">
        <v>24</v>
      </c>
      <c r="G852" s="2" t="s">
        <v>15</v>
      </c>
      <c r="H852" s="2">
        <v>8</v>
      </c>
      <c r="I852" s="2">
        <v>96</v>
      </c>
      <c r="J852" s="5">
        <v>48000</v>
      </c>
      <c r="K852" s="5">
        <v>8640</v>
      </c>
    </row>
    <row r="853" spans="1:11" x14ac:dyDescent="0.25">
      <c r="A853" s="2">
        <v>10852</v>
      </c>
      <c r="B853" s="2">
        <f t="shared" si="13"/>
        <v>2021</v>
      </c>
      <c r="C853" s="3">
        <v>44317</v>
      </c>
      <c r="D853" s="4">
        <v>44317</v>
      </c>
      <c r="E853" s="2" t="s">
        <v>25</v>
      </c>
      <c r="F853" s="2" t="s">
        <v>16</v>
      </c>
      <c r="G853" s="2" t="s">
        <v>13</v>
      </c>
      <c r="H853" s="2">
        <v>3</v>
      </c>
      <c r="I853" s="2">
        <v>71</v>
      </c>
      <c r="J853" s="5">
        <v>53250</v>
      </c>
      <c r="K853" s="5">
        <v>14377.500000000002</v>
      </c>
    </row>
    <row r="854" spans="1:11" x14ac:dyDescent="0.25">
      <c r="A854" s="2">
        <v>10853</v>
      </c>
      <c r="B854" s="2">
        <f t="shared" si="13"/>
        <v>2021</v>
      </c>
      <c r="C854" s="3">
        <v>44317</v>
      </c>
      <c r="D854" s="4">
        <v>44318</v>
      </c>
      <c r="E854" s="2" t="s">
        <v>19</v>
      </c>
      <c r="F854" s="2" t="s">
        <v>24</v>
      </c>
      <c r="G854" s="2" t="s">
        <v>13</v>
      </c>
      <c r="H854" s="2">
        <v>2</v>
      </c>
      <c r="I854" s="2">
        <v>146</v>
      </c>
      <c r="J854" s="5">
        <v>109500</v>
      </c>
      <c r="K854" s="5">
        <v>38325</v>
      </c>
    </row>
    <row r="855" spans="1:11" x14ac:dyDescent="0.25">
      <c r="A855" s="2">
        <v>10854</v>
      </c>
      <c r="B855" s="2">
        <f t="shared" si="13"/>
        <v>2021</v>
      </c>
      <c r="C855" s="3">
        <v>44317</v>
      </c>
      <c r="D855" s="4">
        <v>44319</v>
      </c>
      <c r="E855" s="2" t="s">
        <v>22</v>
      </c>
      <c r="F855" s="2" t="s">
        <v>24</v>
      </c>
      <c r="G855" s="2" t="s">
        <v>23</v>
      </c>
      <c r="H855" s="2">
        <v>3</v>
      </c>
      <c r="I855" s="2">
        <v>37</v>
      </c>
      <c r="J855" s="5">
        <v>12950</v>
      </c>
      <c r="K855" s="5">
        <v>5050.5</v>
      </c>
    </row>
    <row r="856" spans="1:11" x14ac:dyDescent="0.25">
      <c r="A856" s="2">
        <v>10855</v>
      </c>
      <c r="B856" s="2">
        <f t="shared" si="13"/>
        <v>2021</v>
      </c>
      <c r="C856" s="3">
        <v>44317</v>
      </c>
      <c r="D856" s="4">
        <v>44320</v>
      </c>
      <c r="E856" s="2" t="s">
        <v>19</v>
      </c>
      <c r="F856" s="2" t="s">
        <v>24</v>
      </c>
      <c r="G856" s="2" t="s">
        <v>13</v>
      </c>
      <c r="H856" s="2">
        <v>4</v>
      </c>
      <c r="I856" s="2">
        <v>158</v>
      </c>
      <c r="J856" s="5">
        <v>118500</v>
      </c>
      <c r="K856" s="5">
        <v>40290</v>
      </c>
    </row>
    <row r="857" spans="1:11" x14ac:dyDescent="0.25">
      <c r="A857" s="2">
        <v>10856</v>
      </c>
      <c r="B857" s="2">
        <f t="shared" si="13"/>
        <v>2021</v>
      </c>
      <c r="C857" s="3">
        <v>44317</v>
      </c>
      <c r="D857" s="4">
        <v>44321</v>
      </c>
      <c r="E857" s="2" t="s">
        <v>14</v>
      </c>
      <c r="F857" s="2" t="s">
        <v>24</v>
      </c>
      <c r="G857" s="2" t="s">
        <v>15</v>
      </c>
      <c r="H857" s="2">
        <v>4</v>
      </c>
      <c r="I857" s="2">
        <v>54</v>
      </c>
      <c r="J857" s="5">
        <v>27000</v>
      </c>
      <c r="K857" s="5">
        <v>9990</v>
      </c>
    </row>
    <row r="858" spans="1:11" x14ac:dyDescent="0.25">
      <c r="A858" s="2">
        <v>10857</v>
      </c>
      <c r="B858" s="2">
        <f t="shared" si="13"/>
        <v>2021</v>
      </c>
      <c r="C858" s="3">
        <v>44317</v>
      </c>
      <c r="D858" s="4">
        <v>44322</v>
      </c>
      <c r="E858" s="2" t="s">
        <v>11</v>
      </c>
      <c r="F858" s="2" t="s">
        <v>12</v>
      </c>
      <c r="G858" s="2" t="s">
        <v>13</v>
      </c>
      <c r="H858" s="2">
        <v>22</v>
      </c>
      <c r="I858" s="2">
        <v>419</v>
      </c>
      <c r="J858" s="5">
        <v>314250</v>
      </c>
      <c r="K858" s="5">
        <v>62850</v>
      </c>
    </row>
    <row r="859" spans="1:11" x14ac:dyDescent="0.25">
      <c r="A859" s="2">
        <v>10858</v>
      </c>
      <c r="B859" s="2">
        <f t="shared" si="13"/>
        <v>2021</v>
      </c>
      <c r="C859" s="3">
        <v>44317</v>
      </c>
      <c r="D859" s="4">
        <v>44323</v>
      </c>
      <c r="E859" s="2" t="s">
        <v>11</v>
      </c>
      <c r="F859" s="2" t="s">
        <v>18</v>
      </c>
      <c r="G859" s="2" t="s">
        <v>15</v>
      </c>
      <c r="H859" s="2">
        <v>23</v>
      </c>
      <c r="I859" s="2">
        <v>493</v>
      </c>
      <c r="J859" s="5">
        <v>246500</v>
      </c>
      <c r="K859" s="5">
        <v>64090</v>
      </c>
    </row>
    <row r="860" spans="1:11" x14ac:dyDescent="0.25">
      <c r="A860" s="2">
        <v>10859</v>
      </c>
      <c r="B860" s="2">
        <f t="shared" si="13"/>
        <v>2021</v>
      </c>
      <c r="C860" s="3">
        <v>44317</v>
      </c>
      <c r="D860" s="4">
        <v>44324</v>
      </c>
      <c r="E860" s="2" t="s">
        <v>14</v>
      </c>
      <c r="F860" s="2" t="s">
        <v>18</v>
      </c>
      <c r="G860" s="2" t="s">
        <v>15</v>
      </c>
      <c r="H860" s="2">
        <v>33</v>
      </c>
      <c r="I860" s="2">
        <v>480</v>
      </c>
      <c r="J860" s="5">
        <v>240000</v>
      </c>
      <c r="K860" s="5">
        <v>55200</v>
      </c>
    </row>
    <row r="861" spans="1:11" x14ac:dyDescent="0.25">
      <c r="A861" s="2">
        <v>10860</v>
      </c>
      <c r="B861" s="2">
        <f t="shared" si="13"/>
        <v>2021</v>
      </c>
      <c r="C861" s="3">
        <v>44317</v>
      </c>
      <c r="D861" s="4">
        <v>44325</v>
      </c>
      <c r="E861" s="2" t="s">
        <v>19</v>
      </c>
      <c r="F861" s="2" t="s">
        <v>12</v>
      </c>
      <c r="G861" s="2" t="s">
        <v>20</v>
      </c>
      <c r="H861" s="2">
        <v>45</v>
      </c>
      <c r="I861" s="2">
        <v>465</v>
      </c>
      <c r="J861" s="5">
        <v>395250</v>
      </c>
      <c r="K861" s="5">
        <v>71145</v>
      </c>
    </row>
    <row r="862" spans="1:11" x14ac:dyDescent="0.25">
      <c r="A862" s="2">
        <v>10861</v>
      </c>
      <c r="B862" s="2">
        <f t="shared" si="13"/>
        <v>2021</v>
      </c>
      <c r="C862" s="3">
        <v>44317</v>
      </c>
      <c r="D862" s="4">
        <v>44326</v>
      </c>
      <c r="E862" s="2" t="s">
        <v>11</v>
      </c>
      <c r="F862" s="2" t="s">
        <v>24</v>
      </c>
      <c r="G862" s="2" t="s">
        <v>15</v>
      </c>
      <c r="H862" s="2">
        <v>6</v>
      </c>
      <c r="I862" s="2">
        <v>76</v>
      </c>
      <c r="J862" s="5">
        <v>38000</v>
      </c>
      <c r="K862" s="5">
        <v>8740</v>
      </c>
    </row>
    <row r="863" spans="1:11" x14ac:dyDescent="0.25">
      <c r="A863" s="2">
        <v>10862</v>
      </c>
      <c r="B863" s="2">
        <f t="shared" si="13"/>
        <v>2021</v>
      </c>
      <c r="C863" s="3">
        <v>44317</v>
      </c>
      <c r="D863" s="4">
        <v>44327</v>
      </c>
      <c r="E863" s="2" t="s">
        <v>22</v>
      </c>
      <c r="F863" s="2" t="s">
        <v>16</v>
      </c>
      <c r="G863" s="2" t="s">
        <v>20</v>
      </c>
      <c r="H863" s="2">
        <v>28</v>
      </c>
      <c r="I863" s="2">
        <v>385</v>
      </c>
      <c r="J863" s="5">
        <v>327250</v>
      </c>
      <c r="K863" s="5">
        <v>32725</v>
      </c>
    </row>
    <row r="864" spans="1:11" x14ac:dyDescent="0.25">
      <c r="A864" s="2">
        <v>10863</v>
      </c>
      <c r="B864" s="2">
        <f t="shared" si="13"/>
        <v>2021</v>
      </c>
      <c r="C864" s="3">
        <v>44317</v>
      </c>
      <c r="D864" s="4">
        <v>44328</v>
      </c>
      <c r="E864" s="2" t="s">
        <v>19</v>
      </c>
      <c r="F864" s="2" t="s">
        <v>24</v>
      </c>
      <c r="G864" s="2" t="s">
        <v>20</v>
      </c>
      <c r="H864" s="2">
        <v>43</v>
      </c>
      <c r="I864" s="2">
        <v>446</v>
      </c>
      <c r="J864" s="5">
        <v>379100</v>
      </c>
      <c r="K864" s="5">
        <v>64447.000000000007</v>
      </c>
    </row>
    <row r="865" spans="1:11" x14ac:dyDescent="0.25">
      <c r="A865" s="2">
        <v>10864</v>
      </c>
      <c r="B865" s="2">
        <f t="shared" si="13"/>
        <v>2021</v>
      </c>
      <c r="C865" s="3">
        <v>44317</v>
      </c>
      <c r="D865" s="4">
        <v>44329</v>
      </c>
      <c r="E865" s="2" t="s">
        <v>22</v>
      </c>
      <c r="F865" s="2" t="s">
        <v>24</v>
      </c>
      <c r="G865" s="2" t="s">
        <v>17</v>
      </c>
      <c r="H865" s="2">
        <v>11</v>
      </c>
      <c r="I865" s="2">
        <v>232</v>
      </c>
      <c r="J865" s="5">
        <v>58000</v>
      </c>
      <c r="K865" s="5">
        <v>12180</v>
      </c>
    </row>
    <row r="866" spans="1:11" x14ac:dyDescent="0.25">
      <c r="A866" s="2">
        <v>10865</v>
      </c>
      <c r="B866" s="2">
        <f t="shared" si="13"/>
        <v>2021</v>
      </c>
      <c r="C866" s="3">
        <v>44317</v>
      </c>
      <c r="D866" s="4">
        <v>44330</v>
      </c>
      <c r="E866" s="2" t="s">
        <v>19</v>
      </c>
      <c r="F866" s="2" t="s">
        <v>24</v>
      </c>
      <c r="G866" s="2" t="s">
        <v>13</v>
      </c>
      <c r="H866" s="2">
        <v>18</v>
      </c>
      <c r="I866" s="2">
        <v>490</v>
      </c>
      <c r="J866" s="5">
        <v>367500</v>
      </c>
      <c r="K866" s="5">
        <v>147000</v>
      </c>
    </row>
    <row r="867" spans="1:11" x14ac:dyDescent="0.25">
      <c r="A867" s="2">
        <v>10866</v>
      </c>
      <c r="B867" s="2">
        <f t="shared" si="13"/>
        <v>2021</v>
      </c>
      <c r="C867" s="3">
        <v>44317</v>
      </c>
      <c r="D867" s="4">
        <v>44331</v>
      </c>
      <c r="E867" s="2" t="s">
        <v>11</v>
      </c>
      <c r="F867" s="2" t="s">
        <v>18</v>
      </c>
      <c r="G867" s="2" t="s">
        <v>23</v>
      </c>
      <c r="H867" s="2">
        <v>20</v>
      </c>
      <c r="I867" s="2">
        <v>369</v>
      </c>
      <c r="J867" s="5">
        <v>129150</v>
      </c>
      <c r="K867" s="5">
        <v>47785.5</v>
      </c>
    </row>
    <row r="868" spans="1:11" x14ac:dyDescent="0.25">
      <c r="A868" s="2">
        <v>10867</v>
      </c>
      <c r="B868" s="2">
        <f t="shared" si="13"/>
        <v>2021</v>
      </c>
      <c r="C868" s="3">
        <v>44317</v>
      </c>
      <c r="D868" s="4">
        <v>44332</v>
      </c>
      <c r="E868" s="2" t="s">
        <v>14</v>
      </c>
      <c r="F868" s="2" t="s">
        <v>21</v>
      </c>
      <c r="G868" s="2" t="s">
        <v>20</v>
      </c>
      <c r="H868" s="2">
        <v>11</v>
      </c>
      <c r="I868" s="2">
        <v>249</v>
      </c>
      <c r="J868" s="5">
        <v>211650</v>
      </c>
      <c r="K868" s="5">
        <v>46563</v>
      </c>
    </row>
    <row r="869" spans="1:11" x14ac:dyDescent="0.25">
      <c r="A869" s="2">
        <v>10868</v>
      </c>
      <c r="B869" s="2">
        <f t="shared" si="13"/>
        <v>2021</v>
      </c>
      <c r="C869" s="3">
        <v>44317</v>
      </c>
      <c r="D869" s="4">
        <v>44333</v>
      </c>
      <c r="E869" s="2" t="s">
        <v>11</v>
      </c>
      <c r="F869" s="2" t="s">
        <v>16</v>
      </c>
      <c r="G869" s="2" t="s">
        <v>23</v>
      </c>
      <c r="H869" s="2">
        <v>1</v>
      </c>
      <c r="I869" s="2">
        <v>50</v>
      </c>
      <c r="J869" s="5">
        <v>17500</v>
      </c>
      <c r="K869" s="5">
        <v>5600</v>
      </c>
    </row>
    <row r="870" spans="1:11" x14ac:dyDescent="0.25">
      <c r="A870" s="2">
        <v>10869</v>
      </c>
      <c r="B870" s="2">
        <f t="shared" si="13"/>
        <v>2021</v>
      </c>
      <c r="C870" s="3">
        <v>44317</v>
      </c>
      <c r="D870" s="4">
        <v>44334</v>
      </c>
      <c r="E870" s="2" t="s">
        <v>19</v>
      </c>
      <c r="F870" s="2" t="s">
        <v>21</v>
      </c>
      <c r="G870" s="2" t="s">
        <v>20</v>
      </c>
      <c r="H870" s="2">
        <v>12</v>
      </c>
      <c r="I870" s="2">
        <v>134</v>
      </c>
      <c r="J870" s="5">
        <v>113900</v>
      </c>
      <c r="K870" s="5">
        <v>51255</v>
      </c>
    </row>
    <row r="871" spans="1:11" x14ac:dyDescent="0.25">
      <c r="A871" s="2">
        <v>10870</v>
      </c>
      <c r="B871" s="2">
        <f t="shared" si="13"/>
        <v>2021</v>
      </c>
      <c r="C871" s="3">
        <v>44317</v>
      </c>
      <c r="D871" s="4">
        <v>44335</v>
      </c>
      <c r="E871" s="2" t="s">
        <v>19</v>
      </c>
      <c r="F871" s="2" t="s">
        <v>24</v>
      </c>
      <c r="G871" s="2" t="s">
        <v>23</v>
      </c>
      <c r="H871" s="2">
        <v>49</v>
      </c>
      <c r="I871" s="2">
        <v>498</v>
      </c>
      <c r="J871" s="5">
        <v>174300</v>
      </c>
      <c r="K871" s="5">
        <v>17430</v>
      </c>
    </row>
    <row r="872" spans="1:11" x14ac:dyDescent="0.25">
      <c r="A872" s="2">
        <v>10871</v>
      </c>
      <c r="B872" s="2">
        <f t="shared" si="13"/>
        <v>2021</v>
      </c>
      <c r="C872" s="3">
        <v>44317</v>
      </c>
      <c r="D872" s="4">
        <v>44336</v>
      </c>
      <c r="E872" s="2" t="s">
        <v>25</v>
      </c>
      <c r="F872" s="2" t="s">
        <v>18</v>
      </c>
      <c r="G872" s="2" t="s">
        <v>23</v>
      </c>
      <c r="H872" s="2">
        <v>13</v>
      </c>
      <c r="I872" s="2">
        <v>155</v>
      </c>
      <c r="J872" s="5">
        <v>54250</v>
      </c>
      <c r="K872" s="5">
        <v>10850</v>
      </c>
    </row>
    <row r="873" spans="1:11" x14ac:dyDescent="0.25">
      <c r="A873" s="2">
        <v>10872</v>
      </c>
      <c r="B873" s="2">
        <f t="shared" si="13"/>
        <v>2021</v>
      </c>
      <c r="C873" s="3">
        <v>44317</v>
      </c>
      <c r="D873" s="4">
        <v>44337</v>
      </c>
      <c r="E873" s="2" t="s">
        <v>19</v>
      </c>
      <c r="F873" s="2" t="s">
        <v>24</v>
      </c>
      <c r="G873" s="2" t="s">
        <v>15</v>
      </c>
      <c r="H873" s="2">
        <v>15</v>
      </c>
      <c r="I873" s="2">
        <v>263</v>
      </c>
      <c r="J873" s="5">
        <v>131500</v>
      </c>
      <c r="K873" s="5">
        <v>36820</v>
      </c>
    </row>
    <row r="874" spans="1:11" x14ac:dyDescent="0.25">
      <c r="A874" s="2">
        <v>10873</v>
      </c>
      <c r="B874" s="2">
        <f t="shared" si="13"/>
        <v>2021</v>
      </c>
      <c r="C874" s="3">
        <v>44317</v>
      </c>
      <c r="D874" s="4">
        <v>44338</v>
      </c>
      <c r="E874" s="2" t="s">
        <v>11</v>
      </c>
      <c r="F874" s="2" t="s">
        <v>21</v>
      </c>
      <c r="G874" s="2" t="s">
        <v>20</v>
      </c>
      <c r="H874" s="2">
        <v>4</v>
      </c>
      <c r="I874" s="2">
        <v>40</v>
      </c>
      <c r="J874" s="5">
        <v>34000</v>
      </c>
      <c r="K874" s="5">
        <v>9520</v>
      </c>
    </row>
    <row r="875" spans="1:11" x14ac:dyDescent="0.25">
      <c r="A875" s="2">
        <v>10874</v>
      </c>
      <c r="B875" s="2">
        <f t="shared" si="13"/>
        <v>2021</v>
      </c>
      <c r="C875" s="3">
        <v>44317</v>
      </c>
      <c r="D875" s="4">
        <v>44339</v>
      </c>
      <c r="E875" s="2" t="s">
        <v>14</v>
      </c>
      <c r="F875" s="2" t="s">
        <v>16</v>
      </c>
      <c r="G875" s="2" t="s">
        <v>13</v>
      </c>
      <c r="H875" s="2">
        <v>10</v>
      </c>
      <c r="I875" s="2">
        <v>282</v>
      </c>
      <c r="J875" s="5">
        <v>211500</v>
      </c>
      <c r="K875" s="5">
        <v>82485</v>
      </c>
    </row>
    <row r="876" spans="1:11" x14ac:dyDescent="0.25">
      <c r="A876" s="2">
        <v>10875</v>
      </c>
      <c r="B876" s="2">
        <f t="shared" si="13"/>
        <v>2021</v>
      </c>
      <c r="C876" s="3">
        <v>44317</v>
      </c>
      <c r="D876" s="4">
        <v>44340</v>
      </c>
      <c r="E876" s="2" t="s">
        <v>14</v>
      </c>
      <c r="F876" s="2" t="s">
        <v>24</v>
      </c>
      <c r="G876" s="2" t="s">
        <v>15</v>
      </c>
      <c r="H876" s="2">
        <v>23</v>
      </c>
      <c r="I876" s="2">
        <v>257</v>
      </c>
      <c r="J876" s="5">
        <v>128500</v>
      </c>
      <c r="K876" s="5">
        <v>15420</v>
      </c>
    </row>
    <row r="877" spans="1:11" x14ac:dyDescent="0.25">
      <c r="A877" s="2">
        <v>10876</v>
      </c>
      <c r="B877" s="2">
        <f t="shared" si="13"/>
        <v>2021</v>
      </c>
      <c r="C877" s="3">
        <v>44317</v>
      </c>
      <c r="D877" s="4">
        <v>44341</v>
      </c>
      <c r="E877" s="2" t="s">
        <v>14</v>
      </c>
      <c r="F877" s="2" t="s">
        <v>16</v>
      </c>
      <c r="G877" s="2" t="s">
        <v>17</v>
      </c>
      <c r="H877" s="2">
        <v>20</v>
      </c>
      <c r="I877" s="2">
        <v>233</v>
      </c>
      <c r="J877" s="5">
        <v>58250</v>
      </c>
      <c r="K877" s="5">
        <v>23882.5</v>
      </c>
    </row>
    <row r="878" spans="1:11" x14ac:dyDescent="0.25">
      <c r="A878" s="2">
        <v>10877</v>
      </c>
      <c r="B878" s="2">
        <f t="shared" si="13"/>
        <v>2021</v>
      </c>
      <c r="C878" s="3">
        <v>44317</v>
      </c>
      <c r="D878" s="4">
        <v>44342</v>
      </c>
      <c r="E878" s="2" t="s">
        <v>14</v>
      </c>
      <c r="F878" s="2" t="s">
        <v>18</v>
      </c>
      <c r="G878" s="2" t="s">
        <v>15</v>
      </c>
      <c r="H878" s="2">
        <v>9</v>
      </c>
      <c r="I878" s="2">
        <v>304</v>
      </c>
      <c r="J878" s="5">
        <v>152000</v>
      </c>
      <c r="K878" s="5">
        <v>56240</v>
      </c>
    </row>
    <row r="879" spans="1:11" x14ac:dyDescent="0.25">
      <c r="A879" s="2">
        <v>10878</v>
      </c>
      <c r="B879" s="2">
        <f t="shared" si="13"/>
        <v>2021</v>
      </c>
      <c r="C879" s="3">
        <v>44317</v>
      </c>
      <c r="D879" s="4">
        <v>44343</v>
      </c>
      <c r="E879" s="2" t="s">
        <v>25</v>
      </c>
      <c r="F879" s="2" t="s">
        <v>16</v>
      </c>
      <c r="G879" s="2" t="s">
        <v>17</v>
      </c>
      <c r="H879" s="2">
        <v>1</v>
      </c>
      <c r="I879" s="2">
        <v>13</v>
      </c>
      <c r="J879" s="5">
        <v>3250</v>
      </c>
      <c r="K879" s="5">
        <v>585</v>
      </c>
    </row>
    <row r="880" spans="1:11" x14ac:dyDescent="0.25">
      <c r="A880" s="2">
        <v>10879</v>
      </c>
      <c r="B880" s="2">
        <f t="shared" si="13"/>
        <v>2021</v>
      </c>
      <c r="C880" s="3">
        <v>44317</v>
      </c>
      <c r="D880" s="4">
        <v>44344</v>
      </c>
      <c r="E880" s="2" t="s">
        <v>25</v>
      </c>
      <c r="F880" s="2" t="s">
        <v>21</v>
      </c>
      <c r="G880" s="2" t="s">
        <v>17</v>
      </c>
      <c r="H880" s="2">
        <v>6</v>
      </c>
      <c r="I880" s="2">
        <v>254</v>
      </c>
      <c r="J880" s="5">
        <v>63500</v>
      </c>
      <c r="K880" s="5">
        <v>28575</v>
      </c>
    </row>
    <row r="881" spans="1:11" x14ac:dyDescent="0.25">
      <c r="A881" s="2">
        <v>10880</v>
      </c>
      <c r="B881" s="2">
        <f t="shared" si="13"/>
        <v>2021</v>
      </c>
      <c r="C881" s="3">
        <v>44317</v>
      </c>
      <c r="D881" s="4">
        <v>44345</v>
      </c>
      <c r="E881" s="2" t="s">
        <v>19</v>
      </c>
      <c r="F881" s="2" t="s">
        <v>18</v>
      </c>
      <c r="G881" s="2" t="s">
        <v>15</v>
      </c>
      <c r="H881" s="2">
        <v>19</v>
      </c>
      <c r="I881" s="2">
        <v>369</v>
      </c>
      <c r="J881" s="5">
        <v>184500</v>
      </c>
      <c r="K881" s="5">
        <v>22140</v>
      </c>
    </row>
    <row r="882" spans="1:11" x14ac:dyDescent="0.25">
      <c r="A882" s="2">
        <v>10881</v>
      </c>
      <c r="B882" s="2">
        <f t="shared" si="13"/>
        <v>2021</v>
      </c>
      <c r="C882" s="3">
        <v>44317</v>
      </c>
      <c r="D882" s="4">
        <v>44346</v>
      </c>
      <c r="E882" s="2" t="s">
        <v>22</v>
      </c>
      <c r="F882" s="2" t="s">
        <v>12</v>
      </c>
      <c r="G882" s="2" t="s">
        <v>23</v>
      </c>
      <c r="H882" s="2">
        <v>7</v>
      </c>
      <c r="I882" s="2">
        <v>211</v>
      </c>
      <c r="J882" s="5">
        <v>73850</v>
      </c>
      <c r="K882" s="5">
        <v>17724</v>
      </c>
    </row>
    <row r="883" spans="1:11" x14ac:dyDescent="0.25">
      <c r="A883" s="2">
        <v>10882</v>
      </c>
      <c r="B883" s="2">
        <f t="shared" si="13"/>
        <v>2021</v>
      </c>
      <c r="C883" s="3">
        <v>44317</v>
      </c>
      <c r="D883" s="4">
        <v>44347</v>
      </c>
      <c r="E883" s="2" t="s">
        <v>14</v>
      </c>
      <c r="F883" s="2" t="s">
        <v>24</v>
      </c>
      <c r="G883" s="2" t="s">
        <v>17</v>
      </c>
      <c r="H883" s="2">
        <v>28</v>
      </c>
      <c r="I883" s="2">
        <v>459</v>
      </c>
      <c r="J883" s="5">
        <v>114750</v>
      </c>
      <c r="K883" s="5">
        <v>14917.5</v>
      </c>
    </row>
    <row r="884" spans="1:11" x14ac:dyDescent="0.25">
      <c r="A884" s="2">
        <v>10883</v>
      </c>
      <c r="B884" s="2">
        <f t="shared" si="13"/>
        <v>2021</v>
      </c>
      <c r="C884" s="3">
        <v>44348</v>
      </c>
      <c r="D884" s="4">
        <v>44348</v>
      </c>
      <c r="E884" s="2" t="s">
        <v>14</v>
      </c>
      <c r="F884" s="2" t="s">
        <v>16</v>
      </c>
      <c r="G884" s="2" t="s">
        <v>15</v>
      </c>
      <c r="H884" s="2">
        <v>1</v>
      </c>
      <c r="I884" s="2">
        <v>23</v>
      </c>
      <c r="J884" s="5">
        <v>11500</v>
      </c>
      <c r="K884" s="5">
        <v>2070</v>
      </c>
    </row>
    <row r="885" spans="1:11" x14ac:dyDescent="0.25">
      <c r="A885" s="2">
        <v>10884</v>
      </c>
      <c r="B885" s="2">
        <f t="shared" si="13"/>
        <v>2021</v>
      </c>
      <c r="C885" s="3">
        <v>44348</v>
      </c>
      <c r="D885" s="4">
        <v>44349</v>
      </c>
      <c r="E885" s="2" t="s">
        <v>25</v>
      </c>
      <c r="F885" s="2" t="s">
        <v>12</v>
      </c>
      <c r="G885" s="2" t="s">
        <v>15</v>
      </c>
      <c r="H885" s="2">
        <v>5</v>
      </c>
      <c r="I885" s="2">
        <v>189</v>
      </c>
      <c r="J885" s="5">
        <v>94500</v>
      </c>
      <c r="K885" s="5">
        <v>34020</v>
      </c>
    </row>
    <row r="886" spans="1:11" x14ac:dyDescent="0.25">
      <c r="A886" s="2">
        <v>10885</v>
      </c>
      <c r="B886" s="2">
        <f t="shared" si="13"/>
        <v>2021</v>
      </c>
      <c r="C886" s="3">
        <v>44348</v>
      </c>
      <c r="D886" s="4">
        <v>44350</v>
      </c>
      <c r="E886" s="2" t="s">
        <v>22</v>
      </c>
      <c r="F886" s="2" t="s">
        <v>24</v>
      </c>
      <c r="G886" s="2" t="s">
        <v>13</v>
      </c>
      <c r="H886" s="2">
        <v>13</v>
      </c>
      <c r="I886" s="2">
        <v>249</v>
      </c>
      <c r="J886" s="5">
        <v>186750</v>
      </c>
      <c r="K886" s="5">
        <v>35482.5</v>
      </c>
    </row>
    <row r="887" spans="1:11" x14ac:dyDescent="0.25">
      <c r="A887" s="2">
        <v>10886</v>
      </c>
      <c r="B887" s="2">
        <f t="shared" si="13"/>
        <v>2021</v>
      </c>
      <c r="C887" s="3">
        <v>44348</v>
      </c>
      <c r="D887" s="4">
        <v>44351</v>
      </c>
      <c r="E887" s="2" t="s">
        <v>19</v>
      </c>
      <c r="F887" s="2" t="s">
        <v>12</v>
      </c>
      <c r="G887" s="2" t="s">
        <v>13</v>
      </c>
      <c r="H887" s="2">
        <v>8</v>
      </c>
      <c r="I887" s="2">
        <v>112</v>
      </c>
      <c r="J887" s="5">
        <v>84000</v>
      </c>
      <c r="K887" s="5">
        <v>17640</v>
      </c>
    </row>
    <row r="888" spans="1:11" x14ac:dyDescent="0.25">
      <c r="A888" s="2">
        <v>10887</v>
      </c>
      <c r="B888" s="2">
        <f t="shared" si="13"/>
        <v>2021</v>
      </c>
      <c r="C888" s="3">
        <v>44348</v>
      </c>
      <c r="D888" s="4">
        <v>44352</v>
      </c>
      <c r="E888" s="2" t="s">
        <v>25</v>
      </c>
      <c r="F888" s="2" t="s">
        <v>18</v>
      </c>
      <c r="G888" s="2" t="s">
        <v>20</v>
      </c>
      <c r="H888" s="2">
        <v>16</v>
      </c>
      <c r="I888" s="2">
        <v>165</v>
      </c>
      <c r="J888" s="5">
        <v>140250</v>
      </c>
      <c r="K888" s="5">
        <v>56100</v>
      </c>
    </row>
    <row r="889" spans="1:11" x14ac:dyDescent="0.25">
      <c r="A889" s="2">
        <v>10888</v>
      </c>
      <c r="B889" s="2">
        <f t="shared" si="13"/>
        <v>2021</v>
      </c>
      <c r="C889" s="3">
        <v>44348</v>
      </c>
      <c r="D889" s="4">
        <v>44353</v>
      </c>
      <c r="E889" s="2" t="s">
        <v>11</v>
      </c>
      <c r="F889" s="2" t="s">
        <v>21</v>
      </c>
      <c r="G889" s="2" t="s">
        <v>15</v>
      </c>
      <c r="H889" s="2">
        <v>3</v>
      </c>
      <c r="I889" s="2">
        <v>30</v>
      </c>
      <c r="J889" s="5">
        <v>15000</v>
      </c>
      <c r="K889" s="5">
        <v>1650</v>
      </c>
    </row>
    <row r="890" spans="1:11" x14ac:dyDescent="0.25">
      <c r="A890" s="2">
        <v>10889</v>
      </c>
      <c r="B890" s="2">
        <f t="shared" si="13"/>
        <v>2021</v>
      </c>
      <c r="C890" s="3">
        <v>44348</v>
      </c>
      <c r="D890" s="4">
        <v>44354</v>
      </c>
      <c r="E890" s="2" t="s">
        <v>22</v>
      </c>
      <c r="F890" s="2" t="s">
        <v>16</v>
      </c>
      <c r="G890" s="2" t="s">
        <v>20</v>
      </c>
      <c r="H890" s="2">
        <v>24</v>
      </c>
      <c r="I890" s="2">
        <v>266</v>
      </c>
      <c r="J890" s="5">
        <v>226100</v>
      </c>
      <c r="K890" s="5">
        <v>90440</v>
      </c>
    </row>
    <row r="891" spans="1:11" x14ac:dyDescent="0.25">
      <c r="A891" s="2">
        <v>10890</v>
      </c>
      <c r="B891" s="2">
        <f t="shared" si="13"/>
        <v>2021</v>
      </c>
      <c r="C891" s="3">
        <v>44348</v>
      </c>
      <c r="D891" s="4">
        <v>44355</v>
      </c>
      <c r="E891" s="2" t="s">
        <v>11</v>
      </c>
      <c r="F891" s="2" t="s">
        <v>18</v>
      </c>
      <c r="G891" s="2" t="s">
        <v>17</v>
      </c>
      <c r="H891" s="2">
        <v>3</v>
      </c>
      <c r="I891" s="2">
        <v>132</v>
      </c>
      <c r="J891" s="5">
        <v>33000</v>
      </c>
      <c r="K891" s="5">
        <v>7260</v>
      </c>
    </row>
    <row r="892" spans="1:11" x14ac:dyDescent="0.25">
      <c r="A892" s="2">
        <v>10891</v>
      </c>
      <c r="B892" s="2">
        <f t="shared" si="13"/>
        <v>2021</v>
      </c>
      <c r="C892" s="3">
        <v>44348</v>
      </c>
      <c r="D892" s="4">
        <v>44356</v>
      </c>
      <c r="E892" s="2" t="s">
        <v>25</v>
      </c>
      <c r="F892" s="2" t="s">
        <v>12</v>
      </c>
      <c r="G892" s="2" t="s">
        <v>13</v>
      </c>
      <c r="H892" s="2">
        <v>22</v>
      </c>
      <c r="I892" s="2">
        <v>500</v>
      </c>
      <c r="J892" s="5">
        <v>375000</v>
      </c>
      <c r="K892" s="5">
        <v>37500</v>
      </c>
    </row>
    <row r="893" spans="1:11" x14ac:dyDescent="0.25">
      <c r="A893" s="2">
        <v>10892</v>
      </c>
      <c r="B893" s="2">
        <f t="shared" si="13"/>
        <v>2021</v>
      </c>
      <c r="C893" s="3">
        <v>44348</v>
      </c>
      <c r="D893" s="4">
        <v>44357</v>
      </c>
      <c r="E893" s="2" t="s">
        <v>19</v>
      </c>
      <c r="F893" s="2" t="s">
        <v>18</v>
      </c>
      <c r="G893" s="2" t="s">
        <v>17</v>
      </c>
      <c r="H893" s="2">
        <v>23</v>
      </c>
      <c r="I893" s="2">
        <v>359</v>
      </c>
      <c r="J893" s="5">
        <v>89750</v>
      </c>
      <c r="K893" s="5">
        <v>36797.5</v>
      </c>
    </row>
    <row r="894" spans="1:11" x14ac:dyDescent="0.25">
      <c r="A894" s="2">
        <v>10893</v>
      </c>
      <c r="B894" s="2">
        <f t="shared" si="13"/>
        <v>2021</v>
      </c>
      <c r="C894" s="3">
        <v>44348</v>
      </c>
      <c r="D894" s="4">
        <v>44358</v>
      </c>
      <c r="E894" s="2" t="s">
        <v>14</v>
      </c>
      <c r="F894" s="2" t="s">
        <v>18</v>
      </c>
      <c r="G894" s="2" t="s">
        <v>20</v>
      </c>
      <c r="H894" s="2">
        <v>39</v>
      </c>
      <c r="I894" s="2">
        <v>398</v>
      </c>
      <c r="J894" s="5">
        <v>338300</v>
      </c>
      <c r="K894" s="5">
        <v>33830</v>
      </c>
    </row>
    <row r="895" spans="1:11" x14ac:dyDescent="0.25">
      <c r="A895" s="2">
        <v>10894</v>
      </c>
      <c r="B895" s="2">
        <f t="shared" si="13"/>
        <v>2021</v>
      </c>
      <c r="C895" s="3">
        <v>44348</v>
      </c>
      <c r="D895" s="4">
        <v>44359</v>
      </c>
      <c r="E895" s="2" t="s">
        <v>22</v>
      </c>
      <c r="F895" s="2" t="s">
        <v>21</v>
      </c>
      <c r="G895" s="2" t="s">
        <v>15</v>
      </c>
      <c r="H895" s="2">
        <v>1</v>
      </c>
      <c r="I895" s="2">
        <v>89</v>
      </c>
      <c r="J895" s="5">
        <v>44500</v>
      </c>
      <c r="K895" s="5">
        <v>13350</v>
      </c>
    </row>
    <row r="896" spans="1:11" x14ac:dyDescent="0.25">
      <c r="A896" s="2">
        <v>10895</v>
      </c>
      <c r="B896" s="2">
        <f t="shared" si="13"/>
        <v>2021</v>
      </c>
      <c r="C896" s="3">
        <v>44348</v>
      </c>
      <c r="D896" s="4">
        <v>44360</v>
      </c>
      <c r="E896" s="2" t="s">
        <v>14</v>
      </c>
      <c r="F896" s="2" t="s">
        <v>16</v>
      </c>
      <c r="G896" s="2" t="s">
        <v>15</v>
      </c>
      <c r="H896" s="2">
        <v>7</v>
      </c>
      <c r="I896" s="2">
        <v>168</v>
      </c>
      <c r="J896" s="5">
        <v>84000</v>
      </c>
      <c r="K896" s="5">
        <v>12600</v>
      </c>
    </row>
    <row r="897" spans="1:11" x14ac:dyDescent="0.25">
      <c r="A897" s="2">
        <v>10896</v>
      </c>
      <c r="B897" s="2">
        <f t="shared" si="13"/>
        <v>2021</v>
      </c>
      <c r="C897" s="3">
        <v>44348</v>
      </c>
      <c r="D897" s="4">
        <v>44361</v>
      </c>
      <c r="E897" s="2" t="s">
        <v>11</v>
      </c>
      <c r="F897" s="2" t="s">
        <v>12</v>
      </c>
      <c r="G897" s="2" t="s">
        <v>15</v>
      </c>
      <c r="H897" s="2">
        <v>2</v>
      </c>
      <c r="I897" s="2">
        <v>29</v>
      </c>
      <c r="J897" s="5">
        <v>14500</v>
      </c>
      <c r="K897" s="5">
        <v>1450</v>
      </c>
    </row>
    <row r="898" spans="1:11" x14ac:dyDescent="0.25">
      <c r="A898" s="2">
        <v>10897</v>
      </c>
      <c r="B898" s="2">
        <f t="shared" si="13"/>
        <v>2021</v>
      </c>
      <c r="C898" s="3">
        <v>44348</v>
      </c>
      <c r="D898" s="4">
        <v>44362</v>
      </c>
      <c r="E898" s="2" t="s">
        <v>25</v>
      </c>
      <c r="F898" s="2" t="s">
        <v>21</v>
      </c>
      <c r="G898" s="2" t="s">
        <v>13</v>
      </c>
      <c r="H898" s="2">
        <v>2</v>
      </c>
      <c r="I898" s="2">
        <v>28</v>
      </c>
      <c r="J898" s="5">
        <v>21000</v>
      </c>
      <c r="K898" s="5">
        <v>8400</v>
      </c>
    </row>
    <row r="899" spans="1:11" x14ac:dyDescent="0.25">
      <c r="A899" s="2">
        <v>10898</v>
      </c>
      <c r="B899" s="2">
        <f t="shared" ref="B899:B962" si="14">YEAR(C899)</f>
        <v>2021</v>
      </c>
      <c r="C899" s="3">
        <v>44348</v>
      </c>
      <c r="D899" s="4">
        <v>44363</v>
      </c>
      <c r="E899" s="2" t="s">
        <v>25</v>
      </c>
      <c r="F899" s="2" t="s">
        <v>21</v>
      </c>
      <c r="G899" s="2" t="s">
        <v>15</v>
      </c>
      <c r="H899" s="2">
        <v>17</v>
      </c>
      <c r="I899" s="2">
        <v>462</v>
      </c>
      <c r="J899" s="5">
        <v>231000</v>
      </c>
      <c r="K899" s="5">
        <v>94710</v>
      </c>
    </row>
    <row r="900" spans="1:11" x14ac:dyDescent="0.25">
      <c r="A900" s="2">
        <v>10899</v>
      </c>
      <c r="B900" s="2">
        <f t="shared" si="14"/>
        <v>2021</v>
      </c>
      <c r="C900" s="3">
        <v>44348</v>
      </c>
      <c r="D900" s="4">
        <v>44364</v>
      </c>
      <c r="E900" s="2" t="s">
        <v>22</v>
      </c>
      <c r="F900" s="2" t="s">
        <v>16</v>
      </c>
      <c r="G900" s="2" t="s">
        <v>13</v>
      </c>
      <c r="H900" s="2">
        <v>5</v>
      </c>
      <c r="I900" s="2">
        <v>331</v>
      </c>
      <c r="J900" s="5">
        <v>248250</v>
      </c>
      <c r="K900" s="5">
        <v>84405</v>
      </c>
    </row>
    <row r="901" spans="1:11" x14ac:dyDescent="0.25">
      <c r="A901" s="2">
        <v>10900</v>
      </c>
      <c r="B901" s="2">
        <f t="shared" si="14"/>
        <v>2021</v>
      </c>
      <c r="C901" s="3">
        <v>44348</v>
      </c>
      <c r="D901" s="4">
        <v>44365</v>
      </c>
      <c r="E901" s="2" t="s">
        <v>25</v>
      </c>
      <c r="F901" s="2" t="s">
        <v>18</v>
      </c>
      <c r="G901" s="2" t="s">
        <v>15</v>
      </c>
      <c r="H901" s="2">
        <v>22</v>
      </c>
      <c r="I901" s="2">
        <v>309</v>
      </c>
      <c r="J901" s="5">
        <v>154500</v>
      </c>
      <c r="K901" s="5">
        <v>64890</v>
      </c>
    </row>
    <row r="902" spans="1:11" x14ac:dyDescent="0.25">
      <c r="A902" s="2">
        <v>10901</v>
      </c>
      <c r="B902" s="2">
        <f t="shared" si="14"/>
        <v>2021</v>
      </c>
      <c r="C902" s="3">
        <v>44348</v>
      </c>
      <c r="D902" s="4">
        <v>44366</v>
      </c>
      <c r="E902" s="2" t="s">
        <v>11</v>
      </c>
      <c r="F902" s="2" t="s">
        <v>12</v>
      </c>
      <c r="G902" s="2" t="s">
        <v>13</v>
      </c>
      <c r="H902" s="2">
        <v>8</v>
      </c>
      <c r="I902" s="2">
        <v>111</v>
      </c>
      <c r="J902" s="5">
        <v>83250</v>
      </c>
      <c r="K902" s="5">
        <v>21645</v>
      </c>
    </row>
    <row r="903" spans="1:11" x14ac:dyDescent="0.25">
      <c r="A903" s="2">
        <v>10902</v>
      </c>
      <c r="B903" s="2">
        <f t="shared" si="14"/>
        <v>2021</v>
      </c>
      <c r="C903" s="3">
        <v>44348</v>
      </c>
      <c r="D903" s="4">
        <v>44367</v>
      </c>
      <c r="E903" s="2" t="s">
        <v>19</v>
      </c>
      <c r="F903" s="2" t="s">
        <v>16</v>
      </c>
      <c r="G903" s="2" t="s">
        <v>13</v>
      </c>
      <c r="H903" s="2">
        <v>6</v>
      </c>
      <c r="I903" s="2">
        <v>328</v>
      </c>
      <c r="J903" s="5">
        <v>246000</v>
      </c>
      <c r="K903" s="5">
        <v>49200</v>
      </c>
    </row>
    <row r="904" spans="1:11" x14ac:dyDescent="0.25">
      <c r="A904" s="2">
        <v>10903</v>
      </c>
      <c r="B904" s="2">
        <f t="shared" si="14"/>
        <v>2021</v>
      </c>
      <c r="C904" s="3">
        <v>44348</v>
      </c>
      <c r="D904" s="4">
        <v>44368</v>
      </c>
      <c r="E904" s="2" t="s">
        <v>19</v>
      </c>
      <c r="F904" s="2" t="s">
        <v>12</v>
      </c>
      <c r="G904" s="2" t="s">
        <v>15</v>
      </c>
      <c r="H904" s="2">
        <v>17</v>
      </c>
      <c r="I904" s="2">
        <v>224</v>
      </c>
      <c r="J904" s="5">
        <v>112000</v>
      </c>
      <c r="K904" s="5">
        <v>38080</v>
      </c>
    </row>
    <row r="905" spans="1:11" x14ac:dyDescent="0.25">
      <c r="A905" s="2">
        <v>10904</v>
      </c>
      <c r="B905" s="2">
        <f t="shared" si="14"/>
        <v>2021</v>
      </c>
      <c r="C905" s="3">
        <v>44348</v>
      </c>
      <c r="D905" s="4">
        <v>44369</v>
      </c>
      <c r="E905" s="2" t="s">
        <v>25</v>
      </c>
      <c r="F905" s="2" t="s">
        <v>21</v>
      </c>
      <c r="G905" s="2" t="s">
        <v>23</v>
      </c>
      <c r="H905" s="2">
        <v>15</v>
      </c>
      <c r="I905" s="2">
        <v>282</v>
      </c>
      <c r="J905" s="5">
        <v>98700</v>
      </c>
      <c r="K905" s="5">
        <v>21714</v>
      </c>
    </row>
    <row r="906" spans="1:11" x14ac:dyDescent="0.25">
      <c r="A906" s="2">
        <v>10905</v>
      </c>
      <c r="B906" s="2">
        <f t="shared" si="14"/>
        <v>2021</v>
      </c>
      <c r="C906" s="3">
        <v>44348</v>
      </c>
      <c r="D906" s="4">
        <v>44370</v>
      </c>
      <c r="E906" s="2" t="s">
        <v>22</v>
      </c>
      <c r="F906" s="2" t="s">
        <v>21</v>
      </c>
      <c r="G906" s="2" t="s">
        <v>13</v>
      </c>
      <c r="H906" s="2">
        <v>35</v>
      </c>
      <c r="I906" s="2">
        <v>422</v>
      </c>
      <c r="J906" s="5">
        <v>316500</v>
      </c>
      <c r="K906" s="5">
        <v>91785</v>
      </c>
    </row>
    <row r="907" spans="1:11" x14ac:dyDescent="0.25">
      <c r="A907" s="2">
        <v>10906</v>
      </c>
      <c r="B907" s="2">
        <f t="shared" si="14"/>
        <v>2021</v>
      </c>
      <c r="C907" s="3">
        <v>44348</v>
      </c>
      <c r="D907" s="4">
        <v>44371</v>
      </c>
      <c r="E907" s="2" t="s">
        <v>19</v>
      </c>
      <c r="F907" s="2" t="s">
        <v>16</v>
      </c>
      <c r="G907" s="2" t="s">
        <v>20</v>
      </c>
      <c r="H907" s="2">
        <v>12</v>
      </c>
      <c r="I907" s="2">
        <v>468</v>
      </c>
      <c r="J907" s="5">
        <v>397800</v>
      </c>
      <c r="K907" s="5">
        <v>167076</v>
      </c>
    </row>
    <row r="908" spans="1:11" x14ac:dyDescent="0.25">
      <c r="A908" s="2">
        <v>10907</v>
      </c>
      <c r="B908" s="2">
        <f t="shared" si="14"/>
        <v>2021</v>
      </c>
      <c r="C908" s="3">
        <v>44348</v>
      </c>
      <c r="D908" s="4">
        <v>44372</v>
      </c>
      <c r="E908" s="2" t="s">
        <v>25</v>
      </c>
      <c r="F908" s="2" t="s">
        <v>12</v>
      </c>
      <c r="G908" s="2" t="s">
        <v>17</v>
      </c>
      <c r="H908" s="2">
        <v>6</v>
      </c>
      <c r="I908" s="2">
        <v>184</v>
      </c>
      <c r="J908" s="5">
        <v>46000</v>
      </c>
      <c r="K908" s="5">
        <v>6440.0000000000009</v>
      </c>
    </row>
    <row r="909" spans="1:11" x14ac:dyDescent="0.25">
      <c r="A909" s="2">
        <v>10908</v>
      </c>
      <c r="B909" s="2">
        <f t="shared" si="14"/>
        <v>2021</v>
      </c>
      <c r="C909" s="3">
        <v>44348</v>
      </c>
      <c r="D909" s="4">
        <v>44373</v>
      </c>
      <c r="E909" s="2" t="s">
        <v>25</v>
      </c>
      <c r="F909" s="2" t="s">
        <v>24</v>
      </c>
      <c r="G909" s="2" t="s">
        <v>13</v>
      </c>
      <c r="H909" s="2">
        <v>4</v>
      </c>
      <c r="I909" s="2">
        <v>254</v>
      </c>
      <c r="J909" s="5">
        <v>190500</v>
      </c>
      <c r="K909" s="5">
        <v>78105</v>
      </c>
    </row>
    <row r="910" spans="1:11" x14ac:dyDescent="0.25">
      <c r="A910" s="2">
        <v>10909</v>
      </c>
      <c r="B910" s="2">
        <f t="shared" si="14"/>
        <v>2021</v>
      </c>
      <c r="C910" s="3">
        <v>44348</v>
      </c>
      <c r="D910" s="4">
        <v>44374</v>
      </c>
      <c r="E910" s="2" t="s">
        <v>14</v>
      </c>
      <c r="F910" s="2" t="s">
        <v>16</v>
      </c>
      <c r="G910" s="2" t="s">
        <v>20</v>
      </c>
      <c r="H910" s="2">
        <v>12</v>
      </c>
      <c r="I910" s="2">
        <v>165</v>
      </c>
      <c r="J910" s="5">
        <v>140250</v>
      </c>
      <c r="K910" s="5">
        <v>42075</v>
      </c>
    </row>
    <row r="911" spans="1:11" x14ac:dyDescent="0.25">
      <c r="A911" s="2">
        <v>10910</v>
      </c>
      <c r="B911" s="2">
        <f t="shared" si="14"/>
        <v>2021</v>
      </c>
      <c r="C911" s="3">
        <v>44348</v>
      </c>
      <c r="D911" s="4">
        <v>44375</v>
      </c>
      <c r="E911" s="2" t="s">
        <v>22</v>
      </c>
      <c r="F911" s="2" t="s">
        <v>12</v>
      </c>
      <c r="G911" s="2" t="s">
        <v>15</v>
      </c>
      <c r="H911" s="2">
        <v>11</v>
      </c>
      <c r="I911" s="2">
        <v>396</v>
      </c>
      <c r="J911" s="5">
        <v>198000</v>
      </c>
      <c r="K911" s="5">
        <v>89100</v>
      </c>
    </row>
    <row r="912" spans="1:11" x14ac:dyDescent="0.25">
      <c r="A912" s="2">
        <v>10911</v>
      </c>
      <c r="B912" s="2">
        <f t="shared" si="14"/>
        <v>2021</v>
      </c>
      <c r="C912" s="3">
        <v>44348</v>
      </c>
      <c r="D912" s="4">
        <v>44376</v>
      </c>
      <c r="E912" s="2" t="s">
        <v>11</v>
      </c>
      <c r="F912" s="2" t="s">
        <v>21</v>
      </c>
      <c r="G912" s="2" t="s">
        <v>15</v>
      </c>
      <c r="H912" s="2">
        <v>12</v>
      </c>
      <c r="I912" s="2">
        <v>233</v>
      </c>
      <c r="J912" s="5">
        <v>116500</v>
      </c>
      <c r="K912" s="5">
        <v>17475</v>
      </c>
    </row>
    <row r="913" spans="1:11" x14ac:dyDescent="0.25">
      <c r="A913" s="2">
        <v>10912</v>
      </c>
      <c r="B913" s="2">
        <f t="shared" si="14"/>
        <v>2021</v>
      </c>
      <c r="C913" s="3">
        <v>44348</v>
      </c>
      <c r="D913" s="4">
        <v>44377</v>
      </c>
      <c r="E913" s="2" t="s">
        <v>11</v>
      </c>
      <c r="F913" s="2" t="s">
        <v>12</v>
      </c>
      <c r="G913" s="2" t="s">
        <v>17</v>
      </c>
      <c r="H913" s="2">
        <v>20</v>
      </c>
      <c r="I913" s="2">
        <v>418</v>
      </c>
      <c r="J913" s="5">
        <v>104500</v>
      </c>
      <c r="K913" s="5">
        <v>20900</v>
      </c>
    </row>
    <row r="914" spans="1:11" x14ac:dyDescent="0.25">
      <c r="A914" s="2">
        <v>10913</v>
      </c>
      <c r="B914" s="2">
        <f t="shared" si="14"/>
        <v>2021</v>
      </c>
      <c r="C914" s="3">
        <v>44378</v>
      </c>
      <c r="D914" s="4">
        <v>44378</v>
      </c>
      <c r="E914" s="2" t="s">
        <v>22</v>
      </c>
      <c r="F914" s="2" t="s">
        <v>21</v>
      </c>
      <c r="G914" s="2" t="s">
        <v>13</v>
      </c>
      <c r="H914" s="2">
        <v>1</v>
      </c>
      <c r="I914" s="2">
        <v>17</v>
      </c>
      <c r="J914" s="5">
        <v>12750</v>
      </c>
      <c r="K914" s="5">
        <v>3825</v>
      </c>
    </row>
    <row r="915" spans="1:11" x14ac:dyDescent="0.25">
      <c r="A915" s="2">
        <v>10914</v>
      </c>
      <c r="B915" s="2">
        <f t="shared" si="14"/>
        <v>2021</v>
      </c>
      <c r="C915" s="3">
        <v>44378</v>
      </c>
      <c r="D915" s="4">
        <v>44379</v>
      </c>
      <c r="E915" s="2" t="s">
        <v>25</v>
      </c>
      <c r="F915" s="2" t="s">
        <v>24</v>
      </c>
      <c r="G915" s="2" t="s">
        <v>15</v>
      </c>
      <c r="H915" s="2">
        <v>5</v>
      </c>
      <c r="I915" s="2">
        <v>450</v>
      </c>
      <c r="J915" s="5">
        <v>225000</v>
      </c>
      <c r="K915" s="5">
        <v>42750</v>
      </c>
    </row>
    <row r="916" spans="1:11" x14ac:dyDescent="0.25">
      <c r="A916" s="2">
        <v>10915</v>
      </c>
      <c r="B916" s="2">
        <f t="shared" si="14"/>
        <v>2021</v>
      </c>
      <c r="C916" s="3">
        <v>44378</v>
      </c>
      <c r="D916" s="4">
        <v>44380</v>
      </c>
      <c r="E916" s="2" t="s">
        <v>14</v>
      </c>
      <c r="F916" s="2" t="s">
        <v>12</v>
      </c>
      <c r="G916" s="2" t="s">
        <v>20</v>
      </c>
      <c r="H916" s="2">
        <v>12</v>
      </c>
      <c r="I916" s="2">
        <v>342</v>
      </c>
      <c r="J916" s="5">
        <v>290700</v>
      </c>
      <c r="K916" s="5">
        <v>93024</v>
      </c>
    </row>
    <row r="917" spans="1:11" x14ac:dyDescent="0.25">
      <c r="A917" s="2">
        <v>10916</v>
      </c>
      <c r="B917" s="2">
        <f t="shared" si="14"/>
        <v>2021</v>
      </c>
      <c r="C917" s="3">
        <v>44378</v>
      </c>
      <c r="D917" s="4">
        <v>44381</v>
      </c>
      <c r="E917" s="2" t="s">
        <v>22</v>
      </c>
      <c r="F917" s="2" t="s">
        <v>18</v>
      </c>
      <c r="G917" s="2" t="s">
        <v>15</v>
      </c>
      <c r="H917" s="2">
        <v>15</v>
      </c>
      <c r="I917" s="2">
        <v>386</v>
      </c>
      <c r="J917" s="5">
        <v>193000</v>
      </c>
      <c r="K917" s="5">
        <v>46320</v>
      </c>
    </row>
    <row r="918" spans="1:11" x14ac:dyDescent="0.25">
      <c r="A918" s="2">
        <v>10917</v>
      </c>
      <c r="B918" s="2">
        <f t="shared" si="14"/>
        <v>2021</v>
      </c>
      <c r="C918" s="3">
        <v>44378</v>
      </c>
      <c r="D918" s="4">
        <v>44382</v>
      </c>
      <c r="E918" s="2" t="s">
        <v>22</v>
      </c>
      <c r="F918" s="2" t="s">
        <v>18</v>
      </c>
      <c r="G918" s="2" t="s">
        <v>15</v>
      </c>
      <c r="H918" s="2">
        <v>7</v>
      </c>
      <c r="I918" s="2">
        <v>100</v>
      </c>
      <c r="J918" s="5">
        <v>50000</v>
      </c>
      <c r="K918" s="5">
        <v>17500</v>
      </c>
    </row>
    <row r="919" spans="1:11" x14ac:dyDescent="0.25">
      <c r="A919" s="2">
        <v>10918</v>
      </c>
      <c r="B919" s="2">
        <f t="shared" si="14"/>
        <v>2021</v>
      </c>
      <c r="C919" s="3">
        <v>44378</v>
      </c>
      <c r="D919" s="4">
        <v>44383</v>
      </c>
      <c r="E919" s="2" t="s">
        <v>22</v>
      </c>
      <c r="F919" s="2" t="s">
        <v>24</v>
      </c>
      <c r="G919" s="2" t="s">
        <v>23</v>
      </c>
      <c r="H919" s="2">
        <v>4</v>
      </c>
      <c r="I919" s="2">
        <v>121</v>
      </c>
      <c r="J919" s="5">
        <v>42350</v>
      </c>
      <c r="K919" s="5">
        <v>19057.5</v>
      </c>
    </row>
    <row r="920" spans="1:11" x14ac:dyDescent="0.25">
      <c r="A920" s="2">
        <v>10919</v>
      </c>
      <c r="B920" s="2">
        <f t="shared" si="14"/>
        <v>2021</v>
      </c>
      <c r="C920" s="3">
        <v>44378</v>
      </c>
      <c r="D920" s="4">
        <v>44384</v>
      </c>
      <c r="E920" s="2" t="s">
        <v>19</v>
      </c>
      <c r="F920" s="2" t="s">
        <v>24</v>
      </c>
      <c r="G920" s="2" t="s">
        <v>23</v>
      </c>
      <c r="H920" s="2">
        <v>17</v>
      </c>
      <c r="I920" s="2">
        <v>245</v>
      </c>
      <c r="J920" s="5">
        <v>85750</v>
      </c>
      <c r="K920" s="5">
        <v>36015</v>
      </c>
    </row>
    <row r="921" spans="1:11" x14ac:dyDescent="0.25">
      <c r="A921" s="2">
        <v>10920</v>
      </c>
      <c r="B921" s="2">
        <f t="shared" si="14"/>
        <v>2021</v>
      </c>
      <c r="C921" s="3">
        <v>44378</v>
      </c>
      <c r="D921" s="4">
        <v>44385</v>
      </c>
      <c r="E921" s="2" t="s">
        <v>19</v>
      </c>
      <c r="F921" s="2" t="s">
        <v>24</v>
      </c>
      <c r="G921" s="2" t="s">
        <v>23</v>
      </c>
      <c r="H921" s="2">
        <v>2</v>
      </c>
      <c r="I921" s="2">
        <v>34</v>
      </c>
      <c r="J921" s="5">
        <v>11900</v>
      </c>
      <c r="K921" s="5">
        <v>3450.9999999999995</v>
      </c>
    </row>
    <row r="922" spans="1:11" x14ac:dyDescent="0.25">
      <c r="A922" s="2">
        <v>10921</v>
      </c>
      <c r="B922" s="2">
        <f t="shared" si="14"/>
        <v>2021</v>
      </c>
      <c r="C922" s="3">
        <v>44378</v>
      </c>
      <c r="D922" s="4">
        <v>44386</v>
      </c>
      <c r="E922" s="2" t="s">
        <v>14</v>
      </c>
      <c r="F922" s="2" t="s">
        <v>16</v>
      </c>
      <c r="G922" s="2" t="s">
        <v>13</v>
      </c>
      <c r="H922" s="2">
        <v>5</v>
      </c>
      <c r="I922" s="2">
        <v>293</v>
      </c>
      <c r="J922" s="5">
        <v>219750</v>
      </c>
      <c r="K922" s="5">
        <v>32962.5</v>
      </c>
    </row>
    <row r="923" spans="1:11" x14ac:dyDescent="0.25">
      <c r="A923" s="2">
        <v>10922</v>
      </c>
      <c r="B923" s="2">
        <f t="shared" si="14"/>
        <v>2021</v>
      </c>
      <c r="C923" s="3">
        <v>44378</v>
      </c>
      <c r="D923" s="4">
        <v>44387</v>
      </c>
      <c r="E923" s="2" t="s">
        <v>11</v>
      </c>
      <c r="F923" s="2" t="s">
        <v>21</v>
      </c>
      <c r="G923" s="2" t="s">
        <v>13</v>
      </c>
      <c r="H923" s="2">
        <v>5</v>
      </c>
      <c r="I923" s="2">
        <v>70</v>
      </c>
      <c r="J923" s="5">
        <v>52500</v>
      </c>
      <c r="K923" s="5">
        <v>10500</v>
      </c>
    </row>
    <row r="924" spans="1:11" x14ac:dyDescent="0.25">
      <c r="A924" s="2">
        <v>10923</v>
      </c>
      <c r="B924" s="2">
        <f t="shared" si="14"/>
        <v>2021</v>
      </c>
      <c r="C924" s="3">
        <v>44378</v>
      </c>
      <c r="D924" s="4">
        <v>44388</v>
      </c>
      <c r="E924" s="2" t="s">
        <v>14</v>
      </c>
      <c r="F924" s="2" t="s">
        <v>21</v>
      </c>
      <c r="G924" s="2" t="s">
        <v>17</v>
      </c>
      <c r="H924" s="2">
        <v>16</v>
      </c>
      <c r="I924" s="2">
        <v>234</v>
      </c>
      <c r="J924" s="5">
        <v>58500</v>
      </c>
      <c r="K924" s="5">
        <v>12870</v>
      </c>
    </row>
    <row r="925" spans="1:11" x14ac:dyDescent="0.25">
      <c r="A925" s="2">
        <v>10924</v>
      </c>
      <c r="B925" s="2">
        <f t="shared" si="14"/>
        <v>2021</v>
      </c>
      <c r="C925" s="3">
        <v>44378</v>
      </c>
      <c r="D925" s="4">
        <v>44389</v>
      </c>
      <c r="E925" s="2" t="s">
        <v>11</v>
      </c>
      <c r="F925" s="2" t="s">
        <v>21</v>
      </c>
      <c r="G925" s="2" t="s">
        <v>20</v>
      </c>
      <c r="H925" s="2">
        <v>15</v>
      </c>
      <c r="I925" s="2">
        <v>155</v>
      </c>
      <c r="J925" s="5">
        <v>131750</v>
      </c>
      <c r="K925" s="5">
        <v>54017.5</v>
      </c>
    </row>
    <row r="926" spans="1:11" x14ac:dyDescent="0.25">
      <c r="A926" s="2">
        <v>10925</v>
      </c>
      <c r="B926" s="2">
        <f t="shared" si="14"/>
        <v>2021</v>
      </c>
      <c r="C926" s="3">
        <v>44378</v>
      </c>
      <c r="D926" s="4">
        <v>44390</v>
      </c>
      <c r="E926" s="2" t="s">
        <v>11</v>
      </c>
      <c r="F926" s="2" t="s">
        <v>12</v>
      </c>
      <c r="G926" s="2" t="s">
        <v>17</v>
      </c>
      <c r="H926" s="2">
        <v>19</v>
      </c>
      <c r="I926" s="2">
        <v>460</v>
      </c>
      <c r="J926" s="5">
        <v>115000</v>
      </c>
      <c r="K926" s="5">
        <v>12650</v>
      </c>
    </row>
    <row r="927" spans="1:11" x14ac:dyDescent="0.25">
      <c r="A927" s="2">
        <v>10926</v>
      </c>
      <c r="B927" s="2">
        <f t="shared" si="14"/>
        <v>2021</v>
      </c>
      <c r="C927" s="3">
        <v>44378</v>
      </c>
      <c r="D927" s="4">
        <v>44391</v>
      </c>
      <c r="E927" s="2" t="s">
        <v>25</v>
      </c>
      <c r="F927" s="2" t="s">
        <v>18</v>
      </c>
      <c r="G927" s="2" t="s">
        <v>17</v>
      </c>
      <c r="H927" s="2">
        <v>47</v>
      </c>
      <c r="I927" s="2">
        <v>475</v>
      </c>
      <c r="J927" s="5">
        <v>118750</v>
      </c>
      <c r="K927" s="5">
        <v>16625</v>
      </c>
    </row>
    <row r="928" spans="1:11" x14ac:dyDescent="0.25">
      <c r="A928" s="2">
        <v>10927</v>
      </c>
      <c r="B928" s="2">
        <f t="shared" si="14"/>
        <v>2021</v>
      </c>
      <c r="C928" s="3">
        <v>44378</v>
      </c>
      <c r="D928" s="4">
        <v>44392</v>
      </c>
      <c r="E928" s="2" t="s">
        <v>25</v>
      </c>
      <c r="F928" s="2" t="s">
        <v>18</v>
      </c>
      <c r="G928" s="2" t="s">
        <v>20</v>
      </c>
      <c r="H928" s="2">
        <v>9</v>
      </c>
      <c r="I928" s="2">
        <v>466</v>
      </c>
      <c r="J928" s="5">
        <v>396100</v>
      </c>
      <c r="K928" s="5">
        <v>110908.00000000001</v>
      </c>
    </row>
    <row r="929" spans="1:11" x14ac:dyDescent="0.25">
      <c r="A929" s="2">
        <v>10928</v>
      </c>
      <c r="B929" s="2">
        <f t="shared" si="14"/>
        <v>2021</v>
      </c>
      <c r="C929" s="3">
        <v>44378</v>
      </c>
      <c r="D929" s="4">
        <v>44393</v>
      </c>
      <c r="E929" s="2" t="s">
        <v>14</v>
      </c>
      <c r="F929" s="2" t="s">
        <v>16</v>
      </c>
      <c r="G929" s="2" t="s">
        <v>15</v>
      </c>
      <c r="H929" s="2">
        <v>8</v>
      </c>
      <c r="I929" s="2">
        <v>157</v>
      </c>
      <c r="J929" s="5">
        <v>78500</v>
      </c>
      <c r="K929" s="5">
        <v>29830</v>
      </c>
    </row>
    <row r="930" spans="1:11" x14ac:dyDescent="0.25">
      <c r="A930" s="2">
        <v>10929</v>
      </c>
      <c r="B930" s="2">
        <f t="shared" si="14"/>
        <v>2021</v>
      </c>
      <c r="C930" s="3">
        <v>44378</v>
      </c>
      <c r="D930" s="4">
        <v>44394</v>
      </c>
      <c r="E930" s="2" t="s">
        <v>25</v>
      </c>
      <c r="F930" s="2" t="s">
        <v>24</v>
      </c>
      <c r="G930" s="2" t="s">
        <v>17</v>
      </c>
      <c r="H930" s="2">
        <v>2</v>
      </c>
      <c r="I930" s="2">
        <v>66</v>
      </c>
      <c r="J930" s="5">
        <v>16500</v>
      </c>
      <c r="K930" s="5">
        <v>4620</v>
      </c>
    </row>
    <row r="931" spans="1:11" x14ac:dyDescent="0.25">
      <c r="A931" s="2">
        <v>10930</v>
      </c>
      <c r="B931" s="2">
        <f t="shared" si="14"/>
        <v>2021</v>
      </c>
      <c r="C931" s="3">
        <v>44378</v>
      </c>
      <c r="D931" s="4">
        <v>44395</v>
      </c>
      <c r="E931" s="2" t="s">
        <v>25</v>
      </c>
      <c r="F931" s="2" t="s">
        <v>12</v>
      </c>
      <c r="G931" s="2" t="s">
        <v>17</v>
      </c>
      <c r="H931" s="2">
        <v>22</v>
      </c>
      <c r="I931" s="2">
        <v>238</v>
      </c>
      <c r="J931" s="5">
        <v>59500</v>
      </c>
      <c r="K931" s="5">
        <v>16660</v>
      </c>
    </row>
    <row r="932" spans="1:11" x14ac:dyDescent="0.25">
      <c r="A932" s="2">
        <v>10931</v>
      </c>
      <c r="B932" s="2">
        <f t="shared" si="14"/>
        <v>2021</v>
      </c>
      <c r="C932" s="3">
        <v>44378</v>
      </c>
      <c r="D932" s="4">
        <v>44396</v>
      </c>
      <c r="E932" s="2" t="s">
        <v>19</v>
      </c>
      <c r="F932" s="2" t="s">
        <v>24</v>
      </c>
      <c r="G932" s="2" t="s">
        <v>23</v>
      </c>
      <c r="H932" s="2">
        <v>18</v>
      </c>
      <c r="I932" s="2">
        <v>206</v>
      </c>
      <c r="J932" s="5">
        <v>72100</v>
      </c>
      <c r="K932" s="5">
        <v>23793</v>
      </c>
    </row>
    <row r="933" spans="1:11" x14ac:dyDescent="0.25">
      <c r="A933" s="2">
        <v>10932</v>
      </c>
      <c r="B933" s="2">
        <f t="shared" si="14"/>
        <v>2021</v>
      </c>
      <c r="C933" s="3">
        <v>44378</v>
      </c>
      <c r="D933" s="4">
        <v>44397</v>
      </c>
      <c r="E933" s="2" t="s">
        <v>25</v>
      </c>
      <c r="F933" s="2" t="s">
        <v>21</v>
      </c>
      <c r="G933" s="2" t="s">
        <v>13</v>
      </c>
      <c r="H933" s="2">
        <v>22</v>
      </c>
      <c r="I933" s="2">
        <v>237</v>
      </c>
      <c r="J933" s="5">
        <v>177750</v>
      </c>
      <c r="K933" s="5">
        <v>37327.5</v>
      </c>
    </row>
    <row r="934" spans="1:11" x14ac:dyDescent="0.25">
      <c r="A934" s="2">
        <v>10933</v>
      </c>
      <c r="B934" s="2">
        <f t="shared" si="14"/>
        <v>2021</v>
      </c>
      <c r="C934" s="3">
        <v>44378</v>
      </c>
      <c r="D934" s="4">
        <v>44398</v>
      </c>
      <c r="E934" s="2" t="s">
        <v>25</v>
      </c>
      <c r="F934" s="2" t="s">
        <v>18</v>
      </c>
      <c r="G934" s="2" t="s">
        <v>23</v>
      </c>
      <c r="H934" s="2">
        <v>10</v>
      </c>
      <c r="I934" s="2">
        <v>174</v>
      </c>
      <c r="J934" s="5">
        <v>60900</v>
      </c>
      <c r="K934" s="5">
        <v>9135</v>
      </c>
    </row>
    <row r="935" spans="1:11" x14ac:dyDescent="0.25">
      <c r="A935" s="2">
        <v>10934</v>
      </c>
      <c r="B935" s="2">
        <f t="shared" si="14"/>
        <v>2021</v>
      </c>
      <c r="C935" s="3">
        <v>44378</v>
      </c>
      <c r="D935" s="4">
        <v>44399</v>
      </c>
      <c r="E935" s="2" t="s">
        <v>11</v>
      </c>
      <c r="F935" s="2" t="s">
        <v>18</v>
      </c>
      <c r="G935" s="2" t="s">
        <v>15</v>
      </c>
      <c r="H935" s="2">
        <v>3</v>
      </c>
      <c r="I935" s="2">
        <v>34</v>
      </c>
      <c r="J935" s="5">
        <v>17000</v>
      </c>
      <c r="K935" s="5">
        <v>4590</v>
      </c>
    </row>
    <row r="936" spans="1:11" x14ac:dyDescent="0.25">
      <c r="A936" s="2">
        <v>10935</v>
      </c>
      <c r="B936" s="2">
        <f t="shared" si="14"/>
        <v>2021</v>
      </c>
      <c r="C936" s="3">
        <v>44378</v>
      </c>
      <c r="D936" s="4">
        <v>44400</v>
      </c>
      <c r="E936" s="2" t="s">
        <v>11</v>
      </c>
      <c r="F936" s="2" t="s">
        <v>24</v>
      </c>
      <c r="G936" s="2" t="s">
        <v>23</v>
      </c>
      <c r="H936" s="2">
        <v>1</v>
      </c>
      <c r="I936" s="2">
        <v>15</v>
      </c>
      <c r="J936" s="5">
        <v>5250</v>
      </c>
      <c r="K936" s="5">
        <v>1785.0000000000002</v>
      </c>
    </row>
    <row r="937" spans="1:11" x14ac:dyDescent="0.25">
      <c r="A937" s="2">
        <v>10936</v>
      </c>
      <c r="B937" s="2">
        <f t="shared" si="14"/>
        <v>2021</v>
      </c>
      <c r="C937" s="3">
        <v>44378</v>
      </c>
      <c r="D937" s="4">
        <v>44401</v>
      </c>
      <c r="E937" s="2" t="s">
        <v>11</v>
      </c>
      <c r="F937" s="2" t="s">
        <v>16</v>
      </c>
      <c r="G937" s="2" t="s">
        <v>15</v>
      </c>
      <c r="H937" s="2">
        <v>9</v>
      </c>
      <c r="I937" s="2">
        <v>383</v>
      </c>
      <c r="J937" s="5">
        <v>191500</v>
      </c>
      <c r="K937" s="5">
        <v>22980</v>
      </c>
    </row>
    <row r="938" spans="1:11" x14ac:dyDescent="0.25">
      <c r="A938" s="2">
        <v>10937</v>
      </c>
      <c r="B938" s="2">
        <f t="shared" si="14"/>
        <v>2021</v>
      </c>
      <c r="C938" s="3">
        <v>44378</v>
      </c>
      <c r="D938" s="4">
        <v>44402</v>
      </c>
      <c r="E938" s="2" t="s">
        <v>11</v>
      </c>
      <c r="F938" s="2" t="s">
        <v>18</v>
      </c>
      <c r="G938" s="2" t="s">
        <v>20</v>
      </c>
      <c r="H938" s="2">
        <v>11</v>
      </c>
      <c r="I938" s="2">
        <v>119</v>
      </c>
      <c r="J938" s="5">
        <v>101150</v>
      </c>
      <c r="K938" s="5">
        <v>18207</v>
      </c>
    </row>
    <row r="939" spans="1:11" x14ac:dyDescent="0.25">
      <c r="A939" s="2">
        <v>10938</v>
      </c>
      <c r="B939" s="2">
        <f t="shared" si="14"/>
        <v>2021</v>
      </c>
      <c r="C939" s="3">
        <v>44378</v>
      </c>
      <c r="D939" s="4">
        <v>44403</v>
      </c>
      <c r="E939" s="2" t="s">
        <v>11</v>
      </c>
      <c r="F939" s="2" t="s">
        <v>21</v>
      </c>
      <c r="G939" s="2" t="s">
        <v>15</v>
      </c>
      <c r="H939" s="2">
        <v>1</v>
      </c>
      <c r="I939" s="2">
        <v>15</v>
      </c>
      <c r="J939" s="5">
        <v>7500</v>
      </c>
      <c r="K939" s="5">
        <v>2025.0000000000002</v>
      </c>
    </row>
    <row r="940" spans="1:11" x14ac:dyDescent="0.25">
      <c r="A940" s="2">
        <v>10939</v>
      </c>
      <c r="B940" s="2">
        <f t="shared" si="14"/>
        <v>2021</v>
      </c>
      <c r="C940" s="3">
        <v>44378</v>
      </c>
      <c r="D940" s="4">
        <v>44404</v>
      </c>
      <c r="E940" s="2" t="s">
        <v>22</v>
      </c>
      <c r="F940" s="2" t="s">
        <v>12</v>
      </c>
      <c r="G940" s="2" t="s">
        <v>15</v>
      </c>
      <c r="H940" s="2">
        <v>5</v>
      </c>
      <c r="I940" s="2">
        <v>81</v>
      </c>
      <c r="J940" s="5">
        <v>40500</v>
      </c>
      <c r="K940" s="5">
        <v>14175</v>
      </c>
    </row>
    <row r="941" spans="1:11" x14ac:dyDescent="0.25">
      <c r="A941" s="2">
        <v>10940</v>
      </c>
      <c r="B941" s="2">
        <f t="shared" si="14"/>
        <v>2021</v>
      </c>
      <c r="C941" s="3">
        <v>44378</v>
      </c>
      <c r="D941" s="4">
        <v>44405</v>
      </c>
      <c r="E941" s="2" t="s">
        <v>14</v>
      </c>
      <c r="F941" s="2" t="s">
        <v>18</v>
      </c>
      <c r="G941" s="2" t="s">
        <v>23</v>
      </c>
      <c r="H941" s="2">
        <v>27</v>
      </c>
      <c r="I941" s="2">
        <v>441</v>
      </c>
      <c r="J941" s="5">
        <v>154350</v>
      </c>
      <c r="K941" s="5">
        <v>69457.5</v>
      </c>
    </row>
    <row r="942" spans="1:11" x14ac:dyDescent="0.25">
      <c r="A942" s="2">
        <v>10941</v>
      </c>
      <c r="B942" s="2">
        <f t="shared" si="14"/>
        <v>2021</v>
      </c>
      <c r="C942" s="3">
        <v>44378</v>
      </c>
      <c r="D942" s="4">
        <v>44406</v>
      </c>
      <c r="E942" s="2" t="s">
        <v>25</v>
      </c>
      <c r="F942" s="2" t="s">
        <v>16</v>
      </c>
      <c r="G942" s="2" t="s">
        <v>23</v>
      </c>
      <c r="H942" s="2">
        <v>15</v>
      </c>
      <c r="I942" s="2">
        <v>455</v>
      </c>
      <c r="J942" s="5">
        <v>159250</v>
      </c>
      <c r="K942" s="5">
        <v>39812.5</v>
      </c>
    </row>
    <row r="943" spans="1:11" x14ac:dyDescent="0.25">
      <c r="A943" s="2">
        <v>10942</v>
      </c>
      <c r="B943" s="2">
        <f t="shared" si="14"/>
        <v>2021</v>
      </c>
      <c r="C943" s="3">
        <v>44378</v>
      </c>
      <c r="D943" s="4">
        <v>44407</v>
      </c>
      <c r="E943" s="2" t="s">
        <v>14</v>
      </c>
      <c r="F943" s="2" t="s">
        <v>16</v>
      </c>
      <c r="G943" s="2" t="s">
        <v>15</v>
      </c>
      <c r="H943" s="2">
        <v>29</v>
      </c>
      <c r="I943" s="2">
        <v>330</v>
      </c>
      <c r="J943" s="5">
        <v>165000</v>
      </c>
      <c r="K943" s="5">
        <v>59400</v>
      </c>
    </row>
    <row r="944" spans="1:11" x14ac:dyDescent="0.25">
      <c r="A944" s="2">
        <v>10943</v>
      </c>
      <c r="B944" s="2">
        <f t="shared" si="14"/>
        <v>2021</v>
      </c>
      <c r="C944" s="3">
        <v>44378</v>
      </c>
      <c r="D944" s="4">
        <v>44408</v>
      </c>
      <c r="E944" s="2" t="s">
        <v>11</v>
      </c>
      <c r="F944" s="2" t="s">
        <v>18</v>
      </c>
      <c r="G944" s="2" t="s">
        <v>17</v>
      </c>
      <c r="H944" s="2">
        <v>26</v>
      </c>
      <c r="I944" s="2">
        <v>442</v>
      </c>
      <c r="J944" s="5">
        <v>110500</v>
      </c>
      <c r="K944" s="5">
        <v>44200</v>
      </c>
    </row>
    <row r="945" spans="1:11" x14ac:dyDescent="0.25">
      <c r="A945" s="2">
        <v>10944</v>
      </c>
      <c r="B945" s="2">
        <f t="shared" si="14"/>
        <v>2021</v>
      </c>
      <c r="C945" s="3">
        <v>44409</v>
      </c>
      <c r="D945" s="4">
        <v>44409</v>
      </c>
      <c r="E945" s="2" t="s">
        <v>22</v>
      </c>
      <c r="F945" s="2" t="s">
        <v>21</v>
      </c>
      <c r="G945" s="2" t="s">
        <v>23</v>
      </c>
      <c r="H945" s="2">
        <v>23</v>
      </c>
      <c r="I945" s="2">
        <v>397</v>
      </c>
      <c r="J945" s="5">
        <v>138950</v>
      </c>
      <c r="K945" s="5">
        <v>56969.5</v>
      </c>
    </row>
    <row r="946" spans="1:11" x14ac:dyDescent="0.25">
      <c r="A946" s="2">
        <v>10945</v>
      </c>
      <c r="B946" s="2">
        <f t="shared" si="14"/>
        <v>2021</v>
      </c>
      <c r="C946" s="3">
        <v>44409</v>
      </c>
      <c r="D946" s="4">
        <v>44410</v>
      </c>
      <c r="E946" s="2" t="s">
        <v>14</v>
      </c>
      <c r="F946" s="2" t="s">
        <v>16</v>
      </c>
      <c r="G946" s="2" t="s">
        <v>13</v>
      </c>
      <c r="H946" s="2">
        <v>19</v>
      </c>
      <c r="I946" s="2">
        <v>359</v>
      </c>
      <c r="J946" s="5">
        <v>269250</v>
      </c>
      <c r="K946" s="5">
        <v>64620</v>
      </c>
    </row>
    <row r="947" spans="1:11" x14ac:dyDescent="0.25">
      <c r="A947" s="2">
        <v>10946</v>
      </c>
      <c r="B947" s="2">
        <f t="shared" si="14"/>
        <v>2021</v>
      </c>
      <c r="C947" s="3">
        <v>44409</v>
      </c>
      <c r="D947" s="4">
        <v>44411</v>
      </c>
      <c r="E947" s="2" t="s">
        <v>22</v>
      </c>
      <c r="F947" s="2" t="s">
        <v>12</v>
      </c>
      <c r="G947" s="2" t="s">
        <v>17</v>
      </c>
      <c r="H947" s="2">
        <v>11</v>
      </c>
      <c r="I947" s="2">
        <v>177</v>
      </c>
      <c r="J947" s="5">
        <v>44250</v>
      </c>
      <c r="K947" s="5">
        <v>14602.5</v>
      </c>
    </row>
    <row r="948" spans="1:11" x14ac:dyDescent="0.25">
      <c r="A948" s="2">
        <v>10947</v>
      </c>
      <c r="B948" s="2">
        <f t="shared" si="14"/>
        <v>2021</v>
      </c>
      <c r="C948" s="3">
        <v>44409</v>
      </c>
      <c r="D948" s="4">
        <v>44412</v>
      </c>
      <c r="E948" s="2" t="s">
        <v>22</v>
      </c>
      <c r="F948" s="2" t="s">
        <v>18</v>
      </c>
      <c r="G948" s="2" t="s">
        <v>15</v>
      </c>
      <c r="H948" s="2">
        <v>8</v>
      </c>
      <c r="I948" s="2">
        <v>449</v>
      </c>
      <c r="J948" s="5">
        <v>224500</v>
      </c>
      <c r="K948" s="5">
        <v>101025</v>
      </c>
    </row>
    <row r="949" spans="1:11" x14ac:dyDescent="0.25">
      <c r="A949" s="2">
        <v>10948</v>
      </c>
      <c r="B949" s="2">
        <f t="shared" si="14"/>
        <v>2021</v>
      </c>
      <c r="C949" s="3">
        <v>44409</v>
      </c>
      <c r="D949" s="4">
        <v>44413</v>
      </c>
      <c r="E949" s="2" t="s">
        <v>19</v>
      </c>
      <c r="F949" s="2" t="s">
        <v>12</v>
      </c>
      <c r="G949" s="2" t="s">
        <v>23</v>
      </c>
      <c r="H949" s="2">
        <v>21</v>
      </c>
      <c r="I949" s="2">
        <v>422</v>
      </c>
      <c r="J949" s="5">
        <v>147700</v>
      </c>
      <c r="K949" s="5">
        <v>25109</v>
      </c>
    </row>
    <row r="950" spans="1:11" x14ac:dyDescent="0.25">
      <c r="A950" s="2">
        <v>10949</v>
      </c>
      <c r="B950" s="2">
        <f t="shared" si="14"/>
        <v>2021</v>
      </c>
      <c r="C950" s="3">
        <v>44409</v>
      </c>
      <c r="D950" s="4">
        <v>44414</v>
      </c>
      <c r="E950" s="2" t="s">
        <v>22</v>
      </c>
      <c r="F950" s="2" t="s">
        <v>18</v>
      </c>
      <c r="G950" s="2" t="s">
        <v>15</v>
      </c>
      <c r="H950" s="2">
        <v>2</v>
      </c>
      <c r="I950" s="2">
        <v>43</v>
      </c>
      <c r="J950" s="5">
        <v>21500</v>
      </c>
      <c r="K950" s="5">
        <v>8170</v>
      </c>
    </row>
    <row r="951" spans="1:11" x14ac:dyDescent="0.25">
      <c r="A951" s="2">
        <v>10950</v>
      </c>
      <c r="B951" s="2">
        <f t="shared" si="14"/>
        <v>2021</v>
      </c>
      <c r="C951" s="3">
        <v>44409</v>
      </c>
      <c r="D951" s="4">
        <v>44415</v>
      </c>
      <c r="E951" s="2" t="s">
        <v>22</v>
      </c>
      <c r="F951" s="2" t="s">
        <v>18</v>
      </c>
      <c r="G951" s="2" t="s">
        <v>13</v>
      </c>
      <c r="H951" s="2">
        <v>32</v>
      </c>
      <c r="I951" s="2">
        <v>393</v>
      </c>
      <c r="J951" s="5">
        <v>294750</v>
      </c>
      <c r="K951" s="5">
        <v>64845</v>
      </c>
    </row>
    <row r="952" spans="1:11" x14ac:dyDescent="0.25">
      <c r="A952" s="2">
        <v>10951</v>
      </c>
      <c r="B952" s="2">
        <f t="shared" si="14"/>
        <v>2021</v>
      </c>
      <c r="C952" s="3">
        <v>44409</v>
      </c>
      <c r="D952" s="4">
        <v>44416</v>
      </c>
      <c r="E952" s="2" t="s">
        <v>22</v>
      </c>
      <c r="F952" s="2" t="s">
        <v>12</v>
      </c>
      <c r="G952" s="2" t="s">
        <v>17</v>
      </c>
      <c r="H952" s="2">
        <v>21</v>
      </c>
      <c r="I952" s="2">
        <v>314</v>
      </c>
      <c r="J952" s="5">
        <v>78500</v>
      </c>
      <c r="K952" s="5">
        <v>29830</v>
      </c>
    </row>
    <row r="953" spans="1:11" x14ac:dyDescent="0.25">
      <c r="A953" s="2">
        <v>10952</v>
      </c>
      <c r="B953" s="2">
        <f t="shared" si="14"/>
        <v>2021</v>
      </c>
      <c r="C953" s="3">
        <v>44409</v>
      </c>
      <c r="D953" s="4">
        <v>44417</v>
      </c>
      <c r="E953" s="2" t="s">
        <v>11</v>
      </c>
      <c r="F953" s="2" t="s">
        <v>24</v>
      </c>
      <c r="G953" s="2" t="s">
        <v>13</v>
      </c>
      <c r="H953" s="2">
        <v>40</v>
      </c>
      <c r="I953" s="2">
        <v>477</v>
      </c>
      <c r="J953" s="5">
        <v>357750</v>
      </c>
      <c r="K953" s="5">
        <v>121635.00000000001</v>
      </c>
    </row>
    <row r="954" spans="1:11" x14ac:dyDescent="0.25">
      <c r="A954" s="2">
        <v>10953</v>
      </c>
      <c r="B954" s="2">
        <f t="shared" si="14"/>
        <v>2021</v>
      </c>
      <c r="C954" s="3">
        <v>44409</v>
      </c>
      <c r="D954" s="4">
        <v>44418</v>
      </c>
      <c r="E954" s="2" t="s">
        <v>19</v>
      </c>
      <c r="F954" s="2" t="s">
        <v>18</v>
      </c>
      <c r="G954" s="2" t="s">
        <v>15</v>
      </c>
      <c r="H954" s="2">
        <v>10</v>
      </c>
      <c r="I954" s="2">
        <v>149</v>
      </c>
      <c r="J954" s="5">
        <v>74500</v>
      </c>
      <c r="K954" s="5">
        <v>29055</v>
      </c>
    </row>
    <row r="955" spans="1:11" x14ac:dyDescent="0.25">
      <c r="A955" s="2">
        <v>10954</v>
      </c>
      <c r="B955" s="2">
        <f t="shared" si="14"/>
        <v>2021</v>
      </c>
      <c r="C955" s="3">
        <v>44409</v>
      </c>
      <c r="D955" s="4">
        <v>44419</v>
      </c>
      <c r="E955" s="2" t="s">
        <v>19</v>
      </c>
      <c r="F955" s="2" t="s">
        <v>21</v>
      </c>
      <c r="G955" s="2" t="s">
        <v>13</v>
      </c>
      <c r="H955" s="2">
        <v>42</v>
      </c>
      <c r="I955" s="2">
        <v>478</v>
      </c>
      <c r="J955" s="5">
        <v>358500</v>
      </c>
      <c r="K955" s="5">
        <v>50190.000000000007</v>
      </c>
    </row>
    <row r="956" spans="1:11" x14ac:dyDescent="0.25">
      <c r="A956" s="2">
        <v>10955</v>
      </c>
      <c r="B956" s="2">
        <f t="shared" si="14"/>
        <v>2021</v>
      </c>
      <c r="C956" s="3">
        <v>44409</v>
      </c>
      <c r="D956" s="4">
        <v>44420</v>
      </c>
      <c r="E956" s="2" t="s">
        <v>11</v>
      </c>
      <c r="F956" s="2" t="s">
        <v>12</v>
      </c>
      <c r="G956" s="2" t="s">
        <v>13</v>
      </c>
      <c r="H956" s="2">
        <v>12</v>
      </c>
      <c r="I956" s="2">
        <v>172</v>
      </c>
      <c r="J956" s="5">
        <v>129000</v>
      </c>
      <c r="K956" s="5">
        <v>28380</v>
      </c>
    </row>
    <row r="957" spans="1:11" x14ac:dyDescent="0.25">
      <c r="A957" s="2">
        <v>10956</v>
      </c>
      <c r="B957" s="2">
        <f t="shared" si="14"/>
        <v>2021</v>
      </c>
      <c r="C957" s="3">
        <v>44409</v>
      </c>
      <c r="D957" s="4">
        <v>44421</v>
      </c>
      <c r="E957" s="2" t="s">
        <v>11</v>
      </c>
      <c r="F957" s="2" t="s">
        <v>16</v>
      </c>
      <c r="G957" s="2" t="s">
        <v>23</v>
      </c>
      <c r="H957" s="2">
        <v>12</v>
      </c>
      <c r="I957" s="2">
        <v>221</v>
      </c>
      <c r="J957" s="5">
        <v>77350</v>
      </c>
      <c r="K957" s="5">
        <v>17017</v>
      </c>
    </row>
    <row r="958" spans="1:11" x14ac:dyDescent="0.25">
      <c r="A958" s="2">
        <v>10957</v>
      </c>
      <c r="B958" s="2">
        <f t="shared" si="14"/>
        <v>2021</v>
      </c>
      <c r="C958" s="3">
        <v>44409</v>
      </c>
      <c r="D958" s="4">
        <v>44422</v>
      </c>
      <c r="E958" s="2" t="s">
        <v>25</v>
      </c>
      <c r="F958" s="2" t="s">
        <v>16</v>
      </c>
      <c r="G958" s="2" t="s">
        <v>13</v>
      </c>
      <c r="H958" s="2">
        <v>5</v>
      </c>
      <c r="I958" s="2">
        <v>60</v>
      </c>
      <c r="J958" s="5">
        <v>45000</v>
      </c>
      <c r="K958" s="5">
        <v>11250</v>
      </c>
    </row>
    <row r="959" spans="1:11" x14ac:dyDescent="0.25">
      <c r="A959" s="2">
        <v>10958</v>
      </c>
      <c r="B959" s="2">
        <f t="shared" si="14"/>
        <v>2021</v>
      </c>
      <c r="C959" s="3">
        <v>44409</v>
      </c>
      <c r="D959" s="4">
        <v>44423</v>
      </c>
      <c r="E959" s="2" t="s">
        <v>11</v>
      </c>
      <c r="F959" s="2" t="s">
        <v>12</v>
      </c>
      <c r="G959" s="2" t="s">
        <v>17</v>
      </c>
      <c r="H959" s="2">
        <v>1</v>
      </c>
      <c r="I959" s="2">
        <v>24</v>
      </c>
      <c r="J959" s="5">
        <v>6000</v>
      </c>
      <c r="K959" s="5">
        <v>1860</v>
      </c>
    </row>
    <row r="960" spans="1:11" x14ac:dyDescent="0.25">
      <c r="A960" s="2">
        <v>10959</v>
      </c>
      <c r="B960" s="2">
        <f t="shared" si="14"/>
        <v>2021</v>
      </c>
      <c r="C960" s="3">
        <v>44409</v>
      </c>
      <c r="D960" s="4">
        <v>44424</v>
      </c>
      <c r="E960" s="2" t="s">
        <v>25</v>
      </c>
      <c r="F960" s="2" t="s">
        <v>24</v>
      </c>
      <c r="G960" s="2" t="s">
        <v>15</v>
      </c>
      <c r="H960" s="2">
        <v>17</v>
      </c>
      <c r="I960" s="2">
        <v>255</v>
      </c>
      <c r="J960" s="5">
        <v>127500</v>
      </c>
      <c r="K960" s="5">
        <v>40800</v>
      </c>
    </row>
    <row r="961" spans="1:11" x14ac:dyDescent="0.25">
      <c r="A961" s="2">
        <v>10960</v>
      </c>
      <c r="B961" s="2">
        <f t="shared" si="14"/>
        <v>2021</v>
      </c>
      <c r="C961" s="3">
        <v>44409</v>
      </c>
      <c r="D961" s="4">
        <v>44425</v>
      </c>
      <c r="E961" s="2" t="s">
        <v>22</v>
      </c>
      <c r="F961" s="2" t="s">
        <v>16</v>
      </c>
      <c r="G961" s="2" t="s">
        <v>13</v>
      </c>
      <c r="H961" s="2">
        <v>31</v>
      </c>
      <c r="I961" s="2">
        <v>310</v>
      </c>
      <c r="J961" s="5">
        <v>232500</v>
      </c>
      <c r="K961" s="5">
        <v>51150</v>
      </c>
    </row>
    <row r="962" spans="1:11" x14ac:dyDescent="0.25">
      <c r="A962" s="2">
        <v>10961</v>
      </c>
      <c r="B962" s="2">
        <f t="shared" si="14"/>
        <v>2021</v>
      </c>
      <c r="C962" s="3">
        <v>44409</v>
      </c>
      <c r="D962" s="4">
        <v>44426</v>
      </c>
      <c r="E962" s="2" t="s">
        <v>22</v>
      </c>
      <c r="F962" s="2" t="s">
        <v>16</v>
      </c>
      <c r="G962" s="2" t="s">
        <v>17</v>
      </c>
      <c r="H962" s="2">
        <v>9</v>
      </c>
      <c r="I962" s="2">
        <v>500</v>
      </c>
      <c r="J962" s="5">
        <v>125000</v>
      </c>
      <c r="K962" s="5">
        <v>13750</v>
      </c>
    </row>
    <row r="963" spans="1:11" x14ac:dyDescent="0.25">
      <c r="A963" s="2">
        <v>10962</v>
      </c>
      <c r="B963" s="2">
        <f t="shared" ref="B963:B1026" si="15">YEAR(C963)</f>
        <v>2021</v>
      </c>
      <c r="C963" s="3">
        <v>44409</v>
      </c>
      <c r="D963" s="4">
        <v>44427</v>
      </c>
      <c r="E963" s="2" t="s">
        <v>14</v>
      </c>
      <c r="F963" s="2" t="s">
        <v>24</v>
      </c>
      <c r="G963" s="2" t="s">
        <v>23</v>
      </c>
      <c r="H963" s="2">
        <v>9</v>
      </c>
      <c r="I963" s="2">
        <v>310</v>
      </c>
      <c r="J963" s="5">
        <v>108500</v>
      </c>
      <c r="K963" s="5">
        <v>26040</v>
      </c>
    </row>
    <row r="964" spans="1:11" x14ac:dyDescent="0.25">
      <c r="A964" s="2">
        <v>10963</v>
      </c>
      <c r="B964" s="2">
        <f t="shared" si="15"/>
        <v>2021</v>
      </c>
      <c r="C964" s="3">
        <v>44409</v>
      </c>
      <c r="D964" s="4">
        <v>44428</v>
      </c>
      <c r="E964" s="2" t="s">
        <v>25</v>
      </c>
      <c r="F964" s="2" t="s">
        <v>18</v>
      </c>
      <c r="G964" s="2" t="s">
        <v>15</v>
      </c>
      <c r="H964" s="2">
        <v>5</v>
      </c>
      <c r="I964" s="2">
        <v>360</v>
      </c>
      <c r="J964" s="5">
        <v>180000</v>
      </c>
      <c r="K964" s="5">
        <v>81000</v>
      </c>
    </row>
    <row r="965" spans="1:11" x14ac:dyDescent="0.25">
      <c r="A965" s="2">
        <v>10964</v>
      </c>
      <c r="B965" s="2">
        <f t="shared" si="15"/>
        <v>2021</v>
      </c>
      <c r="C965" s="3">
        <v>44409</v>
      </c>
      <c r="D965" s="4">
        <v>44429</v>
      </c>
      <c r="E965" s="2" t="s">
        <v>14</v>
      </c>
      <c r="F965" s="2" t="s">
        <v>21</v>
      </c>
      <c r="G965" s="2" t="s">
        <v>15</v>
      </c>
      <c r="H965" s="2">
        <v>16</v>
      </c>
      <c r="I965" s="2">
        <v>176</v>
      </c>
      <c r="J965" s="5">
        <v>88000</v>
      </c>
      <c r="K965" s="5">
        <v>35200</v>
      </c>
    </row>
    <row r="966" spans="1:11" x14ac:dyDescent="0.25">
      <c r="A966" s="2">
        <v>10965</v>
      </c>
      <c r="B966" s="2">
        <f t="shared" si="15"/>
        <v>2021</v>
      </c>
      <c r="C966" s="3">
        <v>44409</v>
      </c>
      <c r="D966" s="4">
        <v>44430</v>
      </c>
      <c r="E966" s="2" t="s">
        <v>25</v>
      </c>
      <c r="F966" s="2" t="s">
        <v>24</v>
      </c>
      <c r="G966" s="2" t="s">
        <v>17</v>
      </c>
      <c r="H966" s="2">
        <v>3</v>
      </c>
      <c r="I966" s="2">
        <v>121</v>
      </c>
      <c r="J966" s="5">
        <v>30250</v>
      </c>
      <c r="K966" s="5">
        <v>9982.5</v>
      </c>
    </row>
    <row r="967" spans="1:11" x14ac:dyDescent="0.25">
      <c r="A967" s="2">
        <v>10966</v>
      </c>
      <c r="B967" s="2">
        <f t="shared" si="15"/>
        <v>2021</v>
      </c>
      <c r="C967" s="3">
        <v>44409</v>
      </c>
      <c r="D967" s="4">
        <v>44431</v>
      </c>
      <c r="E967" s="2" t="s">
        <v>19</v>
      </c>
      <c r="F967" s="2" t="s">
        <v>18</v>
      </c>
      <c r="G967" s="2" t="s">
        <v>23</v>
      </c>
      <c r="H967" s="2">
        <v>4</v>
      </c>
      <c r="I967" s="2">
        <v>123</v>
      </c>
      <c r="J967" s="5">
        <v>43050</v>
      </c>
      <c r="K967" s="5">
        <v>4305</v>
      </c>
    </row>
    <row r="968" spans="1:11" x14ac:dyDescent="0.25">
      <c r="A968" s="2">
        <v>10967</v>
      </c>
      <c r="B968" s="2">
        <f t="shared" si="15"/>
        <v>2021</v>
      </c>
      <c r="C968" s="3">
        <v>44409</v>
      </c>
      <c r="D968" s="4">
        <v>44432</v>
      </c>
      <c r="E968" s="2" t="s">
        <v>22</v>
      </c>
      <c r="F968" s="2" t="s">
        <v>21</v>
      </c>
      <c r="G968" s="2" t="s">
        <v>23</v>
      </c>
      <c r="H968" s="2">
        <v>35</v>
      </c>
      <c r="I968" s="2">
        <v>479</v>
      </c>
      <c r="J968" s="5">
        <v>167650</v>
      </c>
      <c r="K968" s="5">
        <v>30177</v>
      </c>
    </row>
    <row r="969" spans="1:11" x14ac:dyDescent="0.25">
      <c r="A969" s="2">
        <v>10968</v>
      </c>
      <c r="B969" s="2">
        <f t="shared" si="15"/>
        <v>2021</v>
      </c>
      <c r="C969" s="3">
        <v>44409</v>
      </c>
      <c r="D969" s="4">
        <v>44433</v>
      </c>
      <c r="E969" s="2" t="s">
        <v>25</v>
      </c>
      <c r="F969" s="2" t="s">
        <v>12</v>
      </c>
      <c r="G969" s="2" t="s">
        <v>13</v>
      </c>
      <c r="H969" s="2">
        <v>5</v>
      </c>
      <c r="I969" s="2">
        <v>104</v>
      </c>
      <c r="J969" s="5">
        <v>78000</v>
      </c>
      <c r="K969" s="5">
        <v>11700</v>
      </c>
    </row>
    <row r="970" spans="1:11" x14ac:dyDescent="0.25">
      <c r="A970" s="2">
        <v>10969</v>
      </c>
      <c r="B970" s="2">
        <f t="shared" si="15"/>
        <v>2021</v>
      </c>
      <c r="C970" s="3">
        <v>44409</v>
      </c>
      <c r="D970" s="4">
        <v>44434</v>
      </c>
      <c r="E970" s="2" t="s">
        <v>22</v>
      </c>
      <c r="F970" s="2" t="s">
        <v>21</v>
      </c>
      <c r="G970" s="2" t="s">
        <v>17</v>
      </c>
      <c r="H970" s="2">
        <v>11</v>
      </c>
      <c r="I970" s="2">
        <v>159</v>
      </c>
      <c r="J970" s="5">
        <v>39750</v>
      </c>
      <c r="K970" s="5">
        <v>10335</v>
      </c>
    </row>
    <row r="971" spans="1:11" x14ac:dyDescent="0.25">
      <c r="A971" s="2">
        <v>10970</v>
      </c>
      <c r="B971" s="2">
        <f t="shared" si="15"/>
        <v>2021</v>
      </c>
      <c r="C971" s="3">
        <v>44409</v>
      </c>
      <c r="D971" s="4">
        <v>44435</v>
      </c>
      <c r="E971" s="2" t="s">
        <v>22</v>
      </c>
      <c r="F971" s="2" t="s">
        <v>21</v>
      </c>
      <c r="G971" s="2" t="s">
        <v>13</v>
      </c>
      <c r="H971" s="2">
        <v>6</v>
      </c>
      <c r="I971" s="2">
        <v>385</v>
      </c>
      <c r="J971" s="5">
        <v>288750</v>
      </c>
      <c r="K971" s="5">
        <v>77962.5</v>
      </c>
    </row>
    <row r="972" spans="1:11" x14ac:dyDescent="0.25">
      <c r="A972" s="2">
        <v>10971</v>
      </c>
      <c r="B972" s="2">
        <f t="shared" si="15"/>
        <v>2021</v>
      </c>
      <c r="C972" s="3">
        <v>44409</v>
      </c>
      <c r="D972" s="4">
        <v>44436</v>
      </c>
      <c r="E972" s="2" t="s">
        <v>11</v>
      </c>
      <c r="F972" s="2" t="s">
        <v>18</v>
      </c>
      <c r="G972" s="2" t="s">
        <v>20</v>
      </c>
      <c r="H972" s="2">
        <v>2</v>
      </c>
      <c r="I972" s="2">
        <v>82</v>
      </c>
      <c r="J972" s="5">
        <v>69700</v>
      </c>
      <c r="K972" s="5">
        <v>25092</v>
      </c>
    </row>
    <row r="973" spans="1:11" x14ac:dyDescent="0.25">
      <c r="A973" s="2">
        <v>10972</v>
      </c>
      <c r="B973" s="2">
        <f t="shared" si="15"/>
        <v>2021</v>
      </c>
      <c r="C973" s="3">
        <v>44409</v>
      </c>
      <c r="D973" s="4">
        <v>44437</v>
      </c>
      <c r="E973" s="2" t="s">
        <v>25</v>
      </c>
      <c r="F973" s="2" t="s">
        <v>21</v>
      </c>
      <c r="G973" s="2" t="s">
        <v>17</v>
      </c>
      <c r="H973" s="2">
        <v>7</v>
      </c>
      <c r="I973" s="2">
        <v>101</v>
      </c>
      <c r="J973" s="5">
        <v>25250</v>
      </c>
      <c r="K973" s="5">
        <v>7070.0000000000009</v>
      </c>
    </row>
    <row r="974" spans="1:11" x14ac:dyDescent="0.25">
      <c r="A974" s="2">
        <v>10973</v>
      </c>
      <c r="B974" s="2">
        <f t="shared" si="15"/>
        <v>2021</v>
      </c>
      <c r="C974" s="3">
        <v>44409</v>
      </c>
      <c r="D974" s="4">
        <v>44438</v>
      </c>
      <c r="E974" s="2" t="s">
        <v>22</v>
      </c>
      <c r="F974" s="2" t="s">
        <v>21</v>
      </c>
      <c r="G974" s="2" t="s">
        <v>15</v>
      </c>
      <c r="H974" s="2">
        <v>5</v>
      </c>
      <c r="I974" s="2">
        <v>157</v>
      </c>
      <c r="J974" s="5">
        <v>78500</v>
      </c>
      <c r="K974" s="5">
        <v>16485</v>
      </c>
    </row>
    <row r="975" spans="1:11" x14ac:dyDescent="0.25">
      <c r="A975" s="2">
        <v>10974</v>
      </c>
      <c r="B975" s="2">
        <f t="shared" si="15"/>
        <v>2021</v>
      </c>
      <c r="C975" s="3">
        <v>44409</v>
      </c>
      <c r="D975" s="4">
        <v>44439</v>
      </c>
      <c r="E975" s="2" t="s">
        <v>11</v>
      </c>
      <c r="F975" s="2" t="s">
        <v>12</v>
      </c>
      <c r="G975" s="2" t="s">
        <v>15</v>
      </c>
      <c r="H975" s="2">
        <v>30</v>
      </c>
      <c r="I975" s="2">
        <v>459</v>
      </c>
      <c r="J975" s="5">
        <v>229500</v>
      </c>
      <c r="K975" s="5">
        <v>48195</v>
      </c>
    </row>
    <row r="976" spans="1:11" x14ac:dyDescent="0.25">
      <c r="A976" s="2">
        <v>10975</v>
      </c>
      <c r="B976" s="2">
        <f t="shared" si="15"/>
        <v>2021</v>
      </c>
      <c r="C976" s="3">
        <v>44440</v>
      </c>
      <c r="D976" s="4">
        <v>44440</v>
      </c>
      <c r="E976" s="2" t="s">
        <v>25</v>
      </c>
      <c r="F976" s="2" t="s">
        <v>16</v>
      </c>
      <c r="G976" s="2" t="s">
        <v>13</v>
      </c>
      <c r="H976" s="2">
        <v>13</v>
      </c>
      <c r="I976" s="2">
        <v>435</v>
      </c>
      <c r="J976" s="5">
        <v>326250</v>
      </c>
      <c r="K976" s="5">
        <v>91350.000000000015</v>
      </c>
    </row>
    <row r="977" spans="1:11" x14ac:dyDescent="0.25">
      <c r="A977" s="2">
        <v>10976</v>
      </c>
      <c r="B977" s="2">
        <f t="shared" si="15"/>
        <v>2021</v>
      </c>
      <c r="C977" s="3">
        <v>44440</v>
      </c>
      <c r="D977" s="4">
        <v>44441</v>
      </c>
      <c r="E977" s="2" t="s">
        <v>22</v>
      </c>
      <c r="F977" s="2" t="s">
        <v>24</v>
      </c>
      <c r="G977" s="2" t="s">
        <v>23</v>
      </c>
      <c r="H977" s="2">
        <v>7</v>
      </c>
      <c r="I977" s="2">
        <v>109</v>
      </c>
      <c r="J977" s="5">
        <v>38150</v>
      </c>
      <c r="K977" s="5">
        <v>6485.5000000000009</v>
      </c>
    </row>
    <row r="978" spans="1:11" x14ac:dyDescent="0.25">
      <c r="A978" s="2">
        <v>10977</v>
      </c>
      <c r="B978" s="2">
        <f t="shared" si="15"/>
        <v>2021</v>
      </c>
      <c r="C978" s="3">
        <v>44440</v>
      </c>
      <c r="D978" s="4">
        <v>44442</v>
      </c>
      <c r="E978" s="2" t="s">
        <v>11</v>
      </c>
      <c r="F978" s="2" t="s">
        <v>18</v>
      </c>
      <c r="G978" s="2" t="s">
        <v>13</v>
      </c>
      <c r="H978" s="2">
        <v>36</v>
      </c>
      <c r="I978" s="2">
        <v>368</v>
      </c>
      <c r="J978" s="5">
        <v>276000</v>
      </c>
      <c r="K978" s="5">
        <v>121440</v>
      </c>
    </row>
    <row r="979" spans="1:11" x14ac:dyDescent="0.25">
      <c r="A979" s="2">
        <v>10978</v>
      </c>
      <c r="B979" s="2">
        <f t="shared" si="15"/>
        <v>2021</v>
      </c>
      <c r="C979" s="3">
        <v>44440</v>
      </c>
      <c r="D979" s="4">
        <v>44443</v>
      </c>
      <c r="E979" s="2" t="s">
        <v>19</v>
      </c>
      <c r="F979" s="2" t="s">
        <v>21</v>
      </c>
      <c r="G979" s="2" t="s">
        <v>15</v>
      </c>
      <c r="H979" s="2">
        <v>3</v>
      </c>
      <c r="I979" s="2">
        <v>264</v>
      </c>
      <c r="J979" s="5">
        <v>132000</v>
      </c>
      <c r="K979" s="5">
        <v>26400</v>
      </c>
    </row>
    <row r="980" spans="1:11" x14ac:dyDescent="0.25">
      <c r="A980" s="2">
        <v>10979</v>
      </c>
      <c r="B980" s="2">
        <f t="shared" si="15"/>
        <v>2021</v>
      </c>
      <c r="C980" s="3">
        <v>44440</v>
      </c>
      <c r="D980" s="4">
        <v>44444</v>
      </c>
      <c r="E980" s="2" t="s">
        <v>19</v>
      </c>
      <c r="F980" s="2" t="s">
        <v>18</v>
      </c>
      <c r="G980" s="2" t="s">
        <v>13</v>
      </c>
      <c r="H980" s="2">
        <v>23</v>
      </c>
      <c r="I980" s="2">
        <v>382</v>
      </c>
      <c r="J980" s="5">
        <v>286500</v>
      </c>
      <c r="K980" s="5">
        <v>37245</v>
      </c>
    </row>
    <row r="981" spans="1:11" x14ac:dyDescent="0.25">
      <c r="A981" s="2">
        <v>10980</v>
      </c>
      <c r="B981" s="2">
        <f t="shared" si="15"/>
        <v>2021</v>
      </c>
      <c r="C981" s="3">
        <v>44440</v>
      </c>
      <c r="D981" s="4">
        <v>44445</v>
      </c>
      <c r="E981" s="2" t="s">
        <v>22</v>
      </c>
      <c r="F981" s="2" t="s">
        <v>21</v>
      </c>
      <c r="G981" s="2" t="s">
        <v>23</v>
      </c>
      <c r="H981" s="2">
        <v>7</v>
      </c>
      <c r="I981" s="2">
        <v>462</v>
      </c>
      <c r="J981" s="5">
        <v>161700</v>
      </c>
      <c r="K981" s="5">
        <v>17787</v>
      </c>
    </row>
    <row r="982" spans="1:11" x14ac:dyDescent="0.25">
      <c r="A982" s="2">
        <v>10981</v>
      </c>
      <c r="B982" s="2">
        <f t="shared" si="15"/>
        <v>2021</v>
      </c>
      <c r="C982" s="3">
        <v>44440</v>
      </c>
      <c r="D982" s="4">
        <v>44446</v>
      </c>
      <c r="E982" s="2" t="s">
        <v>22</v>
      </c>
      <c r="F982" s="2" t="s">
        <v>24</v>
      </c>
      <c r="G982" s="2" t="s">
        <v>15</v>
      </c>
      <c r="H982" s="2">
        <v>30</v>
      </c>
      <c r="I982" s="2">
        <v>407</v>
      </c>
      <c r="J982" s="5">
        <v>203500</v>
      </c>
      <c r="K982" s="5">
        <v>40700</v>
      </c>
    </row>
    <row r="983" spans="1:11" x14ac:dyDescent="0.25">
      <c r="A983" s="2">
        <v>10982</v>
      </c>
      <c r="B983" s="2">
        <f t="shared" si="15"/>
        <v>2021</v>
      </c>
      <c r="C983" s="3">
        <v>44440</v>
      </c>
      <c r="D983" s="4">
        <v>44447</v>
      </c>
      <c r="E983" s="2" t="s">
        <v>14</v>
      </c>
      <c r="F983" s="2" t="s">
        <v>24</v>
      </c>
      <c r="G983" s="2" t="s">
        <v>17</v>
      </c>
      <c r="H983" s="2">
        <v>19</v>
      </c>
      <c r="I983" s="2">
        <v>294</v>
      </c>
      <c r="J983" s="5">
        <v>73500</v>
      </c>
      <c r="K983" s="5">
        <v>10290.000000000002</v>
      </c>
    </row>
    <row r="984" spans="1:11" x14ac:dyDescent="0.25">
      <c r="A984" s="2">
        <v>10983</v>
      </c>
      <c r="B984" s="2">
        <f t="shared" si="15"/>
        <v>2021</v>
      </c>
      <c r="C984" s="3">
        <v>44440</v>
      </c>
      <c r="D984" s="4">
        <v>44448</v>
      </c>
      <c r="E984" s="2" t="s">
        <v>14</v>
      </c>
      <c r="F984" s="2" t="s">
        <v>16</v>
      </c>
      <c r="G984" s="2" t="s">
        <v>13</v>
      </c>
      <c r="H984" s="2">
        <v>15</v>
      </c>
      <c r="I984" s="2">
        <v>394</v>
      </c>
      <c r="J984" s="5">
        <v>295500</v>
      </c>
      <c r="K984" s="5">
        <v>41370.000000000007</v>
      </c>
    </row>
    <row r="985" spans="1:11" x14ac:dyDescent="0.25">
      <c r="A985" s="2">
        <v>10984</v>
      </c>
      <c r="B985" s="2">
        <f t="shared" si="15"/>
        <v>2021</v>
      </c>
      <c r="C985" s="3">
        <v>44440</v>
      </c>
      <c r="D985" s="4">
        <v>44449</v>
      </c>
      <c r="E985" s="2" t="s">
        <v>22</v>
      </c>
      <c r="F985" s="2" t="s">
        <v>12</v>
      </c>
      <c r="G985" s="2" t="s">
        <v>15</v>
      </c>
      <c r="H985" s="2">
        <v>18</v>
      </c>
      <c r="I985" s="2">
        <v>272</v>
      </c>
      <c r="J985" s="5">
        <v>136000</v>
      </c>
      <c r="K985" s="5">
        <v>36720</v>
      </c>
    </row>
    <row r="986" spans="1:11" x14ac:dyDescent="0.25">
      <c r="A986" s="2">
        <v>10985</v>
      </c>
      <c r="B986" s="2">
        <f t="shared" si="15"/>
        <v>2021</v>
      </c>
      <c r="C986" s="3">
        <v>44440</v>
      </c>
      <c r="D986" s="4">
        <v>44450</v>
      </c>
      <c r="E986" s="2" t="s">
        <v>11</v>
      </c>
      <c r="F986" s="2" t="s">
        <v>24</v>
      </c>
      <c r="G986" s="2" t="s">
        <v>20</v>
      </c>
      <c r="H986" s="2">
        <v>4</v>
      </c>
      <c r="I986" s="2">
        <v>292</v>
      </c>
      <c r="J986" s="5">
        <v>248200</v>
      </c>
      <c r="K986" s="5">
        <v>81906</v>
      </c>
    </row>
    <row r="987" spans="1:11" x14ac:dyDescent="0.25">
      <c r="A987" s="2">
        <v>10986</v>
      </c>
      <c r="B987" s="2">
        <f t="shared" si="15"/>
        <v>2021</v>
      </c>
      <c r="C987" s="3">
        <v>44440</v>
      </c>
      <c r="D987" s="4">
        <v>44451</v>
      </c>
      <c r="E987" s="2" t="s">
        <v>19</v>
      </c>
      <c r="F987" s="2" t="s">
        <v>16</v>
      </c>
      <c r="G987" s="2" t="s">
        <v>23</v>
      </c>
      <c r="H987" s="2">
        <v>8</v>
      </c>
      <c r="I987" s="2">
        <v>88</v>
      </c>
      <c r="J987" s="5">
        <v>30800</v>
      </c>
      <c r="K987" s="5">
        <v>13552</v>
      </c>
    </row>
    <row r="988" spans="1:11" x14ac:dyDescent="0.25">
      <c r="A988" s="2">
        <v>10987</v>
      </c>
      <c r="B988" s="2">
        <f t="shared" si="15"/>
        <v>2021</v>
      </c>
      <c r="C988" s="3">
        <v>44440</v>
      </c>
      <c r="D988" s="4">
        <v>44452</v>
      </c>
      <c r="E988" s="2" t="s">
        <v>25</v>
      </c>
      <c r="F988" s="2" t="s">
        <v>24</v>
      </c>
      <c r="G988" s="2" t="s">
        <v>15</v>
      </c>
      <c r="H988" s="2">
        <v>21</v>
      </c>
      <c r="I988" s="2">
        <v>371</v>
      </c>
      <c r="J988" s="5">
        <v>185500</v>
      </c>
      <c r="K988" s="5">
        <v>29680</v>
      </c>
    </row>
    <row r="989" spans="1:11" x14ac:dyDescent="0.25">
      <c r="A989" s="2">
        <v>10988</v>
      </c>
      <c r="B989" s="2">
        <f t="shared" si="15"/>
        <v>2021</v>
      </c>
      <c r="C989" s="3">
        <v>44440</v>
      </c>
      <c r="D989" s="4">
        <v>44453</v>
      </c>
      <c r="E989" s="2" t="s">
        <v>22</v>
      </c>
      <c r="F989" s="2" t="s">
        <v>21</v>
      </c>
      <c r="G989" s="2" t="s">
        <v>17</v>
      </c>
      <c r="H989" s="2">
        <v>17</v>
      </c>
      <c r="I989" s="2">
        <v>326</v>
      </c>
      <c r="J989" s="5">
        <v>81500</v>
      </c>
      <c r="K989" s="5">
        <v>20375</v>
      </c>
    </row>
    <row r="990" spans="1:11" x14ac:dyDescent="0.25">
      <c r="A990" s="2">
        <v>10989</v>
      </c>
      <c r="B990" s="2">
        <f t="shared" si="15"/>
        <v>2021</v>
      </c>
      <c r="C990" s="3">
        <v>44440</v>
      </c>
      <c r="D990" s="4">
        <v>44454</v>
      </c>
      <c r="E990" s="2" t="s">
        <v>19</v>
      </c>
      <c r="F990" s="2" t="s">
        <v>12</v>
      </c>
      <c r="G990" s="2" t="s">
        <v>15</v>
      </c>
      <c r="H990" s="2">
        <v>21</v>
      </c>
      <c r="I990" s="2">
        <v>304</v>
      </c>
      <c r="J990" s="5">
        <v>152000</v>
      </c>
      <c r="K990" s="5">
        <v>51680.000000000007</v>
      </c>
    </row>
    <row r="991" spans="1:11" x14ac:dyDescent="0.25">
      <c r="A991" s="2">
        <v>10990</v>
      </c>
      <c r="B991" s="2">
        <f t="shared" si="15"/>
        <v>2021</v>
      </c>
      <c r="C991" s="3">
        <v>44440</v>
      </c>
      <c r="D991" s="4">
        <v>44455</v>
      </c>
      <c r="E991" s="2" t="s">
        <v>22</v>
      </c>
      <c r="F991" s="2" t="s">
        <v>16</v>
      </c>
      <c r="G991" s="2" t="s">
        <v>23</v>
      </c>
      <c r="H991" s="2">
        <v>23</v>
      </c>
      <c r="I991" s="2">
        <v>416</v>
      </c>
      <c r="J991" s="5">
        <v>145600</v>
      </c>
      <c r="K991" s="5">
        <v>46592</v>
      </c>
    </row>
    <row r="992" spans="1:11" x14ac:dyDescent="0.25">
      <c r="A992" s="2">
        <v>10991</v>
      </c>
      <c r="B992" s="2">
        <f t="shared" si="15"/>
        <v>2021</v>
      </c>
      <c r="C992" s="3">
        <v>44440</v>
      </c>
      <c r="D992" s="4">
        <v>44456</v>
      </c>
      <c r="E992" s="2" t="s">
        <v>14</v>
      </c>
      <c r="F992" s="2" t="s">
        <v>16</v>
      </c>
      <c r="G992" s="2" t="s">
        <v>15</v>
      </c>
      <c r="H992" s="2">
        <v>34</v>
      </c>
      <c r="I992" s="2">
        <v>480</v>
      </c>
      <c r="J992" s="5">
        <v>240000</v>
      </c>
      <c r="K992" s="5">
        <v>43200</v>
      </c>
    </row>
    <row r="993" spans="1:11" x14ac:dyDescent="0.25">
      <c r="A993" s="2">
        <v>10992</v>
      </c>
      <c r="B993" s="2">
        <f t="shared" si="15"/>
        <v>2021</v>
      </c>
      <c r="C993" s="3">
        <v>44440</v>
      </c>
      <c r="D993" s="4">
        <v>44457</v>
      </c>
      <c r="E993" s="2" t="s">
        <v>25</v>
      </c>
      <c r="F993" s="2" t="s">
        <v>16</v>
      </c>
      <c r="G993" s="2" t="s">
        <v>15</v>
      </c>
      <c r="H993" s="2">
        <v>11</v>
      </c>
      <c r="I993" s="2">
        <v>354</v>
      </c>
      <c r="J993" s="5">
        <v>177000</v>
      </c>
      <c r="K993" s="5">
        <v>56640</v>
      </c>
    </row>
    <row r="994" spans="1:11" x14ac:dyDescent="0.25">
      <c r="A994" s="2">
        <v>10993</v>
      </c>
      <c r="B994" s="2">
        <f t="shared" si="15"/>
        <v>2021</v>
      </c>
      <c r="C994" s="3">
        <v>44440</v>
      </c>
      <c r="D994" s="4">
        <v>44458</v>
      </c>
      <c r="E994" s="2" t="s">
        <v>19</v>
      </c>
      <c r="F994" s="2" t="s">
        <v>16</v>
      </c>
      <c r="G994" s="2" t="s">
        <v>17</v>
      </c>
      <c r="H994" s="2">
        <v>1</v>
      </c>
      <c r="I994" s="2">
        <v>50</v>
      </c>
      <c r="J994" s="5">
        <v>12500</v>
      </c>
      <c r="K994" s="5">
        <v>5375</v>
      </c>
    </row>
    <row r="995" spans="1:11" x14ac:dyDescent="0.25">
      <c r="A995" s="2">
        <v>10994</v>
      </c>
      <c r="B995" s="2">
        <f t="shared" si="15"/>
        <v>2021</v>
      </c>
      <c r="C995" s="3">
        <v>44440</v>
      </c>
      <c r="D995" s="4">
        <v>44459</v>
      </c>
      <c r="E995" s="2" t="s">
        <v>25</v>
      </c>
      <c r="F995" s="2" t="s">
        <v>12</v>
      </c>
      <c r="G995" s="2" t="s">
        <v>13</v>
      </c>
      <c r="H995" s="2">
        <v>5</v>
      </c>
      <c r="I995" s="2">
        <v>72</v>
      </c>
      <c r="J995" s="5">
        <v>54000</v>
      </c>
      <c r="K995" s="5">
        <v>21060</v>
      </c>
    </row>
    <row r="996" spans="1:11" x14ac:dyDescent="0.25">
      <c r="A996" s="2">
        <v>10995</v>
      </c>
      <c r="B996" s="2">
        <f t="shared" si="15"/>
        <v>2021</v>
      </c>
      <c r="C996" s="3">
        <v>44440</v>
      </c>
      <c r="D996" s="4">
        <v>44460</v>
      </c>
      <c r="E996" s="2" t="s">
        <v>11</v>
      </c>
      <c r="F996" s="2" t="s">
        <v>21</v>
      </c>
      <c r="G996" s="2" t="s">
        <v>17</v>
      </c>
      <c r="H996" s="2">
        <v>33</v>
      </c>
      <c r="I996" s="2">
        <v>379</v>
      </c>
      <c r="J996" s="5">
        <v>94750</v>
      </c>
      <c r="K996" s="5">
        <v>42637.5</v>
      </c>
    </row>
    <row r="997" spans="1:11" x14ac:dyDescent="0.25">
      <c r="A997" s="2">
        <v>10996</v>
      </c>
      <c r="B997" s="2">
        <f t="shared" si="15"/>
        <v>2021</v>
      </c>
      <c r="C997" s="3">
        <v>44440</v>
      </c>
      <c r="D997" s="4">
        <v>44461</v>
      </c>
      <c r="E997" s="2" t="s">
        <v>11</v>
      </c>
      <c r="F997" s="2" t="s">
        <v>21</v>
      </c>
      <c r="G997" s="2" t="s">
        <v>23</v>
      </c>
      <c r="H997" s="2">
        <v>22</v>
      </c>
      <c r="I997" s="2">
        <v>300</v>
      </c>
      <c r="J997" s="5">
        <v>105000</v>
      </c>
      <c r="K997" s="5">
        <v>34650</v>
      </c>
    </row>
    <row r="998" spans="1:11" x14ac:dyDescent="0.25">
      <c r="A998" s="2">
        <v>10997</v>
      </c>
      <c r="B998" s="2">
        <f t="shared" si="15"/>
        <v>2021</v>
      </c>
      <c r="C998" s="3">
        <v>44440</v>
      </c>
      <c r="D998" s="4">
        <v>44462</v>
      </c>
      <c r="E998" s="2" t="s">
        <v>14</v>
      </c>
      <c r="F998" s="2" t="s">
        <v>21</v>
      </c>
      <c r="G998" s="2" t="s">
        <v>23</v>
      </c>
      <c r="H998" s="2">
        <v>10</v>
      </c>
      <c r="I998" s="2">
        <v>292</v>
      </c>
      <c r="J998" s="5">
        <v>102200</v>
      </c>
      <c r="K998" s="5">
        <v>29637.999999999996</v>
      </c>
    </row>
    <row r="999" spans="1:11" x14ac:dyDescent="0.25">
      <c r="A999" s="2">
        <v>10998</v>
      </c>
      <c r="B999" s="2">
        <f t="shared" si="15"/>
        <v>2021</v>
      </c>
      <c r="C999" s="3">
        <v>44440</v>
      </c>
      <c r="D999" s="4">
        <v>44463</v>
      </c>
      <c r="E999" s="2" t="s">
        <v>11</v>
      </c>
      <c r="F999" s="2" t="s">
        <v>12</v>
      </c>
      <c r="G999" s="2" t="s">
        <v>20</v>
      </c>
      <c r="H999" s="2">
        <v>8</v>
      </c>
      <c r="I999" s="2">
        <v>268</v>
      </c>
      <c r="J999" s="5">
        <v>227800</v>
      </c>
      <c r="K999" s="5">
        <v>88842</v>
      </c>
    </row>
    <row r="1000" spans="1:11" x14ac:dyDescent="0.25">
      <c r="A1000" s="2">
        <v>10999</v>
      </c>
      <c r="B1000" s="2">
        <f t="shared" si="15"/>
        <v>2021</v>
      </c>
      <c r="C1000" s="3">
        <v>44440</v>
      </c>
      <c r="D1000" s="4">
        <v>44464</v>
      </c>
      <c r="E1000" s="2" t="s">
        <v>11</v>
      </c>
      <c r="F1000" s="2" t="s">
        <v>12</v>
      </c>
      <c r="G1000" s="2" t="s">
        <v>15</v>
      </c>
      <c r="H1000" s="2">
        <v>20</v>
      </c>
      <c r="I1000" s="2">
        <v>344</v>
      </c>
      <c r="J1000" s="5">
        <v>172000</v>
      </c>
      <c r="K1000" s="5">
        <v>77400</v>
      </c>
    </row>
    <row r="1001" spans="1:11" x14ac:dyDescent="0.25">
      <c r="A1001" s="2">
        <v>11000</v>
      </c>
      <c r="B1001" s="2">
        <f t="shared" si="15"/>
        <v>2021</v>
      </c>
      <c r="C1001" s="3">
        <v>44440</v>
      </c>
      <c r="D1001" s="4">
        <v>44465</v>
      </c>
      <c r="E1001" s="2" t="s">
        <v>14</v>
      </c>
      <c r="F1001" s="2" t="s">
        <v>16</v>
      </c>
      <c r="G1001" s="2" t="s">
        <v>13</v>
      </c>
      <c r="H1001" s="2">
        <v>24</v>
      </c>
      <c r="I1001" s="2">
        <v>388</v>
      </c>
      <c r="J1001" s="5">
        <v>291000</v>
      </c>
      <c r="K1001" s="5">
        <v>29100</v>
      </c>
    </row>
    <row r="1002" spans="1:11" x14ac:dyDescent="0.25">
      <c r="A1002" s="2">
        <v>11001</v>
      </c>
      <c r="B1002" s="2">
        <f t="shared" si="15"/>
        <v>2021</v>
      </c>
      <c r="C1002" s="3">
        <v>44440</v>
      </c>
      <c r="D1002" s="4">
        <v>44466</v>
      </c>
      <c r="E1002" s="2" t="s">
        <v>22</v>
      </c>
      <c r="F1002" s="2" t="s">
        <v>18</v>
      </c>
      <c r="G1002" s="2" t="s">
        <v>20</v>
      </c>
      <c r="H1002" s="2">
        <v>6</v>
      </c>
      <c r="I1002" s="2">
        <v>433</v>
      </c>
      <c r="J1002" s="5">
        <v>368050</v>
      </c>
      <c r="K1002" s="5">
        <v>84651.5</v>
      </c>
    </row>
    <row r="1003" spans="1:11" x14ac:dyDescent="0.25">
      <c r="A1003" s="2">
        <v>11002</v>
      </c>
      <c r="B1003" s="2">
        <f t="shared" si="15"/>
        <v>2021</v>
      </c>
      <c r="C1003" s="3">
        <v>44440</v>
      </c>
      <c r="D1003" s="4">
        <v>44467</v>
      </c>
      <c r="E1003" s="2" t="s">
        <v>19</v>
      </c>
      <c r="F1003" s="2" t="s">
        <v>12</v>
      </c>
      <c r="G1003" s="2" t="s">
        <v>20</v>
      </c>
      <c r="H1003" s="2">
        <v>22</v>
      </c>
      <c r="I1003" s="2">
        <v>417</v>
      </c>
      <c r="J1003" s="5">
        <v>354450</v>
      </c>
      <c r="K1003" s="5">
        <v>67345.5</v>
      </c>
    </row>
    <row r="1004" spans="1:11" x14ac:dyDescent="0.25">
      <c r="A1004" s="2">
        <v>11003</v>
      </c>
      <c r="B1004" s="2">
        <f t="shared" si="15"/>
        <v>2021</v>
      </c>
      <c r="C1004" s="3">
        <v>44440</v>
      </c>
      <c r="D1004" s="4">
        <v>44468</v>
      </c>
      <c r="E1004" s="2" t="s">
        <v>22</v>
      </c>
      <c r="F1004" s="2" t="s">
        <v>16</v>
      </c>
      <c r="G1004" s="2" t="s">
        <v>23</v>
      </c>
      <c r="H1004" s="2">
        <v>30</v>
      </c>
      <c r="I1004" s="2">
        <v>309</v>
      </c>
      <c r="J1004" s="5">
        <v>108150</v>
      </c>
      <c r="K1004" s="5">
        <v>35689.5</v>
      </c>
    </row>
    <row r="1005" spans="1:11" x14ac:dyDescent="0.25">
      <c r="A1005" s="2">
        <v>11004</v>
      </c>
      <c r="B1005" s="2">
        <f t="shared" si="15"/>
        <v>2021</v>
      </c>
      <c r="C1005" s="3">
        <v>44440</v>
      </c>
      <c r="D1005" s="4">
        <v>44469</v>
      </c>
      <c r="E1005" s="2" t="s">
        <v>14</v>
      </c>
      <c r="F1005" s="2" t="s">
        <v>24</v>
      </c>
      <c r="G1005" s="2" t="s">
        <v>17</v>
      </c>
      <c r="H1005" s="2">
        <v>3</v>
      </c>
      <c r="I1005" s="2">
        <v>84</v>
      </c>
      <c r="J1005" s="5">
        <v>21000</v>
      </c>
      <c r="K1005" s="5">
        <v>3360</v>
      </c>
    </row>
    <row r="1006" spans="1:11" x14ac:dyDescent="0.25">
      <c r="A1006" s="2">
        <v>11005</v>
      </c>
      <c r="B1006" s="2">
        <f t="shared" si="15"/>
        <v>2021</v>
      </c>
      <c r="C1006" s="3">
        <v>44470</v>
      </c>
      <c r="D1006" s="4">
        <v>44470</v>
      </c>
      <c r="E1006" s="2" t="s">
        <v>25</v>
      </c>
      <c r="F1006" s="2" t="s">
        <v>24</v>
      </c>
      <c r="G1006" s="2" t="s">
        <v>15</v>
      </c>
      <c r="H1006" s="2">
        <v>13</v>
      </c>
      <c r="I1006" s="2">
        <v>157</v>
      </c>
      <c r="J1006" s="5">
        <v>78500</v>
      </c>
      <c r="K1006" s="5">
        <v>8635</v>
      </c>
    </row>
    <row r="1007" spans="1:11" x14ac:dyDescent="0.25">
      <c r="A1007" s="2">
        <v>11006</v>
      </c>
      <c r="B1007" s="2">
        <f t="shared" si="15"/>
        <v>2021</v>
      </c>
      <c r="C1007" s="3">
        <v>44470</v>
      </c>
      <c r="D1007" s="4">
        <v>44471</v>
      </c>
      <c r="E1007" s="2" t="s">
        <v>22</v>
      </c>
      <c r="F1007" s="2" t="s">
        <v>18</v>
      </c>
      <c r="G1007" s="2" t="s">
        <v>23</v>
      </c>
      <c r="H1007" s="2">
        <v>17</v>
      </c>
      <c r="I1007" s="2">
        <v>227</v>
      </c>
      <c r="J1007" s="5">
        <v>79450</v>
      </c>
      <c r="K1007" s="5">
        <v>23040.5</v>
      </c>
    </row>
    <row r="1008" spans="1:11" x14ac:dyDescent="0.25">
      <c r="A1008" s="2">
        <v>11007</v>
      </c>
      <c r="B1008" s="2">
        <f t="shared" si="15"/>
        <v>2021</v>
      </c>
      <c r="C1008" s="3">
        <v>44470</v>
      </c>
      <c r="D1008" s="4">
        <v>44472</v>
      </c>
      <c r="E1008" s="2" t="s">
        <v>14</v>
      </c>
      <c r="F1008" s="2" t="s">
        <v>12</v>
      </c>
      <c r="G1008" s="2" t="s">
        <v>15</v>
      </c>
      <c r="H1008" s="2">
        <v>11</v>
      </c>
      <c r="I1008" s="2">
        <v>130</v>
      </c>
      <c r="J1008" s="5">
        <v>65000</v>
      </c>
      <c r="K1008" s="5">
        <v>18850</v>
      </c>
    </row>
    <row r="1009" spans="1:11" x14ac:dyDescent="0.25">
      <c r="A1009" s="2">
        <v>11008</v>
      </c>
      <c r="B1009" s="2">
        <f t="shared" si="15"/>
        <v>2021</v>
      </c>
      <c r="C1009" s="3">
        <v>44470</v>
      </c>
      <c r="D1009" s="4">
        <v>44473</v>
      </c>
      <c r="E1009" s="2" t="s">
        <v>22</v>
      </c>
      <c r="F1009" s="2" t="s">
        <v>21</v>
      </c>
      <c r="G1009" s="2" t="s">
        <v>17</v>
      </c>
      <c r="H1009" s="2">
        <v>2</v>
      </c>
      <c r="I1009" s="2">
        <v>35</v>
      </c>
      <c r="J1009" s="5">
        <v>8750</v>
      </c>
      <c r="K1009" s="5">
        <v>1925</v>
      </c>
    </row>
    <row r="1010" spans="1:11" x14ac:dyDescent="0.25">
      <c r="A1010" s="2">
        <v>11009</v>
      </c>
      <c r="B1010" s="2">
        <f t="shared" si="15"/>
        <v>2021</v>
      </c>
      <c r="C1010" s="3">
        <v>44470</v>
      </c>
      <c r="D1010" s="4">
        <v>44474</v>
      </c>
      <c r="E1010" s="2" t="s">
        <v>22</v>
      </c>
      <c r="F1010" s="2" t="s">
        <v>21</v>
      </c>
      <c r="G1010" s="2" t="s">
        <v>17</v>
      </c>
      <c r="H1010" s="2">
        <v>4</v>
      </c>
      <c r="I1010" s="2">
        <v>111</v>
      </c>
      <c r="J1010" s="5">
        <v>27750</v>
      </c>
      <c r="K1010" s="5">
        <v>12487.5</v>
      </c>
    </row>
    <row r="1011" spans="1:11" x14ac:dyDescent="0.25">
      <c r="A1011" s="2">
        <v>11010</v>
      </c>
      <c r="B1011" s="2">
        <f t="shared" si="15"/>
        <v>2021</v>
      </c>
      <c r="C1011" s="3">
        <v>44470</v>
      </c>
      <c r="D1011" s="4">
        <v>44475</v>
      </c>
      <c r="E1011" s="2" t="s">
        <v>14</v>
      </c>
      <c r="F1011" s="2" t="s">
        <v>24</v>
      </c>
      <c r="G1011" s="2" t="s">
        <v>20</v>
      </c>
      <c r="H1011" s="2">
        <v>11</v>
      </c>
      <c r="I1011" s="2">
        <v>129</v>
      </c>
      <c r="J1011" s="5">
        <v>109650</v>
      </c>
      <c r="K1011" s="5">
        <v>38377.5</v>
      </c>
    </row>
    <row r="1012" spans="1:11" x14ac:dyDescent="0.25">
      <c r="A1012" s="2">
        <v>11011</v>
      </c>
      <c r="B1012" s="2">
        <f t="shared" si="15"/>
        <v>2021</v>
      </c>
      <c r="C1012" s="3">
        <v>44470</v>
      </c>
      <c r="D1012" s="4">
        <v>44476</v>
      </c>
      <c r="E1012" s="2" t="s">
        <v>14</v>
      </c>
      <c r="F1012" s="2" t="s">
        <v>18</v>
      </c>
      <c r="G1012" s="2" t="s">
        <v>23</v>
      </c>
      <c r="H1012" s="2">
        <v>11</v>
      </c>
      <c r="I1012" s="2">
        <v>389</v>
      </c>
      <c r="J1012" s="5">
        <v>136150</v>
      </c>
      <c r="K1012" s="5">
        <v>54460</v>
      </c>
    </row>
    <row r="1013" spans="1:11" x14ac:dyDescent="0.25">
      <c r="A1013" s="2">
        <v>11012</v>
      </c>
      <c r="B1013" s="2">
        <f t="shared" si="15"/>
        <v>2021</v>
      </c>
      <c r="C1013" s="3">
        <v>44470</v>
      </c>
      <c r="D1013" s="4">
        <v>44477</v>
      </c>
      <c r="E1013" s="2" t="s">
        <v>11</v>
      </c>
      <c r="F1013" s="2" t="s">
        <v>12</v>
      </c>
      <c r="G1013" s="2" t="s">
        <v>23</v>
      </c>
      <c r="H1013" s="2">
        <v>14</v>
      </c>
      <c r="I1013" s="2">
        <v>254</v>
      </c>
      <c r="J1013" s="5">
        <v>88900</v>
      </c>
      <c r="K1013" s="5">
        <v>13335</v>
      </c>
    </row>
    <row r="1014" spans="1:11" x14ac:dyDescent="0.25">
      <c r="A1014" s="2">
        <v>11013</v>
      </c>
      <c r="B1014" s="2">
        <f t="shared" si="15"/>
        <v>2021</v>
      </c>
      <c r="C1014" s="3">
        <v>44470</v>
      </c>
      <c r="D1014" s="4">
        <v>44478</v>
      </c>
      <c r="E1014" s="2" t="s">
        <v>22</v>
      </c>
      <c r="F1014" s="2" t="s">
        <v>18</v>
      </c>
      <c r="G1014" s="2" t="s">
        <v>13</v>
      </c>
      <c r="H1014" s="2">
        <v>14</v>
      </c>
      <c r="I1014" s="2">
        <v>219</v>
      </c>
      <c r="J1014" s="5">
        <v>164250</v>
      </c>
      <c r="K1014" s="5">
        <v>26280</v>
      </c>
    </row>
    <row r="1015" spans="1:11" x14ac:dyDescent="0.25">
      <c r="A1015" s="2">
        <v>11014</v>
      </c>
      <c r="B1015" s="2">
        <f t="shared" si="15"/>
        <v>2021</v>
      </c>
      <c r="C1015" s="3">
        <v>44470</v>
      </c>
      <c r="D1015" s="4">
        <v>44479</v>
      </c>
      <c r="E1015" s="2" t="s">
        <v>14</v>
      </c>
      <c r="F1015" s="2" t="s">
        <v>18</v>
      </c>
      <c r="G1015" s="2" t="s">
        <v>20</v>
      </c>
      <c r="H1015" s="2">
        <v>7</v>
      </c>
      <c r="I1015" s="2">
        <v>128</v>
      </c>
      <c r="J1015" s="5">
        <v>108800</v>
      </c>
      <c r="K1015" s="5">
        <v>17408</v>
      </c>
    </row>
    <row r="1016" spans="1:11" x14ac:dyDescent="0.25">
      <c r="A1016" s="2">
        <v>11015</v>
      </c>
      <c r="B1016" s="2">
        <f t="shared" si="15"/>
        <v>2021</v>
      </c>
      <c r="C1016" s="3">
        <v>44470</v>
      </c>
      <c r="D1016" s="4">
        <v>44480</v>
      </c>
      <c r="E1016" s="2" t="s">
        <v>11</v>
      </c>
      <c r="F1016" s="2" t="s">
        <v>21</v>
      </c>
      <c r="G1016" s="2" t="s">
        <v>23</v>
      </c>
      <c r="H1016" s="2">
        <v>9</v>
      </c>
      <c r="I1016" s="2">
        <v>406</v>
      </c>
      <c r="J1016" s="5">
        <v>142100</v>
      </c>
      <c r="K1016" s="5">
        <v>49735</v>
      </c>
    </row>
    <row r="1017" spans="1:11" x14ac:dyDescent="0.25">
      <c r="A1017" s="2">
        <v>11016</v>
      </c>
      <c r="B1017" s="2">
        <f t="shared" si="15"/>
        <v>2021</v>
      </c>
      <c r="C1017" s="3">
        <v>44470</v>
      </c>
      <c r="D1017" s="4">
        <v>44481</v>
      </c>
      <c r="E1017" s="2" t="s">
        <v>14</v>
      </c>
      <c r="F1017" s="2" t="s">
        <v>12</v>
      </c>
      <c r="G1017" s="2" t="s">
        <v>13</v>
      </c>
      <c r="H1017" s="2">
        <v>14</v>
      </c>
      <c r="I1017" s="2">
        <v>304</v>
      </c>
      <c r="J1017" s="5">
        <v>228000</v>
      </c>
      <c r="K1017" s="5">
        <v>41040</v>
      </c>
    </row>
    <row r="1018" spans="1:11" x14ac:dyDescent="0.25">
      <c r="A1018" s="2">
        <v>11017</v>
      </c>
      <c r="B1018" s="2">
        <f t="shared" si="15"/>
        <v>2021</v>
      </c>
      <c r="C1018" s="3">
        <v>44470</v>
      </c>
      <c r="D1018" s="4">
        <v>44482</v>
      </c>
      <c r="E1018" s="2" t="s">
        <v>19</v>
      </c>
      <c r="F1018" s="2" t="s">
        <v>12</v>
      </c>
      <c r="G1018" s="2" t="s">
        <v>13</v>
      </c>
      <c r="H1018" s="2">
        <v>24</v>
      </c>
      <c r="I1018" s="2">
        <v>449</v>
      </c>
      <c r="J1018" s="5">
        <v>336750</v>
      </c>
      <c r="K1018" s="5">
        <v>114495.00000000001</v>
      </c>
    </row>
    <row r="1019" spans="1:11" x14ac:dyDescent="0.25">
      <c r="A1019" s="2">
        <v>11018</v>
      </c>
      <c r="B1019" s="2">
        <f t="shared" si="15"/>
        <v>2021</v>
      </c>
      <c r="C1019" s="3">
        <v>44470</v>
      </c>
      <c r="D1019" s="4">
        <v>44483</v>
      </c>
      <c r="E1019" s="2" t="s">
        <v>11</v>
      </c>
      <c r="F1019" s="2" t="s">
        <v>16</v>
      </c>
      <c r="G1019" s="2" t="s">
        <v>23</v>
      </c>
      <c r="H1019" s="2">
        <v>20</v>
      </c>
      <c r="I1019" s="2">
        <v>473</v>
      </c>
      <c r="J1019" s="5">
        <v>165550</v>
      </c>
      <c r="K1019" s="5">
        <v>36421</v>
      </c>
    </row>
    <row r="1020" spans="1:11" x14ac:dyDescent="0.25">
      <c r="A1020" s="2">
        <v>11019</v>
      </c>
      <c r="B1020" s="2">
        <f t="shared" si="15"/>
        <v>2021</v>
      </c>
      <c r="C1020" s="3">
        <v>44470</v>
      </c>
      <c r="D1020" s="4">
        <v>44484</v>
      </c>
      <c r="E1020" s="2" t="s">
        <v>25</v>
      </c>
      <c r="F1020" s="2" t="s">
        <v>24</v>
      </c>
      <c r="G1020" s="2" t="s">
        <v>17</v>
      </c>
      <c r="H1020" s="2">
        <v>7</v>
      </c>
      <c r="I1020" s="2">
        <v>292</v>
      </c>
      <c r="J1020" s="5">
        <v>73000</v>
      </c>
      <c r="K1020" s="5">
        <v>17520</v>
      </c>
    </row>
    <row r="1021" spans="1:11" x14ac:dyDescent="0.25">
      <c r="A1021" s="2">
        <v>11020</v>
      </c>
      <c r="B1021" s="2">
        <f t="shared" si="15"/>
        <v>2021</v>
      </c>
      <c r="C1021" s="3">
        <v>44470</v>
      </c>
      <c r="D1021" s="4">
        <v>44485</v>
      </c>
      <c r="E1021" s="2" t="s">
        <v>25</v>
      </c>
      <c r="F1021" s="2" t="s">
        <v>24</v>
      </c>
      <c r="G1021" s="2" t="s">
        <v>17</v>
      </c>
      <c r="H1021" s="2">
        <v>7</v>
      </c>
      <c r="I1021" s="2">
        <v>109</v>
      </c>
      <c r="J1021" s="5">
        <v>27250</v>
      </c>
      <c r="K1021" s="5">
        <v>5995</v>
      </c>
    </row>
    <row r="1022" spans="1:11" x14ac:dyDescent="0.25">
      <c r="A1022" s="2">
        <v>11021</v>
      </c>
      <c r="B1022" s="2">
        <f t="shared" si="15"/>
        <v>2021</v>
      </c>
      <c r="C1022" s="3">
        <v>44470</v>
      </c>
      <c r="D1022" s="4">
        <v>44486</v>
      </c>
      <c r="E1022" s="2" t="s">
        <v>11</v>
      </c>
      <c r="F1022" s="2" t="s">
        <v>21</v>
      </c>
      <c r="G1022" s="2" t="s">
        <v>15</v>
      </c>
      <c r="H1022" s="2">
        <v>32</v>
      </c>
      <c r="I1022" s="2">
        <v>349</v>
      </c>
      <c r="J1022" s="5">
        <v>174500</v>
      </c>
      <c r="K1022" s="5">
        <v>52350</v>
      </c>
    </row>
    <row r="1023" spans="1:11" x14ac:dyDescent="0.25">
      <c r="A1023" s="2">
        <v>11022</v>
      </c>
      <c r="B1023" s="2">
        <f t="shared" si="15"/>
        <v>2021</v>
      </c>
      <c r="C1023" s="3">
        <v>44470</v>
      </c>
      <c r="D1023" s="4">
        <v>44487</v>
      </c>
      <c r="E1023" s="2" t="s">
        <v>22</v>
      </c>
      <c r="F1023" s="2" t="s">
        <v>16</v>
      </c>
      <c r="G1023" s="2" t="s">
        <v>23</v>
      </c>
      <c r="H1023" s="2">
        <v>12</v>
      </c>
      <c r="I1023" s="2">
        <v>308</v>
      </c>
      <c r="J1023" s="5">
        <v>107800</v>
      </c>
      <c r="K1023" s="5">
        <v>43120</v>
      </c>
    </row>
    <row r="1024" spans="1:11" x14ac:dyDescent="0.25">
      <c r="A1024" s="2">
        <v>11023</v>
      </c>
      <c r="B1024" s="2">
        <f t="shared" si="15"/>
        <v>2021</v>
      </c>
      <c r="C1024" s="3">
        <v>44470</v>
      </c>
      <c r="D1024" s="4">
        <v>44488</v>
      </c>
      <c r="E1024" s="2" t="s">
        <v>14</v>
      </c>
      <c r="F1024" s="2" t="s">
        <v>24</v>
      </c>
      <c r="G1024" s="2" t="s">
        <v>20</v>
      </c>
      <c r="H1024" s="2">
        <v>14</v>
      </c>
      <c r="I1024" s="2">
        <v>312</v>
      </c>
      <c r="J1024" s="5">
        <v>265200</v>
      </c>
      <c r="K1024" s="5">
        <v>111384</v>
      </c>
    </row>
    <row r="1025" spans="1:11" x14ac:dyDescent="0.25">
      <c r="A1025" s="2">
        <v>11024</v>
      </c>
      <c r="B1025" s="2">
        <f t="shared" si="15"/>
        <v>2021</v>
      </c>
      <c r="C1025" s="3">
        <v>44470</v>
      </c>
      <c r="D1025" s="4">
        <v>44489</v>
      </c>
      <c r="E1025" s="2" t="s">
        <v>11</v>
      </c>
      <c r="F1025" s="2" t="s">
        <v>12</v>
      </c>
      <c r="G1025" s="2" t="s">
        <v>20</v>
      </c>
      <c r="H1025" s="2">
        <v>12</v>
      </c>
      <c r="I1025" s="2">
        <v>193</v>
      </c>
      <c r="J1025" s="5">
        <v>164050</v>
      </c>
      <c r="K1025" s="5">
        <v>26248</v>
      </c>
    </row>
    <row r="1026" spans="1:11" x14ac:dyDescent="0.25">
      <c r="A1026" s="2">
        <v>11025</v>
      </c>
      <c r="B1026" s="2">
        <f t="shared" si="15"/>
        <v>2021</v>
      </c>
      <c r="C1026" s="3">
        <v>44470</v>
      </c>
      <c r="D1026" s="4">
        <v>44490</v>
      </c>
      <c r="E1026" s="2" t="s">
        <v>19</v>
      </c>
      <c r="F1026" s="2" t="s">
        <v>24</v>
      </c>
      <c r="G1026" s="2" t="s">
        <v>13</v>
      </c>
      <c r="H1026" s="2">
        <v>7</v>
      </c>
      <c r="I1026" s="2">
        <v>195</v>
      </c>
      <c r="J1026" s="5">
        <v>146250</v>
      </c>
      <c r="K1026" s="5">
        <v>19012.5</v>
      </c>
    </row>
    <row r="1027" spans="1:11" x14ac:dyDescent="0.25">
      <c r="A1027" s="2">
        <v>11026</v>
      </c>
      <c r="B1027" s="2">
        <f t="shared" ref="B1027:B1090" si="16">YEAR(C1027)</f>
        <v>2021</v>
      </c>
      <c r="C1027" s="3">
        <v>44470</v>
      </c>
      <c r="D1027" s="4">
        <v>44491</v>
      </c>
      <c r="E1027" s="2" t="s">
        <v>14</v>
      </c>
      <c r="F1027" s="2" t="s">
        <v>18</v>
      </c>
      <c r="G1027" s="2" t="s">
        <v>23</v>
      </c>
      <c r="H1027" s="2">
        <v>9</v>
      </c>
      <c r="I1027" s="2">
        <v>114</v>
      </c>
      <c r="J1027" s="5">
        <v>39900</v>
      </c>
      <c r="K1027" s="5">
        <v>7581</v>
      </c>
    </row>
    <row r="1028" spans="1:11" x14ac:dyDescent="0.25">
      <c r="A1028" s="2">
        <v>11027</v>
      </c>
      <c r="B1028" s="2">
        <f t="shared" si="16"/>
        <v>2021</v>
      </c>
      <c r="C1028" s="3">
        <v>44470</v>
      </c>
      <c r="D1028" s="4">
        <v>44492</v>
      </c>
      <c r="E1028" s="2" t="s">
        <v>22</v>
      </c>
      <c r="F1028" s="2" t="s">
        <v>12</v>
      </c>
      <c r="G1028" s="2" t="s">
        <v>23</v>
      </c>
      <c r="H1028" s="2">
        <v>38</v>
      </c>
      <c r="I1028" s="2">
        <v>481</v>
      </c>
      <c r="J1028" s="5">
        <v>168350</v>
      </c>
      <c r="K1028" s="5">
        <v>18518.5</v>
      </c>
    </row>
    <row r="1029" spans="1:11" x14ac:dyDescent="0.25">
      <c r="A1029" s="2">
        <v>11028</v>
      </c>
      <c r="B1029" s="2">
        <f t="shared" si="16"/>
        <v>2021</v>
      </c>
      <c r="C1029" s="3">
        <v>44470</v>
      </c>
      <c r="D1029" s="4">
        <v>44493</v>
      </c>
      <c r="E1029" s="2" t="s">
        <v>19</v>
      </c>
      <c r="F1029" s="2" t="s">
        <v>21</v>
      </c>
      <c r="G1029" s="2" t="s">
        <v>13</v>
      </c>
      <c r="H1029" s="2">
        <v>47</v>
      </c>
      <c r="I1029" s="2">
        <v>490</v>
      </c>
      <c r="J1029" s="5">
        <v>367500</v>
      </c>
      <c r="K1029" s="5">
        <v>106574.99999999999</v>
      </c>
    </row>
    <row r="1030" spans="1:11" x14ac:dyDescent="0.25">
      <c r="A1030" s="2">
        <v>11029</v>
      </c>
      <c r="B1030" s="2">
        <f t="shared" si="16"/>
        <v>2021</v>
      </c>
      <c r="C1030" s="3">
        <v>44470</v>
      </c>
      <c r="D1030" s="4">
        <v>44494</v>
      </c>
      <c r="E1030" s="2" t="s">
        <v>25</v>
      </c>
      <c r="F1030" s="2" t="s">
        <v>18</v>
      </c>
      <c r="G1030" s="2" t="s">
        <v>13</v>
      </c>
      <c r="H1030" s="2">
        <v>10</v>
      </c>
      <c r="I1030" s="2">
        <v>307</v>
      </c>
      <c r="J1030" s="5">
        <v>230250</v>
      </c>
      <c r="K1030" s="5">
        <v>46050</v>
      </c>
    </row>
    <row r="1031" spans="1:11" x14ac:dyDescent="0.25">
      <c r="A1031" s="2">
        <v>11030</v>
      </c>
      <c r="B1031" s="2">
        <f t="shared" si="16"/>
        <v>2021</v>
      </c>
      <c r="C1031" s="3">
        <v>44470</v>
      </c>
      <c r="D1031" s="4">
        <v>44495</v>
      </c>
      <c r="E1031" s="2" t="s">
        <v>11</v>
      </c>
      <c r="F1031" s="2" t="s">
        <v>24</v>
      </c>
      <c r="G1031" s="2" t="s">
        <v>20</v>
      </c>
      <c r="H1031" s="2">
        <v>1</v>
      </c>
      <c r="I1031" s="2">
        <v>44</v>
      </c>
      <c r="J1031" s="5">
        <v>37400</v>
      </c>
      <c r="K1031" s="5">
        <v>9724</v>
      </c>
    </row>
    <row r="1032" spans="1:11" x14ac:dyDescent="0.25">
      <c r="A1032" s="2">
        <v>11031</v>
      </c>
      <c r="B1032" s="2">
        <f t="shared" si="16"/>
        <v>2021</v>
      </c>
      <c r="C1032" s="3">
        <v>44470</v>
      </c>
      <c r="D1032" s="4">
        <v>44496</v>
      </c>
      <c r="E1032" s="2" t="s">
        <v>25</v>
      </c>
      <c r="F1032" s="2" t="s">
        <v>21</v>
      </c>
      <c r="G1032" s="2" t="s">
        <v>17</v>
      </c>
      <c r="H1032" s="2">
        <v>4</v>
      </c>
      <c r="I1032" s="2">
        <v>234</v>
      </c>
      <c r="J1032" s="5">
        <v>58500</v>
      </c>
      <c r="K1032" s="5">
        <v>21060</v>
      </c>
    </row>
    <row r="1033" spans="1:11" x14ac:dyDescent="0.25">
      <c r="A1033" s="2">
        <v>11032</v>
      </c>
      <c r="B1033" s="2">
        <f t="shared" si="16"/>
        <v>2021</v>
      </c>
      <c r="C1033" s="3">
        <v>44470</v>
      </c>
      <c r="D1033" s="4">
        <v>44497</v>
      </c>
      <c r="E1033" s="2" t="s">
        <v>11</v>
      </c>
      <c r="F1033" s="2" t="s">
        <v>12</v>
      </c>
      <c r="G1033" s="2" t="s">
        <v>17</v>
      </c>
      <c r="H1033" s="2">
        <v>20</v>
      </c>
      <c r="I1033" s="2">
        <v>360</v>
      </c>
      <c r="J1033" s="5">
        <v>90000</v>
      </c>
      <c r="K1033" s="5">
        <v>25200.000000000004</v>
      </c>
    </row>
    <row r="1034" spans="1:11" x14ac:dyDescent="0.25">
      <c r="A1034" s="2">
        <v>11033</v>
      </c>
      <c r="B1034" s="2">
        <f t="shared" si="16"/>
        <v>2021</v>
      </c>
      <c r="C1034" s="3">
        <v>44470</v>
      </c>
      <c r="D1034" s="4">
        <v>44498</v>
      </c>
      <c r="E1034" s="2" t="s">
        <v>22</v>
      </c>
      <c r="F1034" s="2" t="s">
        <v>12</v>
      </c>
      <c r="G1034" s="2" t="s">
        <v>17</v>
      </c>
      <c r="H1034" s="2">
        <v>2</v>
      </c>
      <c r="I1034" s="2">
        <v>29</v>
      </c>
      <c r="J1034" s="5">
        <v>7250</v>
      </c>
      <c r="K1034" s="5">
        <v>3117.5</v>
      </c>
    </row>
    <row r="1035" spans="1:11" x14ac:dyDescent="0.25">
      <c r="A1035" s="2">
        <v>11034</v>
      </c>
      <c r="B1035" s="2">
        <f t="shared" si="16"/>
        <v>2021</v>
      </c>
      <c r="C1035" s="3">
        <v>44470</v>
      </c>
      <c r="D1035" s="4">
        <v>44499</v>
      </c>
      <c r="E1035" s="2" t="s">
        <v>19</v>
      </c>
      <c r="F1035" s="2" t="s">
        <v>24</v>
      </c>
      <c r="G1035" s="2" t="s">
        <v>15</v>
      </c>
      <c r="H1035" s="2">
        <v>30</v>
      </c>
      <c r="I1035" s="2">
        <v>383</v>
      </c>
      <c r="J1035" s="5">
        <v>191500</v>
      </c>
      <c r="K1035" s="5">
        <v>68940</v>
      </c>
    </row>
    <row r="1036" spans="1:11" x14ac:dyDescent="0.25">
      <c r="A1036" s="2">
        <v>11035</v>
      </c>
      <c r="B1036" s="2">
        <f t="shared" si="16"/>
        <v>2021</v>
      </c>
      <c r="C1036" s="3">
        <v>44470</v>
      </c>
      <c r="D1036" s="4">
        <v>44500</v>
      </c>
      <c r="E1036" s="2" t="s">
        <v>11</v>
      </c>
      <c r="F1036" s="2" t="s">
        <v>12</v>
      </c>
      <c r="G1036" s="2" t="s">
        <v>15</v>
      </c>
      <c r="H1036" s="2">
        <v>44</v>
      </c>
      <c r="I1036" s="2">
        <v>475</v>
      </c>
      <c r="J1036" s="5">
        <v>237500</v>
      </c>
      <c r="K1036" s="5">
        <v>71250</v>
      </c>
    </row>
    <row r="1037" spans="1:11" x14ac:dyDescent="0.25">
      <c r="A1037" s="2">
        <v>11036</v>
      </c>
      <c r="B1037" s="2">
        <f t="shared" si="16"/>
        <v>2021</v>
      </c>
      <c r="C1037" s="3">
        <v>44501</v>
      </c>
      <c r="D1037" s="4">
        <v>44501</v>
      </c>
      <c r="E1037" s="2" t="s">
        <v>19</v>
      </c>
      <c r="F1037" s="2" t="s">
        <v>12</v>
      </c>
      <c r="G1037" s="2" t="s">
        <v>23</v>
      </c>
      <c r="H1037" s="2">
        <v>7</v>
      </c>
      <c r="I1037" s="2">
        <v>187</v>
      </c>
      <c r="J1037" s="5">
        <v>65450</v>
      </c>
      <c r="K1037" s="5">
        <v>17017</v>
      </c>
    </row>
    <row r="1038" spans="1:11" x14ac:dyDescent="0.25">
      <c r="A1038" s="2">
        <v>11037</v>
      </c>
      <c r="B1038" s="2">
        <f t="shared" si="16"/>
        <v>2021</v>
      </c>
      <c r="C1038" s="3">
        <v>44501</v>
      </c>
      <c r="D1038" s="4">
        <v>44502</v>
      </c>
      <c r="E1038" s="2" t="s">
        <v>22</v>
      </c>
      <c r="F1038" s="2" t="s">
        <v>12</v>
      </c>
      <c r="G1038" s="2" t="s">
        <v>13</v>
      </c>
      <c r="H1038" s="2">
        <v>7</v>
      </c>
      <c r="I1038" s="2">
        <v>397</v>
      </c>
      <c r="J1038" s="5">
        <v>297750</v>
      </c>
      <c r="K1038" s="5">
        <v>74437.5</v>
      </c>
    </row>
    <row r="1039" spans="1:11" x14ac:dyDescent="0.25">
      <c r="A1039" s="2">
        <v>11038</v>
      </c>
      <c r="B1039" s="2">
        <f t="shared" si="16"/>
        <v>2021</v>
      </c>
      <c r="C1039" s="3">
        <v>44501</v>
      </c>
      <c r="D1039" s="4">
        <v>44503</v>
      </c>
      <c r="E1039" s="2" t="s">
        <v>11</v>
      </c>
      <c r="F1039" s="2" t="s">
        <v>24</v>
      </c>
      <c r="G1039" s="2" t="s">
        <v>13</v>
      </c>
      <c r="H1039" s="2">
        <v>33</v>
      </c>
      <c r="I1039" s="2">
        <v>418</v>
      </c>
      <c r="J1039" s="5">
        <v>313500</v>
      </c>
      <c r="K1039" s="5">
        <v>75240</v>
      </c>
    </row>
    <row r="1040" spans="1:11" x14ac:dyDescent="0.25">
      <c r="A1040" s="2">
        <v>11039</v>
      </c>
      <c r="B1040" s="2">
        <f t="shared" si="16"/>
        <v>2021</v>
      </c>
      <c r="C1040" s="3">
        <v>44501</v>
      </c>
      <c r="D1040" s="4">
        <v>44504</v>
      </c>
      <c r="E1040" s="2" t="s">
        <v>25</v>
      </c>
      <c r="F1040" s="2" t="s">
        <v>12</v>
      </c>
      <c r="G1040" s="2" t="s">
        <v>15</v>
      </c>
      <c r="H1040" s="2">
        <v>1</v>
      </c>
      <c r="I1040" s="2">
        <v>71</v>
      </c>
      <c r="J1040" s="5">
        <v>35500</v>
      </c>
      <c r="K1040" s="5">
        <v>7100</v>
      </c>
    </row>
    <row r="1041" spans="1:11" x14ac:dyDescent="0.25">
      <c r="A1041" s="2">
        <v>11040</v>
      </c>
      <c r="B1041" s="2">
        <f t="shared" si="16"/>
        <v>2021</v>
      </c>
      <c r="C1041" s="3">
        <v>44501</v>
      </c>
      <c r="D1041" s="4">
        <v>44505</v>
      </c>
      <c r="E1041" s="2" t="s">
        <v>22</v>
      </c>
      <c r="F1041" s="2" t="s">
        <v>24</v>
      </c>
      <c r="G1041" s="2" t="s">
        <v>15</v>
      </c>
      <c r="H1041" s="2">
        <v>14</v>
      </c>
      <c r="I1041" s="2">
        <v>327</v>
      </c>
      <c r="J1041" s="5">
        <v>163500</v>
      </c>
      <c r="K1041" s="5">
        <v>40875</v>
      </c>
    </row>
    <row r="1042" spans="1:11" x14ac:dyDescent="0.25">
      <c r="A1042" s="2">
        <v>11041</v>
      </c>
      <c r="B1042" s="2">
        <f t="shared" si="16"/>
        <v>2021</v>
      </c>
      <c r="C1042" s="3">
        <v>44501</v>
      </c>
      <c r="D1042" s="4">
        <v>44506</v>
      </c>
      <c r="E1042" s="2" t="s">
        <v>25</v>
      </c>
      <c r="F1042" s="2" t="s">
        <v>12</v>
      </c>
      <c r="G1042" s="2" t="s">
        <v>20</v>
      </c>
      <c r="H1042" s="2">
        <v>4</v>
      </c>
      <c r="I1042" s="2">
        <v>99</v>
      </c>
      <c r="J1042" s="5">
        <v>84150</v>
      </c>
      <c r="K1042" s="5">
        <v>10939.5</v>
      </c>
    </row>
    <row r="1043" spans="1:11" x14ac:dyDescent="0.25">
      <c r="A1043" s="2">
        <v>11042</v>
      </c>
      <c r="B1043" s="2">
        <f t="shared" si="16"/>
        <v>2021</v>
      </c>
      <c r="C1043" s="3">
        <v>44501</v>
      </c>
      <c r="D1043" s="4">
        <v>44507</v>
      </c>
      <c r="E1043" s="2" t="s">
        <v>11</v>
      </c>
      <c r="F1043" s="2" t="s">
        <v>12</v>
      </c>
      <c r="G1043" s="2" t="s">
        <v>17</v>
      </c>
      <c r="H1043" s="2">
        <v>13</v>
      </c>
      <c r="I1043" s="2">
        <v>190</v>
      </c>
      <c r="J1043" s="5">
        <v>47500</v>
      </c>
      <c r="K1043" s="5">
        <v>7125</v>
      </c>
    </row>
    <row r="1044" spans="1:11" x14ac:dyDescent="0.25">
      <c r="A1044" s="2">
        <v>11043</v>
      </c>
      <c r="B1044" s="2">
        <f t="shared" si="16"/>
        <v>2021</v>
      </c>
      <c r="C1044" s="3">
        <v>44501</v>
      </c>
      <c r="D1044" s="4">
        <v>44508</v>
      </c>
      <c r="E1044" s="2" t="s">
        <v>19</v>
      </c>
      <c r="F1044" s="2" t="s">
        <v>12</v>
      </c>
      <c r="G1044" s="2" t="s">
        <v>15</v>
      </c>
      <c r="H1044" s="2">
        <v>3</v>
      </c>
      <c r="I1044" s="2">
        <v>33</v>
      </c>
      <c r="J1044" s="5">
        <v>16500</v>
      </c>
      <c r="K1044" s="5">
        <v>6435</v>
      </c>
    </row>
    <row r="1045" spans="1:11" x14ac:dyDescent="0.25">
      <c r="A1045" s="2">
        <v>11044</v>
      </c>
      <c r="B1045" s="2">
        <f t="shared" si="16"/>
        <v>2021</v>
      </c>
      <c r="C1045" s="3">
        <v>44501</v>
      </c>
      <c r="D1045" s="4">
        <v>44509</v>
      </c>
      <c r="E1045" s="2" t="s">
        <v>22</v>
      </c>
      <c r="F1045" s="2" t="s">
        <v>18</v>
      </c>
      <c r="G1045" s="2" t="s">
        <v>15</v>
      </c>
      <c r="H1045" s="2">
        <v>30</v>
      </c>
      <c r="I1045" s="2">
        <v>433</v>
      </c>
      <c r="J1045" s="5">
        <v>216500</v>
      </c>
      <c r="K1045" s="5">
        <v>43300</v>
      </c>
    </row>
    <row r="1046" spans="1:11" x14ac:dyDescent="0.25">
      <c r="A1046" s="2">
        <v>11045</v>
      </c>
      <c r="B1046" s="2">
        <f t="shared" si="16"/>
        <v>2021</v>
      </c>
      <c r="C1046" s="3">
        <v>44501</v>
      </c>
      <c r="D1046" s="4">
        <v>44510</v>
      </c>
      <c r="E1046" s="2" t="s">
        <v>25</v>
      </c>
      <c r="F1046" s="2" t="s">
        <v>21</v>
      </c>
      <c r="G1046" s="2" t="s">
        <v>20</v>
      </c>
      <c r="H1046" s="2">
        <v>26</v>
      </c>
      <c r="I1046" s="2">
        <v>365</v>
      </c>
      <c r="J1046" s="5">
        <v>310250</v>
      </c>
      <c r="K1046" s="5">
        <v>111690</v>
      </c>
    </row>
    <row r="1047" spans="1:11" x14ac:dyDescent="0.25">
      <c r="A1047" s="2">
        <v>11046</v>
      </c>
      <c r="B1047" s="2">
        <f t="shared" si="16"/>
        <v>2021</v>
      </c>
      <c r="C1047" s="3">
        <v>44501</v>
      </c>
      <c r="D1047" s="4">
        <v>44511</v>
      </c>
      <c r="E1047" s="2" t="s">
        <v>11</v>
      </c>
      <c r="F1047" s="2" t="s">
        <v>21</v>
      </c>
      <c r="G1047" s="2" t="s">
        <v>23</v>
      </c>
      <c r="H1047" s="2">
        <v>42</v>
      </c>
      <c r="I1047" s="2">
        <v>482</v>
      </c>
      <c r="J1047" s="5">
        <v>168700</v>
      </c>
      <c r="K1047" s="5">
        <v>48923</v>
      </c>
    </row>
    <row r="1048" spans="1:11" x14ac:dyDescent="0.25">
      <c r="A1048" s="2">
        <v>11047</v>
      </c>
      <c r="B1048" s="2">
        <f t="shared" si="16"/>
        <v>2021</v>
      </c>
      <c r="C1048" s="3">
        <v>44501</v>
      </c>
      <c r="D1048" s="4">
        <v>44512</v>
      </c>
      <c r="E1048" s="2" t="s">
        <v>22</v>
      </c>
      <c r="F1048" s="2" t="s">
        <v>24</v>
      </c>
      <c r="G1048" s="2" t="s">
        <v>13</v>
      </c>
      <c r="H1048" s="2">
        <v>17</v>
      </c>
      <c r="I1048" s="2">
        <v>446</v>
      </c>
      <c r="J1048" s="5">
        <v>334500</v>
      </c>
      <c r="K1048" s="5">
        <v>53520</v>
      </c>
    </row>
    <row r="1049" spans="1:11" x14ac:dyDescent="0.25">
      <c r="A1049" s="2">
        <v>11048</v>
      </c>
      <c r="B1049" s="2">
        <f t="shared" si="16"/>
        <v>2021</v>
      </c>
      <c r="C1049" s="3">
        <v>44501</v>
      </c>
      <c r="D1049" s="4">
        <v>44513</v>
      </c>
      <c r="E1049" s="2" t="s">
        <v>11</v>
      </c>
      <c r="F1049" s="2" t="s">
        <v>24</v>
      </c>
      <c r="G1049" s="2" t="s">
        <v>13</v>
      </c>
      <c r="H1049" s="2">
        <v>6</v>
      </c>
      <c r="I1049" s="2">
        <v>63</v>
      </c>
      <c r="J1049" s="5">
        <v>47250</v>
      </c>
      <c r="K1049" s="5">
        <v>9922.5</v>
      </c>
    </row>
    <row r="1050" spans="1:11" x14ac:dyDescent="0.25">
      <c r="A1050" s="2">
        <v>11049</v>
      </c>
      <c r="B1050" s="2">
        <f t="shared" si="16"/>
        <v>2021</v>
      </c>
      <c r="C1050" s="3">
        <v>44501</v>
      </c>
      <c r="D1050" s="4">
        <v>44514</v>
      </c>
      <c r="E1050" s="2" t="s">
        <v>19</v>
      </c>
      <c r="F1050" s="2" t="s">
        <v>18</v>
      </c>
      <c r="G1050" s="2" t="s">
        <v>20</v>
      </c>
      <c r="H1050" s="2">
        <v>1</v>
      </c>
      <c r="I1050" s="2">
        <v>48</v>
      </c>
      <c r="J1050" s="5">
        <v>40800</v>
      </c>
      <c r="K1050" s="5">
        <v>17952</v>
      </c>
    </row>
    <row r="1051" spans="1:11" x14ac:dyDescent="0.25">
      <c r="A1051" s="2">
        <v>11050</v>
      </c>
      <c r="B1051" s="2">
        <f t="shared" si="16"/>
        <v>2021</v>
      </c>
      <c r="C1051" s="3">
        <v>44501</v>
      </c>
      <c r="D1051" s="4">
        <v>44515</v>
      </c>
      <c r="E1051" s="2" t="s">
        <v>14</v>
      </c>
      <c r="F1051" s="2" t="s">
        <v>18</v>
      </c>
      <c r="G1051" s="2" t="s">
        <v>13</v>
      </c>
      <c r="H1051" s="2">
        <v>10</v>
      </c>
      <c r="I1051" s="2">
        <v>114</v>
      </c>
      <c r="J1051" s="5">
        <v>85500</v>
      </c>
      <c r="K1051" s="5">
        <v>24795</v>
      </c>
    </row>
    <row r="1052" spans="1:11" x14ac:dyDescent="0.25">
      <c r="A1052" s="2">
        <v>11051</v>
      </c>
      <c r="B1052" s="2">
        <f t="shared" si="16"/>
        <v>2021</v>
      </c>
      <c r="C1052" s="3">
        <v>44501</v>
      </c>
      <c r="D1052" s="4">
        <v>44516</v>
      </c>
      <c r="E1052" s="2" t="s">
        <v>14</v>
      </c>
      <c r="F1052" s="2" t="s">
        <v>18</v>
      </c>
      <c r="G1052" s="2" t="s">
        <v>23</v>
      </c>
      <c r="H1052" s="2">
        <v>19</v>
      </c>
      <c r="I1052" s="2">
        <v>498</v>
      </c>
      <c r="J1052" s="5">
        <v>174300</v>
      </c>
      <c r="K1052" s="5">
        <v>47061</v>
      </c>
    </row>
    <row r="1053" spans="1:11" x14ac:dyDescent="0.25">
      <c r="A1053" s="2">
        <v>11052</v>
      </c>
      <c r="B1053" s="2">
        <f t="shared" si="16"/>
        <v>2021</v>
      </c>
      <c r="C1053" s="3">
        <v>44501</v>
      </c>
      <c r="D1053" s="4">
        <v>44517</v>
      </c>
      <c r="E1053" s="2" t="s">
        <v>11</v>
      </c>
      <c r="F1053" s="2" t="s">
        <v>16</v>
      </c>
      <c r="G1053" s="2" t="s">
        <v>17</v>
      </c>
      <c r="H1053" s="2">
        <v>22</v>
      </c>
      <c r="I1053" s="2">
        <v>305</v>
      </c>
      <c r="J1053" s="5">
        <v>76250</v>
      </c>
      <c r="K1053" s="5">
        <v>21350.000000000004</v>
      </c>
    </row>
    <row r="1054" spans="1:11" x14ac:dyDescent="0.25">
      <c r="A1054" s="2">
        <v>11053</v>
      </c>
      <c r="B1054" s="2">
        <f t="shared" si="16"/>
        <v>2021</v>
      </c>
      <c r="C1054" s="3">
        <v>44501</v>
      </c>
      <c r="D1054" s="4">
        <v>44518</v>
      </c>
      <c r="E1054" s="2" t="s">
        <v>19</v>
      </c>
      <c r="F1054" s="2" t="s">
        <v>21</v>
      </c>
      <c r="G1054" s="2" t="s">
        <v>20</v>
      </c>
      <c r="H1054" s="2">
        <v>6</v>
      </c>
      <c r="I1054" s="2">
        <v>207</v>
      </c>
      <c r="J1054" s="5">
        <v>175950</v>
      </c>
      <c r="K1054" s="5">
        <v>21114</v>
      </c>
    </row>
    <row r="1055" spans="1:11" x14ac:dyDescent="0.25">
      <c r="A1055" s="2">
        <v>11054</v>
      </c>
      <c r="B1055" s="2">
        <f t="shared" si="16"/>
        <v>2021</v>
      </c>
      <c r="C1055" s="3">
        <v>44501</v>
      </c>
      <c r="D1055" s="4">
        <v>44519</v>
      </c>
      <c r="E1055" s="2" t="s">
        <v>14</v>
      </c>
      <c r="F1055" s="2" t="s">
        <v>24</v>
      </c>
      <c r="G1055" s="2" t="s">
        <v>13</v>
      </c>
      <c r="H1055" s="2">
        <v>10</v>
      </c>
      <c r="I1055" s="2">
        <v>144</v>
      </c>
      <c r="J1055" s="5">
        <v>108000</v>
      </c>
      <c r="K1055" s="5">
        <v>12960</v>
      </c>
    </row>
    <row r="1056" spans="1:11" x14ac:dyDescent="0.25">
      <c r="A1056" s="2">
        <v>11055</v>
      </c>
      <c r="B1056" s="2">
        <f t="shared" si="16"/>
        <v>2021</v>
      </c>
      <c r="C1056" s="3">
        <v>44501</v>
      </c>
      <c r="D1056" s="4">
        <v>44520</v>
      </c>
      <c r="E1056" s="2" t="s">
        <v>19</v>
      </c>
      <c r="F1056" s="2" t="s">
        <v>12</v>
      </c>
      <c r="G1056" s="2" t="s">
        <v>17</v>
      </c>
      <c r="H1056" s="2">
        <v>40</v>
      </c>
      <c r="I1056" s="2">
        <v>409</v>
      </c>
      <c r="J1056" s="5">
        <v>102250</v>
      </c>
      <c r="K1056" s="5">
        <v>30675</v>
      </c>
    </row>
    <row r="1057" spans="1:11" x14ac:dyDescent="0.25">
      <c r="A1057" s="2">
        <v>11056</v>
      </c>
      <c r="B1057" s="2">
        <f t="shared" si="16"/>
        <v>2021</v>
      </c>
      <c r="C1057" s="3">
        <v>44501</v>
      </c>
      <c r="D1057" s="4">
        <v>44521</v>
      </c>
      <c r="E1057" s="2" t="s">
        <v>22</v>
      </c>
      <c r="F1057" s="2" t="s">
        <v>21</v>
      </c>
      <c r="G1057" s="2" t="s">
        <v>17</v>
      </c>
      <c r="H1057" s="2">
        <v>1</v>
      </c>
      <c r="I1057" s="2">
        <v>21</v>
      </c>
      <c r="J1057" s="5">
        <v>5250</v>
      </c>
      <c r="K1057" s="5">
        <v>2100</v>
      </c>
    </row>
    <row r="1058" spans="1:11" x14ac:dyDescent="0.25">
      <c r="A1058" s="2">
        <v>11057</v>
      </c>
      <c r="B1058" s="2">
        <f t="shared" si="16"/>
        <v>2021</v>
      </c>
      <c r="C1058" s="3">
        <v>44501</v>
      </c>
      <c r="D1058" s="4">
        <v>44522</v>
      </c>
      <c r="E1058" s="2" t="s">
        <v>25</v>
      </c>
      <c r="F1058" s="2" t="s">
        <v>12</v>
      </c>
      <c r="G1058" s="2" t="s">
        <v>15</v>
      </c>
      <c r="H1058" s="2">
        <v>1</v>
      </c>
      <c r="I1058" s="2">
        <v>59</v>
      </c>
      <c r="J1058" s="5">
        <v>29500</v>
      </c>
      <c r="K1058" s="5">
        <v>10620</v>
      </c>
    </row>
    <row r="1059" spans="1:11" x14ac:dyDescent="0.25">
      <c r="A1059" s="2">
        <v>11058</v>
      </c>
      <c r="B1059" s="2">
        <f t="shared" si="16"/>
        <v>2021</v>
      </c>
      <c r="C1059" s="3">
        <v>44501</v>
      </c>
      <c r="D1059" s="4">
        <v>44523</v>
      </c>
      <c r="E1059" s="2" t="s">
        <v>11</v>
      </c>
      <c r="F1059" s="2" t="s">
        <v>16</v>
      </c>
      <c r="G1059" s="2" t="s">
        <v>20</v>
      </c>
      <c r="H1059" s="2">
        <v>35</v>
      </c>
      <c r="I1059" s="2">
        <v>486</v>
      </c>
      <c r="J1059" s="5">
        <v>413100</v>
      </c>
      <c r="K1059" s="5">
        <v>82620</v>
      </c>
    </row>
    <row r="1060" spans="1:11" x14ac:dyDescent="0.25">
      <c r="A1060" s="2">
        <v>11059</v>
      </c>
      <c r="B1060" s="2">
        <f t="shared" si="16"/>
        <v>2021</v>
      </c>
      <c r="C1060" s="3">
        <v>44501</v>
      </c>
      <c r="D1060" s="4">
        <v>44524</v>
      </c>
      <c r="E1060" s="2" t="s">
        <v>25</v>
      </c>
      <c r="F1060" s="2" t="s">
        <v>24</v>
      </c>
      <c r="G1060" s="2" t="s">
        <v>20</v>
      </c>
      <c r="H1060" s="2">
        <v>15</v>
      </c>
      <c r="I1060" s="2">
        <v>346</v>
      </c>
      <c r="J1060" s="5">
        <v>294100</v>
      </c>
      <c r="K1060" s="5">
        <v>79407</v>
      </c>
    </row>
    <row r="1061" spans="1:11" x14ac:dyDescent="0.25">
      <c r="A1061" s="2">
        <v>11060</v>
      </c>
      <c r="B1061" s="2">
        <f t="shared" si="16"/>
        <v>2021</v>
      </c>
      <c r="C1061" s="3">
        <v>44501</v>
      </c>
      <c r="D1061" s="4">
        <v>44525</v>
      </c>
      <c r="E1061" s="2" t="s">
        <v>14</v>
      </c>
      <c r="F1061" s="2" t="s">
        <v>21</v>
      </c>
      <c r="G1061" s="2" t="s">
        <v>23</v>
      </c>
      <c r="H1061" s="2">
        <v>18</v>
      </c>
      <c r="I1061" s="2">
        <v>465</v>
      </c>
      <c r="J1061" s="5">
        <v>162750</v>
      </c>
      <c r="K1061" s="5">
        <v>42315</v>
      </c>
    </row>
    <row r="1062" spans="1:11" x14ac:dyDescent="0.25">
      <c r="A1062" s="2">
        <v>11061</v>
      </c>
      <c r="B1062" s="2">
        <f t="shared" si="16"/>
        <v>2021</v>
      </c>
      <c r="C1062" s="3">
        <v>44501</v>
      </c>
      <c r="D1062" s="4">
        <v>44526</v>
      </c>
      <c r="E1062" s="2" t="s">
        <v>11</v>
      </c>
      <c r="F1062" s="2" t="s">
        <v>21</v>
      </c>
      <c r="G1062" s="2" t="s">
        <v>17</v>
      </c>
      <c r="H1062" s="2">
        <v>10</v>
      </c>
      <c r="I1062" s="2">
        <v>249</v>
      </c>
      <c r="J1062" s="5">
        <v>62250</v>
      </c>
      <c r="K1062" s="5">
        <v>28012.5</v>
      </c>
    </row>
    <row r="1063" spans="1:11" x14ac:dyDescent="0.25">
      <c r="A1063" s="2">
        <v>11062</v>
      </c>
      <c r="B1063" s="2">
        <f t="shared" si="16"/>
        <v>2021</v>
      </c>
      <c r="C1063" s="3">
        <v>44501</v>
      </c>
      <c r="D1063" s="4">
        <v>44527</v>
      </c>
      <c r="E1063" s="2" t="s">
        <v>11</v>
      </c>
      <c r="F1063" s="2" t="s">
        <v>16</v>
      </c>
      <c r="G1063" s="2" t="s">
        <v>17</v>
      </c>
      <c r="H1063" s="2">
        <v>15</v>
      </c>
      <c r="I1063" s="2">
        <v>385</v>
      </c>
      <c r="J1063" s="5">
        <v>96250</v>
      </c>
      <c r="K1063" s="5">
        <v>43312.5</v>
      </c>
    </row>
    <row r="1064" spans="1:11" x14ac:dyDescent="0.25">
      <c r="A1064" s="2">
        <v>11063</v>
      </c>
      <c r="B1064" s="2">
        <f t="shared" si="16"/>
        <v>2021</v>
      </c>
      <c r="C1064" s="3">
        <v>44501</v>
      </c>
      <c r="D1064" s="4">
        <v>44528</v>
      </c>
      <c r="E1064" s="2" t="s">
        <v>25</v>
      </c>
      <c r="F1064" s="2" t="s">
        <v>18</v>
      </c>
      <c r="G1064" s="2" t="s">
        <v>23</v>
      </c>
      <c r="H1064" s="2">
        <v>37</v>
      </c>
      <c r="I1064" s="2">
        <v>392</v>
      </c>
      <c r="J1064" s="5">
        <v>137200</v>
      </c>
      <c r="K1064" s="5">
        <v>19208.000000000004</v>
      </c>
    </row>
    <row r="1065" spans="1:11" x14ac:dyDescent="0.25">
      <c r="A1065" s="2">
        <v>11064</v>
      </c>
      <c r="B1065" s="2">
        <f t="shared" si="16"/>
        <v>2021</v>
      </c>
      <c r="C1065" s="3">
        <v>44501</v>
      </c>
      <c r="D1065" s="4">
        <v>44529</v>
      </c>
      <c r="E1065" s="2" t="s">
        <v>14</v>
      </c>
      <c r="F1065" s="2" t="s">
        <v>12</v>
      </c>
      <c r="G1065" s="2" t="s">
        <v>20</v>
      </c>
      <c r="H1065" s="2">
        <v>18</v>
      </c>
      <c r="I1065" s="2">
        <v>187</v>
      </c>
      <c r="J1065" s="5">
        <v>158950</v>
      </c>
      <c r="K1065" s="5">
        <v>22253.000000000004</v>
      </c>
    </row>
    <row r="1066" spans="1:11" x14ac:dyDescent="0.25">
      <c r="A1066" s="2">
        <v>11065</v>
      </c>
      <c r="B1066" s="2">
        <f t="shared" si="16"/>
        <v>2021</v>
      </c>
      <c r="C1066" s="3">
        <v>44501</v>
      </c>
      <c r="D1066" s="4">
        <v>44530</v>
      </c>
      <c r="E1066" s="2" t="s">
        <v>14</v>
      </c>
      <c r="F1066" s="2" t="s">
        <v>16</v>
      </c>
      <c r="G1066" s="2" t="s">
        <v>15</v>
      </c>
      <c r="H1066" s="2">
        <v>22</v>
      </c>
      <c r="I1066" s="2">
        <v>406</v>
      </c>
      <c r="J1066" s="5">
        <v>203000</v>
      </c>
      <c r="K1066" s="5">
        <v>46690</v>
      </c>
    </row>
    <row r="1067" spans="1:11" x14ac:dyDescent="0.25">
      <c r="A1067" s="2">
        <v>11066</v>
      </c>
      <c r="B1067" s="2">
        <f t="shared" si="16"/>
        <v>2021</v>
      </c>
      <c r="C1067" s="3">
        <v>44531</v>
      </c>
      <c r="D1067" s="4">
        <v>44531</v>
      </c>
      <c r="E1067" s="2" t="s">
        <v>19</v>
      </c>
      <c r="F1067" s="2" t="s">
        <v>21</v>
      </c>
      <c r="G1067" s="2" t="s">
        <v>13</v>
      </c>
      <c r="H1067" s="2">
        <v>6</v>
      </c>
      <c r="I1067" s="2">
        <v>74</v>
      </c>
      <c r="J1067" s="5">
        <v>55500</v>
      </c>
      <c r="K1067" s="5">
        <v>17205</v>
      </c>
    </row>
    <row r="1068" spans="1:11" x14ac:dyDescent="0.25">
      <c r="A1068" s="2">
        <v>11067</v>
      </c>
      <c r="B1068" s="2">
        <f t="shared" si="16"/>
        <v>2021</v>
      </c>
      <c r="C1068" s="3">
        <v>44531</v>
      </c>
      <c r="D1068" s="4">
        <v>44532</v>
      </c>
      <c r="E1068" s="2" t="s">
        <v>19</v>
      </c>
      <c r="F1068" s="2" t="s">
        <v>18</v>
      </c>
      <c r="G1068" s="2" t="s">
        <v>23</v>
      </c>
      <c r="H1068" s="2">
        <v>13</v>
      </c>
      <c r="I1068" s="2">
        <v>222</v>
      </c>
      <c r="J1068" s="5">
        <v>77700</v>
      </c>
      <c r="K1068" s="5">
        <v>13209.000000000002</v>
      </c>
    </row>
    <row r="1069" spans="1:11" x14ac:dyDescent="0.25">
      <c r="A1069" s="2">
        <v>11068</v>
      </c>
      <c r="B1069" s="2">
        <f t="shared" si="16"/>
        <v>2021</v>
      </c>
      <c r="C1069" s="3">
        <v>44531</v>
      </c>
      <c r="D1069" s="4">
        <v>44533</v>
      </c>
      <c r="E1069" s="2" t="s">
        <v>19</v>
      </c>
      <c r="F1069" s="2" t="s">
        <v>16</v>
      </c>
      <c r="G1069" s="2" t="s">
        <v>15</v>
      </c>
      <c r="H1069" s="2">
        <v>6</v>
      </c>
      <c r="I1069" s="2">
        <v>423</v>
      </c>
      <c r="J1069" s="5">
        <v>211500</v>
      </c>
      <c r="K1069" s="5">
        <v>82485</v>
      </c>
    </row>
    <row r="1070" spans="1:11" x14ac:dyDescent="0.25">
      <c r="A1070" s="2">
        <v>11069</v>
      </c>
      <c r="B1070" s="2">
        <f t="shared" si="16"/>
        <v>2021</v>
      </c>
      <c r="C1070" s="3">
        <v>44531</v>
      </c>
      <c r="D1070" s="4">
        <v>44534</v>
      </c>
      <c r="E1070" s="2" t="s">
        <v>22</v>
      </c>
      <c r="F1070" s="2" t="s">
        <v>24</v>
      </c>
      <c r="G1070" s="2" t="s">
        <v>17</v>
      </c>
      <c r="H1070" s="2">
        <v>1</v>
      </c>
      <c r="I1070" s="2">
        <v>11</v>
      </c>
      <c r="J1070" s="5">
        <v>2750</v>
      </c>
      <c r="K1070" s="5">
        <v>385.00000000000006</v>
      </c>
    </row>
    <row r="1071" spans="1:11" x14ac:dyDescent="0.25">
      <c r="A1071" s="2">
        <v>11070</v>
      </c>
      <c r="B1071" s="2">
        <f t="shared" si="16"/>
        <v>2021</v>
      </c>
      <c r="C1071" s="3">
        <v>44531</v>
      </c>
      <c r="D1071" s="4">
        <v>44535</v>
      </c>
      <c r="E1071" s="2" t="s">
        <v>14</v>
      </c>
      <c r="F1071" s="2" t="s">
        <v>18</v>
      </c>
      <c r="G1071" s="2" t="s">
        <v>23</v>
      </c>
      <c r="H1071" s="2">
        <v>7</v>
      </c>
      <c r="I1071" s="2">
        <v>377</v>
      </c>
      <c r="J1071" s="5">
        <v>131950</v>
      </c>
      <c r="K1071" s="5">
        <v>36946</v>
      </c>
    </row>
    <row r="1072" spans="1:11" x14ac:dyDescent="0.25">
      <c r="A1072" s="2">
        <v>11071</v>
      </c>
      <c r="B1072" s="2">
        <f t="shared" si="16"/>
        <v>2021</v>
      </c>
      <c r="C1072" s="3">
        <v>44531</v>
      </c>
      <c r="D1072" s="4">
        <v>44536</v>
      </c>
      <c r="E1072" s="2" t="s">
        <v>19</v>
      </c>
      <c r="F1072" s="2" t="s">
        <v>12</v>
      </c>
      <c r="G1072" s="2" t="s">
        <v>15</v>
      </c>
      <c r="H1072" s="2">
        <v>11</v>
      </c>
      <c r="I1072" s="2">
        <v>264</v>
      </c>
      <c r="J1072" s="5">
        <v>132000</v>
      </c>
      <c r="K1072" s="5">
        <v>30360</v>
      </c>
    </row>
    <row r="1073" spans="1:11" x14ac:dyDescent="0.25">
      <c r="A1073" s="2">
        <v>11072</v>
      </c>
      <c r="B1073" s="2">
        <f t="shared" si="16"/>
        <v>2021</v>
      </c>
      <c r="C1073" s="3">
        <v>44531</v>
      </c>
      <c r="D1073" s="4">
        <v>44537</v>
      </c>
      <c r="E1073" s="2" t="s">
        <v>19</v>
      </c>
      <c r="F1073" s="2" t="s">
        <v>21</v>
      </c>
      <c r="G1073" s="2" t="s">
        <v>20</v>
      </c>
      <c r="H1073" s="2">
        <v>7</v>
      </c>
      <c r="I1073" s="2">
        <v>183</v>
      </c>
      <c r="J1073" s="5">
        <v>155550</v>
      </c>
      <c r="K1073" s="5">
        <v>69997.5</v>
      </c>
    </row>
    <row r="1074" spans="1:11" x14ac:dyDescent="0.25">
      <c r="A1074" s="2">
        <v>11073</v>
      </c>
      <c r="B1074" s="2">
        <f t="shared" si="16"/>
        <v>2021</v>
      </c>
      <c r="C1074" s="3">
        <v>44531</v>
      </c>
      <c r="D1074" s="4">
        <v>44538</v>
      </c>
      <c r="E1074" s="2" t="s">
        <v>25</v>
      </c>
      <c r="F1074" s="2" t="s">
        <v>24</v>
      </c>
      <c r="G1074" s="2" t="s">
        <v>23</v>
      </c>
      <c r="H1074" s="2">
        <v>11</v>
      </c>
      <c r="I1074" s="2">
        <v>144</v>
      </c>
      <c r="J1074" s="5">
        <v>50400</v>
      </c>
      <c r="K1074" s="5">
        <v>7056.0000000000009</v>
      </c>
    </row>
    <row r="1075" spans="1:11" x14ac:dyDescent="0.25">
      <c r="A1075" s="2">
        <v>11074</v>
      </c>
      <c r="B1075" s="2">
        <f t="shared" si="16"/>
        <v>2021</v>
      </c>
      <c r="C1075" s="3">
        <v>44531</v>
      </c>
      <c r="D1075" s="4">
        <v>44539</v>
      </c>
      <c r="E1075" s="2" t="s">
        <v>19</v>
      </c>
      <c r="F1075" s="2" t="s">
        <v>12</v>
      </c>
      <c r="G1075" s="2" t="s">
        <v>23</v>
      </c>
      <c r="H1075" s="2">
        <v>18</v>
      </c>
      <c r="I1075" s="2">
        <v>260</v>
      </c>
      <c r="J1075" s="5">
        <v>91000</v>
      </c>
      <c r="K1075" s="5">
        <v>39130</v>
      </c>
    </row>
    <row r="1076" spans="1:11" x14ac:dyDescent="0.25">
      <c r="A1076" s="2">
        <v>11075</v>
      </c>
      <c r="B1076" s="2">
        <f t="shared" si="16"/>
        <v>2021</v>
      </c>
      <c r="C1076" s="3">
        <v>44531</v>
      </c>
      <c r="D1076" s="4">
        <v>44540</v>
      </c>
      <c r="E1076" s="2" t="s">
        <v>19</v>
      </c>
      <c r="F1076" s="2" t="s">
        <v>18</v>
      </c>
      <c r="G1076" s="2" t="s">
        <v>17</v>
      </c>
      <c r="H1076" s="2">
        <v>25</v>
      </c>
      <c r="I1076" s="2">
        <v>499</v>
      </c>
      <c r="J1076" s="5">
        <v>124750</v>
      </c>
      <c r="K1076" s="5">
        <v>12475</v>
      </c>
    </row>
    <row r="1077" spans="1:11" x14ac:dyDescent="0.25">
      <c r="A1077" s="2">
        <v>11076</v>
      </c>
      <c r="B1077" s="2">
        <f t="shared" si="16"/>
        <v>2021</v>
      </c>
      <c r="C1077" s="3">
        <v>44531</v>
      </c>
      <c r="D1077" s="4">
        <v>44541</v>
      </c>
      <c r="E1077" s="2" t="s">
        <v>14</v>
      </c>
      <c r="F1077" s="2" t="s">
        <v>12</v>
      </c>
      <c r="G1077" s="2" t="s">
        <v>23</v>
      </c>
      <c r="H1077" s="2">
        <v>29</v>
      </c>
      <c r="I1077" s="2">
        <v>358</v>
      </c>
      <c r="J1077" s="5">
        <v>125300</v>
      </c>
      <c r="K1077" s="5">
        <v>21301</v>
      </c>
    </row>
    <row r="1078" spans="1:11" x14ac:dyDescent="0.25">
      <c r="A1078" s="2">
        <v>11077</v>
      </c>
      <c r="B1078" s="2">
        <f t="shared" si="16"/>
        <v>2021</v>
      </c>
      <c r="C1078" s="3">
        <v>44531</v>
      </c>
      <c r="D1078" s="4">
        <v>44542</v>
      </c>
      <c r="E1078" s="2" t="s">
        <v>11</v>
      </c>
      <c r="F1078" s="2" t="s">
        <v>18</v>
      </c>
      <c r="G1078" s="2" t="s">
        <v>17</v>
      </c>
      <c r="H1078" s="2">
        <v>14</v>
      </c>
      <c r="I1078" s="2">
        <v>490</v>
      </c>
      <c r="J1078" s="5">
        <v>122500</v>
      </c>
      <c r="K1078" s="5">
        <v>53900</v>
      </c>
    </row>
    <row r="1079" spans="1:11" x14ac:dyDescent="0.25">
      <c r="A1079" s="2">
        <v>11078</v>
      </c>
      <c r="B1079" s="2">
        <f t="shared" si="16"/>
        <v>2021</v>
      </c>
      <c r="C1079" s="3">
        <v>44531</v>
      </c>
      <c r="D1079" s="4">
        <v>44543</v>
      </c>
      <c r="E1079" s="2" t="s">
        <v>19</v>
      </c>
      <c r="F1079" s="2" t="s">
        <v>18</v>
      </c>
      <c r="G1079" s="2" t="s">
        <v>17</v>
      </c>
      <c r="H1079" s="2">
        <v>7</v>
      </c>
      <c r="I1079" s="2">
        <v>92</v>
      </c>
      <c r="J1079" s="5">
        <v>23000</v>
      </c>
      <c r="K1079" s="5">
        <v>5750</v>
      </c>
    </row>
    <row r="1080" spans="1:11" x14ac:dyDescent="0.25">
      <c r="A1080" s="2">
        <v>11079</v>
      </c>
      <c r="B1080" s="2">
        <f t="shared" si="16"/>
        <v>2021</v>
      </c>
      <c r="C1080" s="3">
        <v>44531</v>
      </c>
      <c r="D1080" s="4">
        <v>44544</v>
      </c>
      <c r="E1080" s="2" t="s">
        <v>19</v>
      </c>
      <c r="F1080" s="2" t="s">
        <v>21</v>
      </c>
      <c r="G1080" s="2" t="s">
        <v>20</v>
      </c>
      <c r="H1080" s="2">
        <v>29</v>
      </c>
      <c r="I1080" s="2">
        <v>366</v>
      </c>
      <c r="J1080" s="5">
        <v>311100</v>
      </c>
      <c r="K1080" s="5">
        <v>83997</v>
      </c>
    </row>
    <row r="1081" spans="1:11" x14ac:dyDescent="0.25">
      <c r="A1081" s="2">
        <v>11080</v>
      </c>
      <c r="B1081" s="2">
        <f t="shared" si="16"/>
        <v>2021</v>
      </c>
      <c r="C1081" s="3">
        <v>44531</v>
      </c>
      <c r="D1081" s="4">
        <v>44545</v>
      </c>
      <c r="E1081" s="2" t="s">
        <v>22</v>
      </c>
      <c r="F1081" s="2" t="s">
        <v>12</v>
      </c>
      <c r="G1081" s="2" t="s">
        <v>15</v>
      </c>
      <c r="H1081" s="2">
        <v>13</v>
      </c>
      <c r="I1081" s="2">
        <v>225</v>
      </c>
      <c r="J1081" s="5">
        <v>112500</v>
      </c>
      <c r="K1081" s="5">
        <v>32624.999999999996</v>
      </c>
    </row>
    <row r="1082" spans="1:11" x14ac:dyDescent="0.25">
      <c r="A1082" s="2">
        <v>11081</v>
      </c>
      <c r="B1082" s="2">
        <f t="shared" si="16"/>
        <v>2021</v>
      </c>
      <c r="C1082" s="3">
        <v>44531</v>
      </c>
      <c r="D1082" s="4">
        <v>44546</v>
      </c>
      <c r="E1082" s="2" t="s">
        <v>14</v>
      </c>
      <c r="F1082" s="2" t="s">
        <v>18</v>
      </c>
      <c r="G1082" s="2" t="s">
        <v>23</v>
      </c>
      <c r="H1082" s="2">
        <v>24</v>
      </c>
      <c r="I1082" s="2">
        <v>340</v>
      </c>
      <c r="J1082" s="5">
        <v>119000</v>
      </c>
      <c r="K1082" s="5">
        <v>26180</v>
      </c>
    </row>
    <row r="1083" spans="1:11" x14ac:dyDescent="0.25">
      <c r="A1083" s="2">
        <v>11082</v>
      </c>
      <c r="B1083" s="2">
        <f t="shared" si="16"/>
        <v>2021</v>
      </c>
      <c r="C1083" s="3">
        <v>44531</v>
      </c>
      <c r="D1083" s="4">
        <v>44547</v>
      </c>
      <c r="E1083" s="2" t="s">
        <v>11</v>
      </c>
      <c r="F1083" s="2" t="s">
        <v>16</v>
      </c>
      <c r="G1083" s="2" t="s">
        <v>13</v>
      </c>
      <c r="H1083" s="2">
        <v>37</v>
      </c>
      <c r="I1083" s="2">
        <v>416</v>
      </c>
      <c r="J1083" s="5">
        <v>312000</v>
      </c>
      <c r="K1083" s="5">
        <v>102960</v>
      </c>
    </row>
    <row r="1084" spans="1:11" x14ac:dyDescent="0.25">
      <c r="A1084" s="2">
        <v>11083</v>
      </c>
      <c r="B1084" s="2">
        <f t="shared" si="16"/>
        <v>2021</v>
      </c>
      <c r="C1084" s="3">
        <v>44531</v>
      </c>
      <c r="D1084" s="4">
        <v>44548</v>
      </c>
      <c r="E1084" s="2" t="s">
        <v>14</v>
      </c>
      <c r="F1084" s="2" t="s">
        <v>12</v>
      </c>
      <c r="G1084" s="2" t="s">
        <v>20</v>
      </c>
      <c r="H1084" s="2">
        <v>7</v>
      </c>
      <c r="I1084" s="2">
        <v>166</v>
      </c>
      <c r="J1084" s="5">
        <v>141100</v>
      </c>
      <c r="K1084" s="5">
        <v>35275</v>
      </c>
    </row>
    <row r="1085" spans="1:11" x14ac:dyDescent="0.25">
      <c r="A1085" s="2">
        <v>11084</v>
      </c>
      <c r="B1085" s="2">
        <f t="shared" si="16"/>
        <v>2021</v>
      </c>
      <c r="C1085" s="3">
        <v>44531</v>
      </c>
      <c r="D1085" s="4">
        <v>44549</v>
      </c>
      <c r="E1085" s="2" t="s">
        <v>22</v>
      </c>
      <c r="F1085" s="2" t="s">
        <v>18</v>
      </c>
      <c r="G1085" s="2" t="s">
        <v>17</v>
      </c>
      <c r="H1085" s="2">
        <v>12</v>
      </c>
      <c r="I1085" s="2">
        <v>196</v>
      </c>
      <c r="J1085" s="5">
        <v>49000</v>
      </c>
      <c r="K1085" s="5">
        <v>19600</v>
      </c>
    </row>
    <row r="1086" spans="1:11" x14ac:dyDescent="0.25">
      <c r="A1086" s="2">
        <v>11085</v>
      </c>
      <c r="B1086" s="2">
        <f t="shared" si="16"/>
        <v>2021</v>
      </c>
      <c r="C1086" s="3">
        <v>44531</v>
      </c>
      <c r="D1086" s="4">
        <v>44550</v>
      </c>
      <c r="E1086" s="2" t="s">
        <v>14</v>
      </c>
      <c r="F1086" s="2" t="s">
        <v>16</v>
      </c>
      <c r="G1086" s="2" t="s">
        <v>17</v>
      </c>
      <c r="H1086" s="2">
        <v>3</v>
      </c>
      <c r="I1086" s="2">
        <v>51</v>
      </c>
      <c r="J1086" s="5">
        <v>12750</v>
      </c>
      <c r="K1086" s="5">
        <v>1785.0000000000002</v>
      </c>
    </row>
    <row r="1087" spans="1:11" x14ac:dyDescent="0.25">
      <c r="A1087" s="2">
        <v>11086</v>
      </c>
      <c r="B1087" s="2">
        <f t="shared" si="16"/>
        <v>2021</v>
      </c>
      <c r="C1087" s="3">
        <v>44531</v>
      </c>
      <c r="D1087" s="4">
        <v>44551</v>
      </c>
      <c r="E1087" s="2" t="s">
        <v>25</v>
      </c>
      <c r="F1087" s="2" t="s">
        <v>21</v>
      </c>
      <c r="G1087" s="2" t="s">
        <v>23</v>
      </c>
      <c r="H1087" s="2">
        <v>9</v>
      </c>
      <c r="I1087" s="2">
        <v>333</v>
      </c>
      <c r="J1087" s="5">
        <v>116550</v>
      </c>
      <c r="K1087" s="5">
        <v>26806.5</v>
      </c>
    </row>
    <row r="1088" spans="1:11" x14ac:dyDescent="0.25">
      <c r="A1088" s="2">
        <v>11087</v>
      </c>
      <c r="B1088" s="2">
        <f t="shared" si="16"/>
        <v>2021</v>
      </c>
      <c r="C1088" s="3">
        <v>44531</v>
      </c>
      <c r="D1088" s="4">
        <v>44552</v>
      </c>
      <c r="E1088" s="2" t="s">
        <v>14</v>
      </c>
      <c r="F1088" s="2" t="s">
        <v>12</v>
      </c>
      <c r="G1088" s="2" t="s">
        <v>23</v>
      </c>
      <c r="H1088" s="2">
        <v>5</v>
      </c>
      <c r="I1088" s="2">
        <v>182</v>
      </c>
      <c r="J1088" s="5">
        <v>63700</v>
      </c>
      <c r="K1088" s="5">
        <v>10192</v>
      </c>
    </row>
    <row r="1089" spans="1:11" x14ac:dyDescent="0.25">
      <c r="A1089" s="2">
        <v>11088</v>
      </c>
      <c r="B1089" s="2">
        <f t="shared" si="16"/>
        <v>2021</v>
      </c>
      <c r="C1089" s="3">
        <v>44531</v>
      </c>
      <c r="D1089" s="4">
        <v>44553</v>
      </c>
      <c r="E1089" s="2" t="s">
        <v>22</v>
      </c>
      <c r="F1089" s="2" t="s">
        <v>21</v>
      </c>
      <c r="G1089" s="2" t="s">
        <v>15</v>
      </c>
      <c r="H1089" s="2">
        <v>15</v>
      </c>
      <c r="I1089" s="2">
        <v>348</v>
      </c>
      <c r="J1089" s="5">
        <v>174000</v>
      </c>
      <c r="K1089" s="5">
        <v>53940</v>
      </c>
    </row>
    <row r="1090" spans="1:11" x14ac:dyDescent="0.25">
      <c r="A1090" s="2">
        <v>11089</v>
      </c>
      <c r="B1090" s="2">
        <f t="shared" si="16"/>
        <v>2021</v>
      </c>
      <c r="C1090" s="3">
        <v>44531</v>
      </c>
      <c r="D1090" s="4">
        <v>44554</v>
      </c>
      <c r="E1090" s="2" t="s">
        <v>19</v>
      </c>
      <c r="F1090" s="2" t="s">
        <v>21</v>
      </c>
      <c r="G1090" s="2" t="s">
        <v>20</v>
      </c>
      <c r="H1090" s="2">
        <v>5</v>
      </c>
      <c r="I1090" s="2">
        <v>89</v>
      </c>
      <c r="J1090" s="5">
        <v>75650</v>
      </c>
      <c r="K1090" s="5">
        <v>17399.5</v>
      </c>
    </row>
    <row r="1091" spans="1:11" x14ac:dyDescent="0.25">
      <c r="A1091" s="2">
        <v>11090</v>
      </c>
      <c r="B1091" s="2">
        <f t="shared" ref="B1091:B1154" si="17">YEAR(C1091)</f>
        <v>2021</v>
      </c>
      <c r="C1091" s="3">
        <v>44531</v>
      </c>
      <c r="D1091" s="4">
        <v>44555</v>
      </c>
      <c r="E1091" s="2" t="s">
        <v>11</v>
      </c>
      <c r="F1091" s="2" t="s">
        <v>12</v>
      </c>
      <c r="G1091" s="2" t="s">
        <v>23</v>
      </c>
      <c r="H1091" s="2">
        <v>4</v>
      </c>
      <c r="I1091" s="2">
        <v>143</v>
      </c>
      <c r="J1091" s="5">
        <v>50050</v>
      </c>
      <c r="K1091" s="5">
        <v>19019</v>
      </c>
    </row>
    <row r="1092" spans="1:11" x14ac:dyDescent="0.25">
      <c r="A1092" s="2">
        <v>11091</v>
      </c>
      <c r="B1092" s="2">
        <f t="shared" si="17"/>
        <v>2021</v>
      </c>
      <c r="C1092" s="3">
        <v>44531</v>
      </c>
      <c r="D1092" s="4">
        <v>44556</v>
      </c>
      <c r="E1092" s="2" t="s">
        <v>14</v>
      </c>
      <c r="F1092" s="2" t="s">
        <v>24</v>
      </c>
      <c r="G1092" s="2" t="s">
        <v>15</v>
      </c>
      <c r="H1092" s="2">
        <v>1</v>
      </c>
      <c r="I1092" s="2">
        <v>60</v>
      </c>
      <c r="J1092" s="5">
        <v>30000</v>
      </c>
      <c r="K1092" s="5">
        <v>12900</v>
      </c>
    </row>
    <row r="1093" spans="1:11" x14ac:dyDescent="0.25">
      <c r="A1093" s="2">
        <v>11092</v>
      </c>
      <c r="B1093" s="2">
        <f t="shared" si="17"/>
        <v>2021</v>
      </c>
      <c r="C1093" s="3">
        <v>44531</v>
      </c>
      <c r="D1093" s="4">
        <v>44557</v>
      </c>
      <c r="E1093" s="2" t="s">
        <v>19</v>
      </c>
      <c r="F1093" s="2" t="s">
        <v>16</v>
      </c>
      <c r="G1093" s="2" t="s">
        <v>17</v>
      </c>
      <c r="H1093" s="2">
        <v>21</v>
      </c>
      <c r="I1093" s="2">
        <v>416</v>
      </c>
      <c r="J1093" s="5">
        <v>104000</v>
      </c>
      <c r="K1093" s="5">
        <v>37440</v>
      </c>
    </row>
    <row r="1094" spans="1:11" x14ac:dyDescent="0.25">
      <c r="A1094" s="2">
        <v>11093</v>
      </c>
      <c r="B1094" s="2">
        <f t="shared" si="17"/>
        <v>2021</v>
      </c>
      <c r="C1094" s="3">
        <v>44531</v>
      </c>
      <c r="D1094" s="4">
        <v>44558</v>
      </c>
      <c r="E1094" s="2" t="s">
        <v>25</v>
      </c>
      <c r="F1094" s="2" t="s">
        <v>16</v>
      </c>
      <c r="G1094" s="2" t="s">
        <v>15</v>
      </c>
      <c r="H1094" s="2">
        <v>7</v>
      </c>
      <c r="I1094" s="2">
        <v>91</v>
      </c>
      <c r="J1094" s="5">
        <v>45500</v>
      </c>
      <c r="K1094" s="5">
        <v>9100</v>
      </c>
    </row>
    <row r="1095" spans="1:11" x14ac:dyDescent="0.25">
      <c r="A1095" s="2">
        <v>11094</v>
      </c>
      <c r="B1095" s="2">
        <f t="shared" si="17"/>
        <v>2021</v>
      </c>
      <c r="C1095" s="3">
        <v>44531</v>
      </c>
      <c r="D1095" s="4">
        <v>44559</v>
      </c>
      <c r="E1095" s="2" t="s">
        <v>14</v>
      </c>
      <c r="F1095" s="2" t="s">
        <v>24</v>
      </c>
      <c r="G1095" s="2" t="s">
        <v>20</v>
      </c>
      <c r="H1095" s="2">
        <v>9</v>
      </c>
      <c r="I1095" s="2">
        <v>92</v>
      </c>
      <c r="J1095" s="5">
        <v>78200</v>
      </c>
      <c r="K1095" s="5">
        <v>17986</v>
      </c>
    </row>
    <row r="1096" spans="1:11" x14ac:dyDescent="0.25">
      <c r="A1096" s="2">
        <v>11095</v>
      </c>
      <c r="B1096" s="2">
        <f t="shared" si="17"/>
        <v>2021</v>
      </c>
      <c r="C1096" s="3">
        <v>44531</v>
      </c>
      <c r="D1096" s="4">
        <v>44560</v>
      </c>
      <c r="E1096" s="2" t="s">
        <v>22</v>
      </c>
      <c r="F1096" s="2" t="s">
        <v>12</v>
      </c>
      <c r="G1096" s="2" t="s">
        <v>23</v>
      </c>
      <c r="H1096" s="2">
        <v>5</v>
      </c>
      <c r="I1096" s="2">
        <v>249</v>
      </c>
      <c r="J1096" s="5">
        <v>87150</v>
      </c>
      <c r="K1096" s="5">
        <v>34860</v>
      </c>
    </row>
    <row r="1097" spans="1:11" x14ac:dyDescent="0.25">
      <c r="A1097" s="2">
        <v>11096</v>
      </c>
      <c r="B1097" s="2">
        <f t="shared" si="17"/>
        <v>2021</v>
      </c>
      <c r="C1097" s="3">
        <v>44531</v>
      </c>
      <c r="D1097" s="4">
        <v>44561</v>
      </c>
      <c r="E1097" s="2" t="s">
        <v>22</v>
      </c>
      <c r="F1097" s="2" t="s">
        <v>16</v>
      </c>
      <c r="G1097" s="2" t="s">
        <v>13</v>
      </c>
      <c r="H1097" s="2">
        <v>12</v>
      </c>
      <c r="I1097" s="2">
        <v>435</v>
      </c>
      <c r="J1097" s="5">
        <v>326250</v>
      </c>
      <c r="K1097" s="5">
        <v>114187.5</v>
      </c>
    </row>
    <row r="1098" spans="1:11" x14ac:dyDescent="0.25">
      <c r="A1098" s="2">
        <v>11097</v>
      </c>
      <c r="B1098" s="2">
        <f t="shared" si="17"/>
        <v>2022</v>
      </c>
      <c r="C1098" s="3">
        <v>44562</v>
      </c>
      <c r="D1098" s="4">
        <v>44562</v>
      </c>
      <c r="E1098" s="2" t="s">
        <v>11</v>
      </c>
      <c r="F1098" s="2" t="s">
        <v>24</v>
      </c>
      <c r="G1098" s="2" t="s">
        <v>15</v>
      </c>
      <c r="H1098" s="2">
        <v>3</v>
      </c>
      <c r="I1098" s="2">
        <v>235</v>
      </c>
      <c r="J1098" s="5">
        <v>117500</v>
      </c>
      <c r="K1098" s="5">
        <v>28200</v>
      </c>
    </row>
    <row r="1099" spans="1:11" x14ac:dyDescent="0.25">
      <c r="A1099" s="2">
        <v>11098</v>
      </c>
      <c r="B1099" s="2">
        <f t="shared" si="17"/>
        <v>2022</v>
      </c>
      <c r="C1099" s="3">
        <v>44562</v>
      </c>
      <c r="D1099" s="4">
        <v>44563</v>
      </c>
      <c r="E1099" s="2" t="s">
        <v>19</v>
      </c>
      <c r="F1099" s="2" t="s">
        <v>12</v>
      </c>
      <c r="G1099" s="2" t="s">
        <v>13</v>
      </c>
      <c r="H1099" s="2">
        <v>12</v>
      </c>
      <c r="I1099" s="2">
        <v>175</v>
      </c>
      <c r="J1099" s="5">
        <v>131250</v>
      </c>
      <c r="K1099" s="5">
        <v>59062.5</v>
      </c>
    </row>
    <row r="1100" spans="1:11" x14ac:dyDescent="0.25">
      <c r="A1100" s="2">
        <v>11099</v>
      </c>
      <c r="B1100" s="2">
        <f t="shared" si="17"/>
        <v>2022</v>
      </c>
      <c r="C1100" s="3">
        <v>44562</v>
      </c>
      <c r="D1100" s="4">
        <v>44564</v>
      </c>
      <c r="E1100" s="2" t="s">
        <v>11</v>
      </c>
      <c r="F1100" s="2" t="s">
        <v>24</v>
      </c>
      <c r="G1100" s="2" t="s">
        <v>23</v>
      </c>
      <c r="H1100" s="2">
        <v>23</v>
      </c>
      <c r="I1100" s="2">
        <v>266</v>
      </c>
      <c r="J1100" s="5">
        <v>93100</v>
      </c>
      <c r="K1100" s="5">
        <v>29792</v>
      </c>
    </row>
    <row r="1101" spans="1:11" x14ac:dyDescent="0.25">
      <c r="A1101" s="2">
        <v>11100</v>
      </c>
      <c r="B1101" s="2">
        <f t="shared" si="17"/>
        <v>2022</v>
      </c>
      <c r="C1101" s="3">
        <v>44562</v>
      </c>
      <c r="D1101" s="4">
        <v>44565</v>
      </c>
      <c r="E1101" s="2" t="s">
        <v>25</v>
      </c>
      <c r="F1101" s="2" t="s">
        <v>18</v>
      </c>
      <c r="G1101" s="2" t="s">
        <v>17</v>
      </c>
      <c r="H1101" s="2">
        <v>32</v>
      </c>
      <c r="I1101" s="2">
        <v>499</v>
      </c>
      <c r="J1101" s="5">
        <v>124750</v>
      </c>
      <c r="K1101" s="5">
        <v>23702.5</v>
      </c>
    </row>
    <row r="1102" spans="1:11" x14ac:dyDescent="0.25">
      <c r="A1102" s="2">
        <v>11101</v>
      </c>
      <c r="B1102" s="2">
        <f t="shared" si="17"/>
        <v>2022</v>
      </c>
      <c r="C1102" s="3">
        <v>44562</v>
      </c>
      <c r="D1102" s="4">
        <v>44566</v>
      </c>
      <c r="E1102" s="2" t="s">
        <v>25</v>
      </c>
      <c r="F1102" s="2" t="s">
        <v>16</v>
      </c>
      <c r="G1102" s="2" t="s">
        <v>15</v>
      </c>
      <c r="H1102" s="2">
        <v>4</v>
      </c>
      <c r="I1102" s="2">
        <v>66</v>
      </c>
      <c r="J1102" s="5">
        <v>33000</v>
      </c>
      <c r="K1102" s="5">
        <v>8910</v>
      </c>
    </row>
    <row r="1103" spans="1:11" x14ac:dyDescent="0.25">
      <c r="A1103" s="2">
        <v>11102</v>
      </c>
      <c r="B1103" s="2">
        <f t="shared" si="17"/>
        <v>2022</v>
      </c>
      <c r="C1103" s="3">
        <v>44562</v>
      </c>
      <c r="D1103" s="4">
        <v>44567</v>
      </c>
      <c r="E1103" s="2" t="s">
        <v>22</v>
      </c>
      <c r="F1103" s="2" t="s">
        <v>18</v>
      </c>
      <c r="G1103" s="2" t="s">
        <v>17</v>
      </c>
      <c r="H1103" s="2">
        <v>38</v>
      </c>
      <c r="I1103" s="2">
        <v>437</v>
      </c>
      <c r="J1103" s="5">
        <v>109250</v>
      </c>
      <c r="K1103" s="5">
        <v>33867.5</v>
      </c>
    </row>
    <row r="1104" spans="1:11" x14ac:dyDescent="0.25">
      <c r="A1104" s="2">
        <v>11103</v>
      </c>
      <c r="B1104" s="2">
        <f t="shared" si="17"/>
        <v>2022</v>
      </c>
      <c r="C1104" s="3">
        <v>44562</v>
      </c>
      <c r="D1104" s="4">
        <v>44568</v>
      </c>
      <c r="E1104" s="2" t="s">
        <v>22</v>
      </c>
      <c r="F1104" s="2" t="s">
        <v>24</v>
      </c>
      <c r="G1104" s="2" t="s">
        <v>15</v>
      </c>
      <c r="H1104" s="2">
        <v>31</v>
      </c>
      <c r="I1104" s="2">
        <v>422</v>
      </c>
      <c r="J1104" s="5">
        <v>211000</v>
      </c>
      <c r="K1104" s="5">
        <v>90730</v>
      </c>
    </row>
    <row r="1105" spans="1:11" x14ac:dyDescent="0.25">
      <c r="A1105" s="2">
        <v>11104</v>
      </c>
      <c r="B1105" s="2">
        <f t="shared" si="17"/>
        <v>2022</v>
      </c>
      <c r="C1105" s="3">
        <v>44562</v>
      </c>
      <c r="D1105" s="4">
        <v>44569</v>
      </c>
      <c r="E1105" s="2" t="s">
        <v>14</v>
      </c>
      <c r="F1105" s="2" t="s">
        <v>12</v>
      </c>
      <c r="G1105" s="2" t="s">
        <v>17</v>
      </c>
      <c r="H1105" s="2">
        <v>18</v>
      </c>
      <c r="I1105" s="2">
        <v>373</v>
      </c>
      <c r="J1105" s="5">
        <v>93250</v>
      </c>
      <c r="K1105" s="5">
        <v>12122.5</v>
      </c>
    </row>
    <row r="1106" spans="1:11" x14ac:dyDescent="0.25">
      <c r="A1106" s="2">
        <v>11105</v>
      </c>
      <c r="B1106" s="2">
        <f t="shared" si="17"/>
        <v>2022</v>
      </c>
      <c r="C1106" s="3">
        <v>44562</v>
      </c>
      <c r="D1106" s="4">
        <v>44570</v>
      </c>
      <c r="E1106" s="2" t="s">
        <v>22</v>
      </c>
      <c r="F1106" s="2" t="s">
        <v>24</v>
      </c>
      <c r="G1106" s="2" t="s">
        <v>20</v>
      </c>
      <c r="H1106" s="2">
        <v>39</v>
      </c>
      <c r="I1106" s="2">
        <v>456</v>
      </c>
      <c r="J1106" s="5">
        <v>387600</v>
      </c>
      <c r="K1106" s="5">
        <v>155040</v>
      </c>
    </row>
    <row r="1107" spans="1:11" x14ac:dyDescent="0.25">
      <c r="A1107" s="2">
        <v>11106</v>
      </c>
      <c r="B1107" s="2">
        <f t="shared" si="17"/>
        <v>2022</v>
      </c>
      <c r="C1107" s="3">
        <v>44562</v>
      </c>
      <c r="D1107" s="4">
        <v>44571</v>
      </c>
      <c r="E1107" s="2" t="s">
        <v>11</v>
      </c>
      <c r="F1107" s="2" t="s">
        <v>24</v>
      </c>
      <c r="G1107" s="2" t="s">
        <v>15</v>
      </c>
      <c r="H1107" s="2">
        <v>11</v>
      </c>
      <c r="I1107" s="2">
        <v>125</v>
      </c>
      <c r="J1107" s="5">
        <v>62500</v>
      </c>
      <c r="K1107" s="5">
        <v>20000</v>
      </c>
    </row>
    <row r="1108" spans="1:11" x14ac:dyDescent="0.25">
      <c r="A1108" s="2">
        <v>11107</v>
      </c>
      <c r="B1108" s="2">
        <f t="shared" si="17"/>
        <v>2022</v>
      </c>
      <c r="C1108" s="3">
        <v>44562</v>
      </c>
      <c r="D1108" s="4">
        <v>44572</v>
      </c>
      <c r="E1108" s="2" t="s">
        <v>19</v>
      </c>
      <c r="F1108" s="2" t="s">
        <v>21</v>
      </c>
      <c r="G1108" s="2" t="s">
        <v>17</v>
      </c>
      <c r="H1108" s="2">
        <v>12</v>
      </c>
      <c r="I1108" s="2">
        <v>396</v>
      </c>
      <c r="J1108" s="5">
        <v>99000</v>
      </c>
      <c r="K1108" s="5">
        <v>30690</v>
      </c>
    </row>
    <row r="1109" spans="1:11" x14ac:dyDescent="0.25">
      <c r="A1109" s="2">
        <v>11108</v>
      </c>
      <c r="B1109" s="2">
        <f t="shared" si="17"/>
        <v>2022</v>
      </c>
      <c r="C1109" s="3">
        <v>44562</v>
      </c>
      <c r="D1109" s="4">
        <v>44573</v>
      </c>
      <c r="E1109" s="2" t="s">
        <v>19</v>
      </c>
      <c r="F1109" s="2" t="s">
        <v>21</v>
      </c>
      <c r="G1109" s="2" t="s">
        <v>20</v>
      </c>
      <c r="H1109" s="2">
        <v>46</v>
      </c>
      <c r="I1109" s="2">
        <v>462</v>
      </c>
      <c r="J1109" s="5">
        <v>392700</v>
      </c>
      <c r="K1109" s="5">
        <v>153153</v>
      </c>
    </row>
    <row r="1110" spans="1:11" x14ac:dyDescent="0.25">
      <c r="A1110" s="2">
        <v>11109</v>
      </c>
      <c r="B1110" s="2">
        <f t="shared" si="17"/>
        <v>2022</v>
      </c>
      <c r="C1110" s="3">
        <v>44562</v>
      </c>
      <c r="D1110" s="4">
        <v>44574</v>
      </c>
      <c r="E1110" s="2" t="s">
        <v>19</v>
      </c>
      <c r="F1110" s="2" t="s">
        <v>21</v>
      </c>
      <c r="G1110" s="2" t="s">
        <v>15</v>
      </c>
      <c r="H1110" s="2">
        <v>9</v>
      </c>
      <c r="I1110" s="2">
        <v>99</v>
      </c>
      <c r="J1110" s="5">
        <v>49500</v>
      </c>
      <c r="K1110" s="5">
        <v>17325</v>
      </c>
    </row>
    <row r="1111" spans="1:11" x14ac:dyDescent="0.25">
      <c r="A1111" s="2">
        <v>11110</v>
      </c>
      <c r="B1111" s="2">
        <f t="shared" si="17"/>
        <v>2022</v>
      </c>
      <c r="C1111" s="3">
        <v>44562</v>
      </c>
      <c r="D1111" s="4">
        <v>44575</v>
      </c>
      <c r="E1111" s="2" t="s">
        <v>19</v>
      </c>
      <c r="F1111" s="2" t="s">
        <v>12</v>
      </c>
      <c r="G1111" s="2" t="s">
        <v>15</v>
      </c>
      <c r="H1111" s="2">
        <v>6</v>
      </c>
      <c r="I1111" s="2">
        <v>173</v>
      </c>
      <c r="J1111" s="5">
        <v>86500</v>
      </c>
      <c r="K1111" s="5">
        <v>19030</v>
      </c>
    </row>
    <row r="1112" spans="1:11" x14ac:dyDescent="0.25">
      <c r="A1112" s="2">
        <v>11111</v>
      </c>
      <c r="B1112" s="2">
        <f t="shared" si="17"/>
        <v>2022</v>
      </c>
      <c r="C1112" s="3">
        <v>44562</v>
      </c>
      <c r="D1112" s="4">
        <v>44576</v>
      </c>
      <c r="E1112" s="2" t="s">
        <v>11</v>
      </c>
      <c r="F1112" s="2" t="s">
        <v>24</v>
      </c>
      <c r="G1112" s="2" t="s">
        <v>23</v>
      </c>
      <c r="H1112" s="2">
        <v>10</v>
      </c>
      <c r="I1112" s="2">
        <v>252</v>
      </c>
      <c r="J1112" s="5">
        <v>88200</v>
      </c>
      <c r="K1112" s="5">
        <v>22932</v>
      </c>
    </row>
    <row r="1113" spans="1:11" x14ac:dyDescent="0.25">
      <c r="A1113" s="2">
        <v>11112</v>
      </c>
      <c r="B1113" s="2">
        <f t="shared" si="17"/>
        <v>2022</v>
      </c>
      <c r="C1113" s="3">
        <v>44562</v>
      </c>
      <c r="D1113" s="4">
        <v>44577</v>
      </c>
      <c r="E1113" s="2" t="s">
        <v>19</v>
      </c>
      <c r="F1113" s="2" t="s">
        <v>24</v>
      </c>
      <c r="G1113" s="2" t="s">
        <v>20</v>
      </c>
      <c r="H1113" s="2">
        <v>35</v>
      </c>
      <c r="I1113" s="2">
        <v>391</v>
      </c>
      <c r="J1113" s="5">
        <v>332350</v>
      </c>
      <c r="K1113" s="5">
        <v>136263.5</v>
      </c>
    </row>
    <row r="1114" spans="1:11" x14ac:dyDescent="0.25">
      <c r="A1114" s="2">
        <v>11113</v>
      </c>
      <c r="B1114" s="2">
        <f t="shared" si="17"/>
        <v>2022</v>
      </c>
      <c r="C1114" s="3">
        <v>44562</v>
      </c>
      <c r="D1114" s="4">
        <v>44578</v>
      </c>
      <c r="E1114" s="2" t="s">
        <v>19</v>
      </c>
      <c r="F1114" s="2" t="s">
        <v>16</v>
      </c>
      <c r="G1114" s="2" t="s">
        <v>15</v>
      </c>
      <c r="H1114" s="2">
        <v>6</v>
      </c>
      <c r="I1114" s="2">
        <v>111</v>
      </c>
      <c r="J1114" s="5">
        <v>55500</v>
      </c>
      <c r="K1114" s="5">
        <v>20535</v>
      </c>
    </row>
    <row r="1115" spans="1:11" x14ac:dyDescent="0.25">
      <c r="A1115" s="2">
        <v>11114</v>
      </c>
      <c r="B1115" s="2">
        <f t="shared" si="17"/>
        <v>2022</v>
      </c>
      <c r="C1115" s="3">
        <v>44562</v>
      </c>
      <c r="D1115" s="4">
        <v>44579</v>
      </c>
      <c r="E1115" s="2" t="s">
        <v>25</v>
      </c>
      <c r="F1115" s="2" t="s">
        <v>16</v>
      </c>
      <c r="G1115" s="2" t="s">
        <v>13</v>
      </c>
      <c r="H1115" s="2">
        <v>36</v>
      </c>
      <c r="I1115" s="2">
        <v>466</v>
      </c>
      <c r="J1115" s="5">
        <v>349500</v>
      </c>
      <c r="K1115" s="5">
        <v>52425</v>
      </c>
    </row>
    <row r="1116" spans="1:11" x14ac:dyDescent="0.25">
      <c r="A1116" s="2">
        <v>11115</v>
      </c>
      <c r="B1116" s="2">
        <f t="shared" si="17"/>
        <v>2022</v>
      </c>
      <c r="C1116" s="3">
        <v>44562</v>
      </c>
      <c r="D1116" s="4">
        <v>44580</v>
      </c>
      <c r="E1116" s="2" t="s">
        <v>11</v>
      </c>
      <c r="F1116" s="2" t="s">
        <v>24</v>
      </c>
      <c r="G1116" s="2" t="s">
        <v>20</v>
      </c>
      <c r="H1116" s="2">
        <v>2</v>
      </c>
      <c r="I1116" s="2">
        <v>34</v>
      </c>
      <c r="J1116" s="5">
        <v>28900</v>
      </c>
      <c r="K1116" s="5">
        <v>5780</v>
      </c>
    </row>
    <row r="1117" spans="1:11" x14ac:dyDescent="0.25">
      <c r="A1117" s="2">
        <v>11116</v>
      </c>
      <c r="B1117" s="2">
        <f t="shared" si="17"/>
        <v>2022</v>
      </c>
      <c r="C1117" s="3">
        <v>44562</v>
      </c>
      <c r="D1117" s="4">
        <v>44581</v>
      </c>
      <c r="E1117" s="2" t="s">
        <v>19</v>
      </c>
      <c r="F1117" s="2" t="s">
        <v>24</v>
      </c>
      <c r="G1117" s="2" t="s">
        <v>13</v>
      </c>
      <c r="H1117" s="2">
        <v>8</v>
      </c>
      <c r="I1117" s="2">
        <v>120</v>
      </c>
      <c r="J1117" s="5">
        <v>90000</v>
      </c>
      <c r="K1117" s="5">
        <v>12600.000000000002</v>
      </c>
    </row>
    <row r="1118" spans="1:11" x14ac:dyDescent="0.25">
      <c r="A1118" s="2">
        <v>11117</v>
      </c>
      <c r="B1118" s="2">
        <f t="shared" si="17"/>
        <v>2022</v>
      </c>
      <c r="C1118" s="3">
        <v>44562</v>
      </c>
      <c r="D1118" s="4">
        <v>44582</v>
      </c>
      <c r="E1118" s="2" t="s">
        <v>22</v>
      </c>
      <c r="F1118" s="2" t="s">
        <v>24</v>
      </c>
      <c r="G1118" s="2" t="s">
        <v>17</v>
      </c>
      <c r="H1118" s="2">
        <v>7</v>
      </c>
      <c r="I1118" s="2">
        <v>325</v>
      </c>
      <c r="J1118" s="5">
        <v>81250</v>
      </c>
      <c r="K1118" s="5">
        <v>26000</v>
      </c>
    </row>
    <row r="1119" spans="1:11" x14ac:dyDescent="0.25">
      <c r="A1119" s="2">
        <v>11118</v>
      </c>
      <c r="B1119" s="2">
        <f t="shared" si="17"/>
        <v>2022</v>
      </c>
      <c r="C1119" s="3">
        <v>44562</v>
      </c>
      <c r="D1119" s="4">
        <v>44583</v>
      </c>
      <c r="E1119" s="2" t="s">
        <v>14</v>
      </c>
      <c r="F1119" s="2" t="s">
        <v>18</v>
      </c>
      <c r="G1119" s="2" t="s">
        <v>20</v>
      </c>
      <c r="H1119" s="2">
        <v>15</v>
      </c>
      <c r="I1119" s="2">
        <v>348</v>
      </c>
      <c r="J1119" s="5">
        <v>295800</v>
      </c>
      <c r="K1119" s="5">
        <v>106488</v>
      </c>
    </row>
    <row r="1120" spans="1:11" x14ac:dyDescent="0.25">
      <c r="A1120" s="2">
        <v>11119</v>
      </c>
      <c r="B1120" s="2">
        <f t="shared" si="17"/>
        <v>2022</v>
      </c>
      <c r="C1120" s="3">
        <v>44562</v>
      </c>
      <c r="D1120" s="4">
        <v>44584</v>
      </c>
      <c r="E1120" s="2" t="s">
        <v>22</v>
      </c>
      <c r="F1120" s="2" t="s">
        <v>12</v>
      </c>
      <c r="G1120" s="2" t="s">
        <v>20</v>
      </c>
      <c r="H1120" s="2">
        <v>22</v>
      </c>
      <c r="I1120" s="2">
        <v>309</v>
      </c>
      <c r="J1120" s="5">
        <v>262650</v>
      </c>
      <c r="K1120" s="5">
        <v>76168.5</v>
      </c>
    </row>
    <row r="1121" spans="1:11" x14ac:dyDescent="0.25">
      <c r="A1121" s="2">
        <v>11120</v>
      </c>
      <c r="B1121" s="2">
        <f t="shared" si="17"/>
        <v>2022</v>
      </c>
      <c r="C1121" s="3">
        <v>44562</v>
      </c>
      <c r="D1121" s="4">
        <v>44585</v>
      </c>
      <c r="E1121" s="2" t="s">
        <v>22</v>
      </c>
      <c r="F1121" s="2" t="s">
        <v>18</v>
      </c>
      <c r="G1121" s="2" t="s">
        <v>20</v>
      </c>
      <c r="H1121" s="2">
        <v>5</v>
      </c>
      <c r="I1121" s="2">
        <v>205</v>
      </c>
      <c r="J1121" s="5">
        <v>174250</v>
      </c>
      <c r="K1121" s="5">
        <v>67957.5</v>
      </c>
    </row>
    <row r="1122" spans="1:11" x14ac:dyDescent="0.25">
      <c r="A1122" s="2">
        <v>11121</v>
      </c>
      <c r="B1122" s="2">
        <f t="shared" si="17"/>
        <v>2022</v>
      </c>
      <c r="C1122" s="3">
        <v>44562</v>
      </c>
      <c r="D1122" s="4">
        <v>44586</v>
      </c>
      <c r="E1122" s="2" t="s">
        <v>25</v>
      </c>
      <c r="F1122" s="2" t="s">
        <v>12</v>
      </c>
      <c r="G1122" s="2" t="s">
        <v>13</v>
      </c>
      <c r="H1122" s="2">
        <v>26</v>
      </c>
      <c r="I1122" s="2">
        <v>335</v>
      </c>
      <c r="J1122" s="5">
        <v>251250</v>
      </c>
      <c r="K1122" s="5">
        <v>82912.5</v>
      </c>
    </row>
    <row r="1123" spans="1:11" x14ac:dyDescent="0.25">
      <c r="A1123" s="2">
        <v>11122</v>
      </c>
      <c r="B1123" s="2">
        <f t="shared" si="17"/>
        <v>2022</v>
      </c>
      <c r="C1123" s="3">
        <v>44562</v>
      </c>
      <c r="D1123" s="4">
        <v>44587</v>
      </c>
      <c r="E1123" s="2" t="s">
        <v>25</v>
      </c>
      <c r="F1123" s="2" t="s">
        <v>16</v>
      </c>
      <c r="G1123" s="2" t="s">
        <v>13</v>
      </c>
      <c r="H1123" s="2">
        <v>27</v>
      </c>
      <c r="I1123" s="2">
        <v>349</v>
      </c>
      <c r="J1123" s="5">
        <v>261750</v>
      </c>
      <c r="K1123" s="5">
        <v>88995</v>
      </c>
    </row>
    <row r="1124" spans="1:11" x14ac:dyDescent="0.25">
      <c r="A1124" s="2">
        <v>11123</v>
      </c>
      <c r="B1124" s="2">
        <f t="shared" si="17"/>
        <v>2022</v>
      </c>
      <c r="C1124" s="3">
        <v>44562</v>
      </c>
      <c r="D1124" s="4">
        <v>44588</v>
      </c>
      <c r="E1124" s="2" t="s">
        <v>25</v>
      </c>
      <c r="F1124" s="2" t="s">
        <v>18</v>
      </c>
      <c r="G1124" s="2" t="s">
        <v>15</v>
      </c>
      <c r="H1124" s="2">
        <v>14</v>
      </c>
      <c r="I1124" s="2">
        <v>222</v>
      </c>
      <c r="J1124" s="5">
        <v>111000</v>
      </c>
      <c r="K1124" s="5">
        <v>47730</v>
      </c>
    </row>
    <row r="1125" spans="1:11" x14ac:dyDescent="0.25">
      <c r="A1125" s="2">
        <v>11124</v>
      </c>
      <c r="B1125" s="2">
        <f t="shared" si="17"/>
        <v>2022</v>
      </c>
      <c r="C1125" s="3">
        <v>44562</v>
      </c>
      <c r="D1125" s="4">
        <v>44589</v>
      </c>
      <c r="E1125" s="2" t="s">
        <v>22</v>
      </c>
      <c r="F1125" s="2" t="s">
        <v>16</v>
      </c>
      <c r="G1125" s="2" t="s">
        <v>15</v>
      </c>
      <c r="H1125" s="2">
        <v>31</v>
      </c>
      <c r="I1125" s="2">
        <v>395</v>
      </c>
      <c r="J1125" s="5">
        <v>197500</v>
      </c>
      <c r="K1125" s="5">
        <v>21725</v>
      </c>
    </row>
    <row r="1126" spans="1:11" x14ac:dyDescent="0.25">
      <c r="A1126" s="2">
        <v>11125</v>
      </c>
      <c r="B1126" s="2">
        <f t="shared" si="17"/>
        <v>2022</v>
      </c>
      <c r="C1126" s="3">
        <v>44562</v>
      </c>
      <c r="D1126" s="4">
        <v>44590</v>
      </c>
      <c r="E1126" s="2" t="s">
        <v>14</v>
      </c>
      <c r="F1126" s="2" t="s">
        <v>24</v>
      </c>
      <c r="G1126" s="2" t="s">
        <v>20</v>
      </c>
      <c r="H1126" s="2">
        <v>12</v>
      </c>
      <c r="I1126" s="2">
        <v>342</v>
      </c>
      <c r="J1126" s="5">
        <v>290700</v>
      </c>
      <c r="K1126" s="5">
        <v>58140</v>
      </c>
    </row>
    <row r="1127" spans="1:11" x14ac:dyDescent="0.25">
      <c r="A1127" s="2">
        <v>11126</v>
      </c>
      <c r="B1127" s="2">
        <f t="shared" si="17"/>
        <v>2022</v>
      </c>
      <c r="C1127" s="3">
        <v>44562</v>
      </c>
      <c r="D1127" s="4">
        <v>44591</v>
      </c>
      <c r="E1127" s="2" t="s">
        <v>22</v>
      </c>
      <c r="F1127" s="2" t="s">
        <v>24</v>
      </c>
      <c r="G1127" s="2" t="s">
        <v>13</v>
      </c>
      <c r="H1127" s="2">
        <v>4</v>
      </c>
      <c r="I1127" s="2">
        <v>203</v>
      </c>
      <c r="J1127" s="5">
        <v>152250</v>
      </c>
      <c r="K1127" s="5">
        <v>36540</v>
      </c>
    </row>
    <row r="1128" spans="1:11" x14ac:dyDescent="0.25">
      <c r="A1128" s="2">
        <v>11127</v>
      </c>
      <c r="B1128" s="2">
        <f t="shared" si="17"/>
        <v>2022</v>
      </c>
      <c r="C1128" s="3">
        <v>44562</v>
      </c>
      <c r="D1128" s="4">
        <v>44592</v>
      </c>
      <c r="E1128" s="2" t="s">
        <v>19</v>
      </c>
      <c r="F1128" s="2" t="s">
        <v>21</v>
      </c>
      <c r="G1128" s="2" t="s">
        <v>17</v>
      </c>
      <c r="H1128" s="2">
        <v>38</v>
      </c>
      <c r="I1128" s="2">
        <v>387</v>
      </c>
      <c r="J1128" s="5">
        <v>96750</v>
      </c>
      <c r="K1128" s="5">
        <v>22252.5</v>
      </c>
    </row>
    <row r="1129" spans="1:11" x14ac:dyDescent="0.25">
      <c r="A1129" s="2">
        <v>11128</v>
      </c>
      <c r="B1129" s="2">
        <f t="shared" si="17"/>
        <v>2022</v>
      </c>
      <c r="C1129" s="3">
        <v>44593</v>
      </c>
      <c r="D1129" s="4">
        <v>44593</v>
      </c>
      <c r="E1129" s="2" t="s">
        <v>11</v>
      </c>
      <c r="F1129" s="2" t="s">
        <v>12</v>
      </c>
      <c r="G1129" s="2" t="s">
        <v>13</v>
      </c>
      <c r="H1129" s="2">
        <v>38</v>
      </c>
      <c r="I1129" s="2">
        <v>466</v>
      </c>
      <c r="J1129" s="5">
        <v>349500</v>
      </c>
      <c r="K1129" s="5">
        <v>146790</v>
      </c>
    </row>
    <row r="1130" spans="1:11" x14ac:dyDescent="0.25">
      <c r="A1130" s="2">
        <v>11129</v>
      </c>
      <c r="B1130" s="2">
        <f t="shared" si="17"/>
        <v>2022</v>
      </c>
      <c r="C1130" s="3">
        <v>44593</v>
      </c>
      <c r="D1130" s="4">
        <v>44594</v>
      </c>
      <c r="E1130" s="2" t="s">
        <v>22</v>
      </c>
      <c r="F1130" s="2" t="s">
        <v>24</v>
      </c>
      <c r="G1130" s="2" t="s">
        <v>13</v>
      </c>
      <c r="H1130" s="2">
        <v>1</v>
      </c>
      <c r="I1130" s="2">
        <v>37</v>
      </c>
      <c r="J1130" s="5">
        <v>27750</v>
      </c>
      <c r="K1130" s="5">
        <v>7492.5000000000009</v>
      </c>
    </row>
    <row r="1131" spans="1:11" x14ac:dyDescent="0.25">
      <c r="A1131" s="2">
        <v>11130</v>
      </c>
      <c r="B1131" s="2">
        <f t="shared" si="17"/>
        <v>2022</v>
      </c>
      <c r="C1131" s="3">
        <v>44593</v>
      </c>
      <c r="D1131" s="4">
        <v>44595</v>
      </c>
      <c r="E1131" s="2" t="s">
        <v>22</v>
      </c>
      <c r="F1131" s="2" t="s">
        <v>12</v>
      </c>
      <c r="G1131" s="2" t="s">
        <v>13</v>
      </c>
      <c r="H1131" s="2">
        <v>17</v>
      </c>
      <c r="I1131" s="2">
        <v>423</v>
      </c>
      <c r="J1131" s="5">
        <v>317250</v>
      </c>
      <c r="K1131" s="5">
        <v>66622.5</v>
      </c>
    </row>
    <row r="1132" spans="1:11" x14ac:dyDescent="0.25">
      <c r="A1132" s="2">
        <v>11131</v>
      </c>
      <c r="B1132" s="2">
        <f t="shared" si="17"/>
        <v>2022</v>
      </c>
      <c r="C1132" s="3">
        <v>44593</v>
      </c>
      <c r="D1132" s="4">
        <v>44596</v>
      </c>
      <c r="E1132" s="2" t="s">
        <v>11</v>
      </c>
      <c r="F1132" s="2" t="s">
        <v>18</v>
      </c>
      <c r="G1132" s="2" t="s">
        <v>13</v>
      </c>
      <c r="H1132" s="2">
        <v>8</v>
      </c>
      <c r="I1132" s="2">
        <v>276</v>
      </c>
      <c r="J1132" s="5">
        <v>207000</v>
      </c>
      <c r="K1132" s="5">
        <v>26910</v>
      </c>
    </row>
    <row r="1133" spans="1:11" x14ac:dyDescent="0.25">
      <c r="A1133" s="2">
        <v>11132</v>
      </c>
      <c r="B1133" s="2">
        <f t="shared" si="17"/>
        <v>2022</v>
      </c>
      <c r="C1133" s="3">
        <v>44593</v>
      </c>
      <c r="D1133" s="4">
        <v>44597</v>
      </c>
      <c r="E1133" s="2" t="s">
        <v>22</v>
      </c>
      <c r="F1133" s="2" t="s">
        <v>16</v>
      </c>
      <c r="G1133" s="2" t="s">
        <v>23</v>
      </c>
      <c r="H1133" s="2">
        <v>25</v>
      </c>
      <c r="I1133" s="2">
        <v>484</v>
      </c>
      <c r="J1133" s="5">
        <v>169400</v>
      </c>
      <c r="K1133" s="5">
        <v>47432.000000000007</v>
      </c>
    </row>
    <row r="1134" spans="1:11" x14ac:dyDescent="0.25">
      <c r="A1134" s="2">
        <v>11133</v>
      </c>
      <c r="B1134" s="2">
        <f t="shared" si="17"/>
        <v>2022</v>
      </c>
      <c r="C1134" s="3">
        <v>44593</v>
      </c>
      <c r="D1134" s="4">
        <v>44598</v>
      </c>
      <c r="E1134" s="2" t="s">
        <v>22</v>
      </c>
      <c r="F1134" s="2" t="s">
        <v>18</v>
      </c>
      <c r="G1134" s="2" t="s">
        <v>17</v>
      </c>
      <c r="H1134" s="2">
        <v>6</v>
      </c>
      <c r="I1134" s="2">
        <v>178</v>
      </c>
      <c r="J1134" s="5">
        <v>44500</v>
      </c>
      <c r="K1134" s="5">
        <v>19135</v>
      </c>
    </row>
    <row r="1135" spans="1:11" x14ac:dyDescent="0.25">
      <c r="A1135" s="2">
        <v>11134</v>
      </c>
      <c r="B1135" s="2">
        <f t="shared" si="17"/>
        <v>2022</v>
      </c>
      <c r="C1135" s="3">
        <v>44593</v>
      </c>
      <c r="D1135" s="4">
        <v>44599</v>
      </c>
      <c r="E1135" s="2" t="s">
        <v>25</v>
      </c>
      <c r="F1135" s="2" t="s">
        <v>16</v>
      </c>
      <c r="G1135" s="2" t="s">
        <v>15</v>
      </c>
      <c r="H1135" s="2">
        <v>10</v>
      </c>
      <c r="I1135" s="2">
        <v>163</v>
      </c>
      <c r="J1135" s="5">
        <v>81500</v>
      </c>
      <c r="K1135" s="5">
        <v>36675</v>
      </c>
    </row>
    <row r="1136" spans="1:11" x14ac:dyDescent="0.25">
      <c r="A1136" s="2">
        <v>11135</v>
      </c>
      <c r="B1136" s="2">
        <f t="shared" si="17"/>
        <v>2022</v>
      </c>
      <c r="C1136" s="3">
        <v>44593</v>
      </c>
      <c r="D1136" s="4">
        <v>44600</v>
      </c>
      <c r="E1136" s="2" t="s">
        <v>25</v>
      </c>
      <c r="F1136" s="2" t="s">
        <v>24</v>
      </c>
      <c r="G1136" s="2" t="s">
        <v>13</v>
      </c>
      <c r="H1136" s="2">
        <v>6</v>
      </c>
      <c r="I1136" s="2">
        <v>86</v>
      </c>
      <c r="J1136" s="5">
        <v>64500</v>
      </c>
      <c r="K1136" s="5">
        <v>25155</v>
      </c>
    </row>
    <row r="1137" spans="1:11" x14ac:dyDescent="0.25">
      <c r="A1137" s="2">
        <v>11136</v>
      </c>
      <c r="B1137" s="2">
        <f t="shared" si="17"/>
        <v>2022</v>
      </c>
      <c r="C1137" s="3">
        <v>44593</v>
      </c>
      <c r="D1137" s="4">
        <v>44601</v>
      </c>
      <c r="E1137" s="2" t="s">
        <v>19</v>
      </c>
      <c r="F1137" s="2" t="s">
        <v>18</v>
      </c>
      <c r="G1137" s="2" t="s">
        <v>20</v>
      </c>
      <c r="H1137" s="2">
        <v>18</v>
      </c>
      <c r="I1137" s="2">
        <v>199</v>
      </c>
      <c r="J1137" s="5">
        <v>169150</v>
      </c>
      <c r="K1137" s="5">
        <v>50745</v>
      </c>
    </row>
    <row r="1138" spans="1:11" x14ac:dyDescent="0.25">
      <c r="A1138" s="2">
        <v>11137</v>
      </c>
      <c r="B1138" s="2">
        <f t="shared" si="17"/>
        <v>2022</v>
      </c>
      <c r="C1138" s="3">
        <v>44593</v>
      </c>
      <c r="D1138" s="4">
        <v>44602</v>
      </c>
      <c r="E1138" s="2" t="s">
        <v>19</v>
      </c>
      <c r="F1138" s="2" t="s">
        <v>18</v>
      </c>
      <c r="G1138" s="2" t="s">
        <v>15</v>
      </c>
      <c r="H1138" s="2">
        <v>9</v>
      </c>
      <c r="I1138" s="2">
        <v>113</v>
      </c>
      <c r="J1138" s="5">
        <v>56500</v>
      </c>
      <c r="K1138" s="5">
        <v>10170</v>
      </c>
    </row>
    <row r="1139" spans="1:11" x14ac:dyDescent="0.25">
      <c r="A1139" s="2">
        <v>11138</v>
      </c>
      <c r="B1139" s="2">
        <f t="shared" si="17"/>
        <v>2022</v>
      </c>
      <c r="C1139" s="3">
        <v>44593</v>
      </c>
      <c r="D1139" s="4">
        <v>44603</v>
      </c>
      <c r="E1139" s="2" t="s">
        <v>25</v>
      </c>
      <c r="F1139" s="2" t="s">
        <v>18</v>
      </c>
      <c r="G1139" s="2" t="s">
        <v>17</v>
      </c>
      <c r="H1139" s="2">
        <v>19</v>
      </c>
      <c r="I1139" s="2">
        <v>213</v>
      </c>
      <c r="J1139" s="5">
        <v>53250</v>
      </c>
      <c r="K1139" s="5">
        <v>21300</v>
      </c>
    </row>
    <row r="1140" spans="1:11" x14ac:dyDescent="0.25">
      <c r="A1140" s="2">
        <v>11139</v>
      </c>
      <c r="B1140" s="2">
        <f t="shared" si="17"/>
        <v>2022</v>
      </c>
      <c r="C1140" s="3">
        <v>44593</v>
      </c>
      <c r="D1140" s="4">
        <v>44604</v>
      </c>
      <c r="E1140" s="2" t="s">
        <v>22</v>
      </c>
      <c r="F1140" s="2" t="s">
        <v>18</v>
      </c>
      <c r="G1140" s="2" t="s">
        <v>20</v>
      </c>
      <c r="H1140" s="2">
        <v>10</v>
      </c>
      <c r="I1140" s="2">
        <v>195</v>
      </c>
      <c r="J1140" s="5">
        <v>165750</v>
      </c>
      <c r="K1140" s="5">
        <v>64642.5</v>
      </c>
    </row>
    <row r="1141" spans="1:11" x14ac:dyDescent="0.25">
      <c r="A1141" s="2">
        <v>11140</v>
      </c>
      <c r="B1141" s="2">
        <f t="shared" si="17"/>
        <v>2022</v>
      </c>
      <c r="C1141" s="3">
        <v>44593</v>
      </c>
      <c r="D1141" s="4">
        <v>44605</v>
      </c>
      <c r="E1141" s="2" t="s">
        <v>19</v>
      </c>
      <c r="F1141" s="2" t="s">
        <v>16</v>
      </c>
      <c r="G1141" s="2" t="s">
        <v>15</v>
      </c>
      <c r="H1141" s="2">
        <v>7</v>
      </c>
      <c r="I1141" s="2">
        <v>141</v>
      </c>
      <c r="J1141" s="5">
        <v>70500</v>
      </c>
      <c r="K1141" s="5">
        <v>9870.0000000000018</v>
      </c>
    </row>
    <row r="1142" spans="1:11" x14ac:dyDescent="0.25">
      <c r="A1142" s="2">
        <v>11141</v>
      </c>
      <c r="B1142" s="2">
        <f t="shared" si="17"/>
        <v>2022</v>
      </c>
      <c r="C1142" s="3">
        <v>44593</v>
      </c>
      <c r="D1142" s="4">
        <v>44606</v>
      </c>
      <c r="E1142" s="2" t="s">
        <v>11</v>
      </c>
      <c r="F1142" s="2" t="s">
        <v>21</v>
      </c>
      <c r="G1142" s="2" t="s">
        <v>17</v>
      </c>
      <c r="H1142" s="2">
        <v>49</v>
      </c>
      <c r="I1142" s="2">
        <v>493</v>
      </c>
      <c r="J1142" s="5">
        <v>123250</v>
      </c>
      <c r="K1142" s="5">
        <v>29580</v>
      </c>
    </row>
    <row r="1143" spans="1:11" x14ac:dyDescent="0.25">
      <c r="A1143" s="2">
        <v>11142</v>
      </c>
      <c r="B1143" s="2">
        <f t="shared" si="17"/>
        <v>2022</v>
      </c>
      <c r="C1143" s="3">
        <v>44593</v>
      </c>
      <c r="D1143" s="4">
        <v>44607</v>
      </c>
      <c r="E1143" s="2" t="s">
        <v>19</v>
      </c>
      <c r="F1143" s="2" t="s">
        <v>16</v>
      </c>
      <c r="G1143" s="2" t="s">
        <v>15</v>
      </c>
      <c r="H1143" s="2">
        <v>19</v>
      </c>
      <c r="I1143" s="2">
        <v>194</v>
      </c>
      <c r="J1143" s="5">
        <v>97000</v>
      </c>
      <c r="K1143" s="5">
        <v>17460</v>
      </c>
    </row>
    <row r="1144" spans="1:11" x14ac:dyDescent="0.25">
      <c r="A1144" s="2">
        <v>11143</v>
      </c>
      <c r="B1144" s="2">
        <f t="shared" si="17"/>
        <v>2022</v>
      </c>
      <c r="C1144" s="3">
        <v>44593</v>
      </c>
      <c r="D1144" s="4">
        <v>44608</v>
      </c>
      <c r="E1144" s="2" t="s">
        <v>22</v>
      </c>
      <c r="F1144" s="2" t="s">
        <v>16</v>
      </c>
      <c r="G1144" s="2" t="s">
        <v>15</v>
      </c>
      <c r="H1144" s="2">
        <v>18</v>
      </c>
      <c r="I1144" s="2">
        <v>432</v>
      </c>
      <c r="J1144" s="5">
        <v>216000</v>
      </c>
      <c r="K1144" s="5">
        <v>97200</v>
      </c>
    </row>
    <row r="1145" spans="1:11" x14ac:dyDescent="0.25">
      <c r="A1145" s="2">
        <v>11144</v>
      </c>
      <c r="B1145" s="2">
        <f t="shared" si="17"/>
        <v>2022</v>
      </c>
      <c r="C1145" s="3">
        <v>44593</v>
      </c>
      <c r="D1145" s="4">
        <v>44609</v>
      </c>
      <c r="E1145" s="2" t="s">
        <v>25</v>
      </c>
      <c r="F1145" s="2" t="s">
        <v>24</v>
      </c>
      <c r="G1145" s="2" t="s">
        <v>15</v>
      </c>
      <c r="H1145" s="2">
        <v>16</v>
      </c>
      <c r="I1145" s="2">
        <v>215</v>
      </c>
      <c r="J1145" s="5">
        <v>107500</v>
      </c>
      <c r="K1145" s="5">
        <v>36550</v>
      </c>
    </row>
    <row r="1146" spans="1:11" x14ac:dyDescent="0.25">
      <c r="A1146" s="2">
        <v>11145</v>
      </c>
      <c r="B1146" s="2">
        <f t="shared" si="17"/>
        <v>2022</v>
      </c>
      <c r="C1146" s="3">
        <v>44593</v>
      </c>
      <c r="D1146" s="4">
        <v>44610</v>
      </c>
      <c r="E1146" s="2" t="s">
        <v>22</v>
      </c>
      <c r="F1146" s="2" t="s">
        <v>12</v>
      </c>
      <c r="G1146" s="2" t="s">
        <v>17</v>
      </c>
      <c r="H1146" s="2">
        <v>21</v>
      </c>
      <c r="I1146" s="2">
        <v>301</v>
      </c>
      <c r="J1146" s="5">
        <v>75250</v>
      </c>
      <c r="K1146" s="5">
        <v>27842.5</v>
      </c>
    </row>
    <row r="1147" spans="1:11" x14ac:dyDescent="0.25">
      <c r="A1147" s="2">
        <v>11146</v>
      </c>
      <c r="B1147" s="2">
        <f t="shared" si="17"/>
        <v>2022</v>
      </c>
      <c r="C1147" s="3">
        <v>44593</v>
      </c>
      <c r="D1147" s="4">
        <v>44611</v>
      </c>
      <c r="E1147" s="2" t="s">
        <v>14</v>
      </c>
      <c r="F1147" s="2" t="s">
        <v>21</v>
      </c>
      <c r="G1147" s="2" t="s">
        <v>20</v>
      </c>
      <c r="H1147" s="2">
        <v>13</v>
      </c>
      <c r="I1147" s="2">
        <v>132</v>
      </c>
      <c r="J1147" s="5">
        <v>112200</v>
      </c>
      <c r="K1147" s="5">
        <v>19074</v>
      </c>
    </row>
    <row r="1148" spans="1:11" x14ac:dyDescent="0.25">
      <c r="A1148" s="2">
        <v>11147</v>
      </c>
      <c r="B1148" s="2">
        <f t="shared" si="17"/>
        <v>2022</v>
      </c>
      <c r="C1148" s="3">
        <v>44593</v>
      </c>
      <c r="D1148" s="4">
        <v>44612</v>
      </c>
      <c r="E1148" s="2" t="s">
        <v>25</v>
      </c>
      <c r="F1148" s="2" t="s">
        <v>24</v>
      </c>
      <c r="G1148" s="2" t="s">
        <v>15</v>
      </c>
      <c r="H1148" s="2">
        <v>2</v>
      </c>
      <c r="I1148" s="2">
        <v>26</v>
      </c>
      <c r="J1148" s="5">
        <v>13000</v>
      </c>
      <c r="K1148" s="5">
        <v>1430</v>
      </c>
    </row>
    <row r="1149" spans="1:11" x14ac:dyDescent="0.25">
      <c r="A1149" s="2">
        <v>11148</v>
      </c>
      <c r="B1149" s="2">
        <f t="shared" si="17"/>
        <v>2022</v>
      </c>
      <c r="C1149" s="3">
        <v>44593</v>
      </c>
      <c r="D1149" s="4">
        <v>44613</v>
      </c>
      <c r="E1149" s="2" t="s">
        <v>11</v>
      </c>
      <c r="F1149" s="2" t="s">
        <v>18</v>
      </c>
      <c r="G1149" s="2" t="s">
        <v>23</v>
      </c>
      <c r="H1149" s="2">
        <v>1</v>
      </c>
      <c r="I1149" s="2">
        <v>89</v>
      </c>
      <c r="J1149" s="5">
        <v>31150</v>
      </c>
      <c r="K1149" s="5">
        <v>11525.5</v>
      </c>
    </row>
    <row r="1150" spans="1:11" x14ac:dyDescent="0.25">
      <c r="A1150" s="2">
        <v>11149</v>
      </c>
      <c r="B1150" s="2">
        <f t="shared" si="17"/>
        <v>2022</v>
      </c>
      <c r="C1150" s="3">
        <v>44593</v>
      </c>
      <c r="D1150" s="4">
        <v>44614</v>
      </c>
      <c r="E1150" s="2" t="s">
        <v>19</v>
      </c>
      <c r="F1150" s="2" t="s">
        <v>16</v>
      </c>
      <c r="G1150" s="2" t="s">
        <v>23</v>
      </c>
      <c r="H1150" s="2">
        <v>36</v>
      </c>
      <c r="I1150" s="2">
        <v>433</v>
      </c>
      <c r="J1150" s="5">
        <v>151550</v>
      </c>
      <c r="K1150" s="5">
        <v>16670.5</v>
      </c>
    </row>
    <row r="1151" spans="1:11" x14ac:dyDescent="0.25">
      <c r="A1151" s="2">
        <v>11150</v>
      </c>
      <c r="B1151" s="2">
        <f t="shared" si="17"/>
        <v>2022</v>
      </c>
      <c r="C1151" s="3">
        <v>44593</v>
      </c>
      <c r="D1151" s="4">
        <v>44615</v>
      </c>
      <c r="E1151" s="2" t="s">
        <v>11</v>
      </c>
      <c r="F1151" s="2" t="s">
        <v>16</v>
      </c>
      <c r="G1151" s="2" t="s">
        <v>13</v>
      </c>
      <c r="H1151" s="2">
        <v>5</v>
      </c>
      <c r="I1151" s="2">
        <v>85</v>
      </c>
      <c r="J1151" s="5">
        <v>63750</v>
      </c>
      <c r="K1151" s="5">
        <v>7012.5</v>
      </c>
    </row>
    <row r="1152" spans="1:11" x14ac:dyDescent="0.25">
      <c r="A1152" s="2">
        <v>11151</v>
      </c>
      <c r="B1152" s="2">
        <f t="shared" si="17"/>
        <v>2022</v>
      </c>
      <c r="C1152" s="3">
        <v>44593</v>
      </c>
      <c r="D1152" s="4">
        <v>44616</v>
      </c>
      <c r="E1152" s="2" t="s">
        <v>19</v>
      </c>
      <c r="F1152" s="2" t="s">
        <v>24</v>
      </c>
      <c r="G1152" s="2" t="s">
        <v>15</v>
      </c>
      <c r="H1152" s="2">
        <v>11</v>
      </c>
      <c r="I1152" s="2">
        <v>227</v>
      </c>
      <c r="J1152" s="5">
        <v>113500</v>
      </c>
      <c r="K1152" s="5">
        <v>22700</v>
      </c>
    </row>
    <row r="1153" spans="1:11" x14ac:dyDescent="0.25">
      <c r="A1153" s="2">
        <v>11152</v>
      </c>
      <c r="B1153" s="2">
        <f t="shared" si="17"/>
        <v>2022</v>
      </c>
      <c r="C1153" s="3">
        <v>44593</v>
      </c>
      <c r="D1153" s="4">
        <v>44617</v>
      </c>
      <c r="E1153" s="2" t="s">
        <v>19</v>
      </c>
      <c r="F1153" s="2" t="s">
        <v>16</v>
      </c>
      <c r="G1153" s="2" t="s">
        <v>15</v>
      </c>
      <c r="H1153" s="2">
        <v>16</v>
      </c>
      <c r="I1153" s="2">
        <v>267</v>
      </c>
      <c r="J1153" s="5">
        <v>133500</v>
      </c>
      <c r="K1153" s="5">
        <v>20025</v>
      </c>
    </row>
    <row r="1154" spans="1:11" x14ac:dyDescent="0.25">
      <c r="A1154" s="2">
        <v>11153</v>
      </c>
      <c r="B1154" s="2">
        <f t="shared" si="17"/>
        <v>2022</v>
      </c>
      <c r="C1154" s="3">
        <v>44593</v>
      </c>
      <c r="D1154" s="4">
        <v>44618</v>
      </c>
      <c r="E1154" s="2" t="s">
        <v>25</v>
      </c>
      <c r="F1154" s="2" t="s">
        <v>24</v>
      </c>
      <c r="G1154" s="2" t="s">
        <v>20</v>
      </c>
      <c r="H1154" s="2">
        <v>3</v>
      </c>
      <c r="I1154" s="2">
        <v>30</v>
      </c>
      <c r="J1154" s="5">
        <v>25500</v>
      </c>
      <c r="K1154" s="5">
        <v>3825</v>
      </c>
    </row>
    <row r="1155" spans="1:11" x14ac:dyDescent="0.25">
      <c r="A1155" s="2">
        <v>11154</v>
      </c>
      <c r="B1155" s="2">
        <f t="shared" ref="B1155:B1218" si="18">YEAR(C1155)</f>
        <v>2022</v>
      </c>
      <c r="C1155" s="3">
        <v>44593</v>
      </c>
      <c r="D1155" s="4">
        <v>44619</v>
      </c>
      <c r="E1155" s="2" t="s">
        <v>14</v>
      </c>
      <c r="F1155" s="2" t="s">
        <v>21</v>
      </c>
      <c r="G1155" s="2" t="s">
        <v>23</v>
      </c>
      <c r="H1155" s="2">
        <v>12</v>
      </c>
      <c r="I1155" s="2">
        <v>334</v>
      </c>
      <c r="J1155" s="5">
        <v>116900</v>
      </c>
      <c r="K1155" s="5">
        <v>24549</v>
      </c>
    </row>
    <row r="1156" spans="1:11" x14ac:dyDescent="0.25">
      <c r="A1156" s="2">
        <v>11155</v>
      </c>
      <c r="B1156" s="2">
        <f t="shared" si="18"/>
        <v>2022</v>
      </c>
      <c r="C1156" s="3">
        <v>44593</v>
      </c>
      <c r="D1156" s="4">
        <v>44620</v>
      </c>
      <c r="E1156" s="2" t="s">
        <v>19</v>
      </c>
      <c r="F1156" s="2" t="s">
        <v>21</v>
      </c>
      <c r="G1156" s="2" t="s">
        <v>15</v>
      </c>
      <c r="H1156" s="2">
        <v>34</v>
      </c>
      <c r="I1156" s="2">
        <v>472</v>
      </c>
      <c r="J1156" s="5">
        <v>236000</v>
      </c>
      <c r="K1156" s="5">
        <v>47200</v>
      </c>
    </row>
    <row r="1157" spans="1:11" x14ac:dyDescent="0.25">
      <c r="A1157" s="2">
        <v>11156</v>
      </c>
      <c r="B1157" s="2">
        <f t="shared" si="18"/>
        <v>2022</v>
      </c>
      <c r="C1157" s="3">
        <v>44621</v>
      </c>
      <c r="D1157" s="4">
        <v>44621</v>
      </c>
      <c r="E1157" s="2" t="s">
        <v>19</v>
      </c>
      <c r="F1157" s="2" t="s">
        <v>18</v>
      </c>
      <c r="G1157" s="2" t="s">
        <v>15</v>
      </c>
      <c r="H1157" s="2">
        <v>28</v>
      </c>
      <c r="I1157" s="2">
        <v>350</v>
      </c>
      <c r="J1157" s="5">
        <v>175000</v>
      </c>
      <c r="K1157" s="5">
        <v>73500</v>
      </c>
    </row>
    <row r="1158" spans="1:11" x14ac:dyDescent="0.25">
      <c r="A1158" s="2">
        <v>11157</v>
      </c>
      <c r="B1158" s="2">
        <f t="shared" si="18"/>
        <v>2022</v>
      </c>
      <c r="C1158" s="3">
        <v>44621</v>
      </c>
      <c r="D1158" s="4">
        <v>44622</v>
      </c>
      <c r="E1158" s="2" t="s">
        <v>11</v>
      </c>
      <c r="F1158" s="2" t="s">
        <v>21</v>
      </c>
      <c r="G1158" s="2" t="s">
        <v>13</v>
      </c>
      <c r="H1158" s="2">
        <v>32</v>
      </c>
      <c r="I1158" s="2">
        <v>483</v>
      </c>
      <c r="J1158" s="5">
        <v>362250</v>
      </c>
      <c r="K1158" s="5">
        <v>152145</v>
      </c>
    </row>
    <row r="1159" spans="1:11" x14ac:dyDescent="0.25">
      <c r="A1159" s="2">
        <v>11158</v>
      </c>
      <c r="B1159" s="2">
        <f t="shared" si="18"/>
        <v>2022</v>
      </c>
      <c r="C1159" s="3">
        <v>44621</v>
      </c>
      <c r="D1159" s="4">
        <v>44623</v>
      </c>
      <c r="E1159" s="2" t="s">
        <v>19</v>
      </c>
      <c r="F1159" s="2" t="s">
        <v>21</v>
      </c>
      <c r="G1159" s="2" t="s">
        <v>13</v>
      </c>
      <c r="H1159" s="2">
        <v>23</v>
      </c>
      <c r="I1159" s="2">
        <v>398</v>
      </c>
      <c r="J1159" s="5">
        <v>298500</v>
      </c>
      <c r="K1159" s="5">
        <v>56715</v>
      </c>
    </row>
    <row r="1160" spans="1:11" x14ac:dyDescent="0.25">
      <c r="A1160" s="2">
        <v>11159</v>
      </c>
      <c r="B1160" s="2">
        <f t="shared" si="18"/>
        <v>2022</v>
      </c>
      <c r="C1160" s="3">
        <v>44621</v>
      </c>
      <c r="D1160" s="4">
        <v>44624</v>
      </c>
      <c r="E1160" s="2" t="s">
        <v>11</v>
      </c>
      <c r="F1160" s="2" t="s">
        <v>18</v>
      </c>
      <c r="G1160" s="2" t="s">
        <v>23</v>
      </c>
      <c r="H1160" s="2">
        <v>28</v>
      </c>
      <c r="I1160" s="2">
        <v>495</v>
      </c>
      <c r="J1160" s="5">
        <v>173250</v>
      </c>
      <c r="K1160" s="5">
        <v>57172.5</v>
      </c>
    </row>
    <row r="1161" spans="1:11" x14ac:dyDescent="0.25">
      <c r="A1161" s="2">
        <v>11160</v>
      </c>
      <c r="B1161" s="2">
        <f t="shared" si="18"/>
        <v>2022</v>
      </c>
      <c r="C1161" s="3">
        <v>44621</v>
      </c>
      <c r="D1161" s="4">
        <v>44625</v>
      </c>
      <c r="E1161" s="2" t="s">
        <v>11</v>
      </c>
      <c r="F1161" s="2" t="s">
        <v>18</v>
      </c>
      <c r="G1161" s="2" t="s">
        <v>23</v>
      </c>
      <c r="H1161" s="2">
        <v>7</v>
      </c>
      <c r="I1161" s="2">
        <v>100</v>
      </c>
      <c r="J1161" s="5">
        <v>35000</v>
      </c>
      <c r="K1161" s="5">
        <v>4900.0000000000009</v>
      </c>
    </row>
    <row r="1162" spans="1:11" x14ac:dyDescent="0.25">
      <c r="A1162" s="2">
        <v>11161</v>
      </c>
      <c r="B1162" s="2">
        <f t="shared" si="18"/>
        <v>2022</v>
      </c>
      <c r="C1162" s="3">
        <v>44621</v>
      </c>
      <c r="D1162" s="4">
        <v>44626</v>
      </c>
      <c r="E1162" s="2" t="s">
        <v>22</v>
      </c>
      <c r="F1162" s="2" t="s">
        <v>18</v>
      </c>
      <c r="G1162" s="2" t="s">
        <v>13</v>
      </c>
      <c r="H1162" s="2">
        <v>24</v>
      </c>
      <c r="I1162" s="2">
        <v>404</v>
      </c>
      <c r="J1162" s="5">
        <v>303000</v>
      </c>
      <c r="K1162" s="5">
        <v>39390</v>
      </c>
    </row>
    <row r="1163" spans="1:11" x14ac:dyDescent="0.25">
      <c r="A1163" s="2">
        <v>11162</v>
      </c>
      <c r="B1163" s="2">
        <f t="shared" si="18"/>
        <v>2022</v>
      </c>
      <c r="C1163" s="3">
        <v>44621</v>
      </c>
      <c r="D1163" s="4">
        <v>44627</v>
      </c>
      <c r="E1163" s="2" t="s">
        <v>19</v>
      </c>
      <c r="F1163" s="2" t="s">
        <v>24</v>
      </c>
      <c r="G1163" s="2" t="s">
        <v>15</v>
      </c>
      <c r="H1163" s="2">
        <v>13</v>
      </c>
      <c r="I1163" s="2">
        <v>423</v>
      </c>
      <c r="J1163" s="5">
        <v>211500</v>
      </c>
      <c r="K1163" s="5">
        <v>71910</v>
      </c>
    </row>
    <row r="1164" spans="1:11" x14ac:dyDescent="0.25">
      <c r="A1164" s="2">
        <v>11163</v>
      </c>
      <c r="B1164" s="2">
        <f t="shared" si="18"/>
        <v>2022</v>
      </c>
      <c r="C1164" s="3">
        <v>44621</v>
      </c>
      <c r="D1164" s="4">
        <v>44628</v>
      </c>
      <c r="E1164" s="2" t="s">
        <v>25</v>
      </c>
      <c r="F1164" s="2" t="s">
        <v>18</v>
      </c>
      <c r="G1164" s="2" t="s">
        <v>15</v>
      </c>
      <c r="H1164" s="2">
        <v>3</v>
      </c>
      <c r="I1164" s="2">
        <v>165</v>
      </c>
      <c r="J1164" s="5">
        <v>82500</v>
      </c>
      <c r="K1164" s="5">
        <v>9900</v>
      </c>
    </row>
    <row r="1165" spans="1:11" x14ac:dyDescent="0.25">
      <c r="A1165" s="2">
        <v>11164</v>
      </c>
      <c r="B1165" s="2">
        <f t="shared" si="18"/>
        <v>2022</v>
      </c>
      <c r="C1165" s="3">
        <v>44621</v>
      </c>
      <c r="D1165" s="4">
        <v>44629</v>
      </c>
      <c r="E1165" s="2" t="s">
        <v>19</v>
      </c>
      <c r="F1165" s="2" t="s">
        <v>12</v>
      </c>
      <c r="G1165" s="2" t="s">
        <v>17</v>
      </c>
      <c r="H1165" s="2">
        <v>20</v>
      </c>
      <c r="I1165" s="2">
        <v>409</v>
      </c>
      <c r="J1165" s="5">
        <v>102250</v>
      </c>
      <c r="K1165" s="5">
        <v>17382.5</v>
      </c>
    </row>
    <row r="1166" spans="1:11" x14ac:dyDescent="0.25">
      <c r="A1166" s="2">
        <v>11165</v>
      </c>
      <c r="B1166" s="2">
        <f t="shared" si="18"/>
        <v>2022</v>
      </c>
      <c r="C1166" s="3">
        <v>44621</v>
      </c>
      <c r="D1166" s="4">
        <v>44630</v>
      </c>
      <c r="E1166" s="2" t="s">
        <v>22</v>
      </c>
      <c r="F1166" s="2" t="s">
        <v>16</v>
      </c>
      <c r="G1166" s="2" t="s">
        <v>23</v>
      </c>
      <c r="H1166" s="2">
        <v>3</v>
      </c>
      <c r="I1166" s="2">
        <v>249</v>
      </c>
      <c r="J1166" s="5">
        <v>87150</v>
      </c>
      <c r="K1166" s="5">
        <v>18301.5</v>
      </c>
    </row>
    <row r="1167" spans="1:11" x14ac:dyDescent="0.25">
      <c r="A1167" s="2">
        <v>11166</v>
      </c>
      <c r="B1167" s="2">
        <f t="shared" si="18"/>
        <v>2022</v>
      </c>
      <c r="C1167" s="3">
        <v>44621</v>
      </c>
      <c r="D1167" s="4">
        <v>44631</v>
      </c>
      <c r="E1167" s="2" t="s">
        <v>25</v>
      </c>
      <c r="F1167" s="2" t="s">
        <v>12</v>
      </c>
      <c r="G1167" s="2" t="s">
        <v>13</v>
      </c>
      <c r="H1167" s="2">
        <v>27</v>
      </c>
      <c r="I1167" s="2">
        <v>405</v>
      </c>
      <c r="J1167" s="5">
        <v>303750</v>
      </c>
      <c r="K1167" s="5">
        <v>36450</v>
      </c>
    </row>
    <row r="1168" spans="1:11" x14ac:dyDescent="0.25">
      <c r="A1168" s="2">
        <v>11167</v>
      </c>
      <c r="B1168" s="2">
        <f t="shared" si="18"/>
        <v>2022</v>
      </c>
      <c r="C1168" s="3">
        <v>44621</v>
      </c>
      <c r="D1168" s="4">
        <v>44632</v>
      </c>
      <c r="E1168" s="2" t="s">
        <v>22</v>
      </c>
      <c r="F1168" s="2" t="s">
        <v>16</v>
      </c>
      <c r="G1168" s="2" t="s">
        <v>23</v>
      </c>
      <c r="H1168" s="2">
        <v>4</v>
      </c>
      <c r="I1168" s="2">
        <v>231</v>
      </c>
      <c r="J1168" s="5">
        <v>80850</v>
      </c>
      <c r="K1168" s="5">
        <v>13744.500000000002</v>
      </c>
    </row>
    <row r="1169" spans="1:11" x14ac:dyDescent="0.25">
      <c r="A1169" s="2">
        <v>11168</v>
      </c>
      <c r="B1169" s="2">
        <f t="shared" si="18"/>
        <v>2022</v>
      </c>
      <c r="C1169" s="3">
        <v>44621</v>
      </c>
      <c r="D1169" s="4">
        <v>44633</v>
      </c>
      <c r="E1169" s="2" t="s">
        <v>25</v>
      </c>
      <c r="F1169" s="2" t="s">
        <v>21</v>
      </c>
      <c r="G1169" s="2" t="s">
        <v>17</v>
      </c>
      <c r="H1169" s="2">
        <v>11</v>
      </c>
      <c r="I1169" s="2">
        <v>156</v>
      </c>
      <c r="J1169" s="5">
        <v>39000</v>
      </c>
      <c r="K1169" s="5">
        <v>15210</v>
      </c>
    </row>
    <row r="1170" spans="1:11" x14ac:dyDescent="0.25">
      <c r="A1170" s="2">
        <v>11169</v>
      </c>
      <c r="B1170" s="2">
        <f t="shared" si="18"/>
        <v>2022</v>
      </c>
      <c r="C1170" s="3">
        <v>44621</v>
      </c>
      <c r="D1170" s="4">
        <v>44634</v>
      </c>
      <c r="E1170" s="2" t="s">
        <v>14</v>
      </c>
      <c r="F1170" s="2" t="s">
        <v>18</v>
      </c>
      <c r="G1170" s="2" t="s">
        <v>20</v>
      </c>
      <c r="H1170" s="2">
        <v>19</v>
      </c>
      <c r="I1170" s="2">
        <v>207</v>
      </c>
      <c r="J1170" s="5">
        <v>175950</v>
      </c>
      <c r="K1170" s="5">
        <v>66861</v>
      </c>
    </row>
    <row r="1171" spans="1:11" x14ac:dyDescent="0.25">
      <c r="A1171" s="2">
        <v>11170</v>
      </c>
      <c r="B1171" s="2">
        <f t="shared" si="18"/>
        <v>2022</v>
      </c>
      <c r="C1171" s="3">
        <v>44621</v>
      </c>
      <c r="D1171" s="4">
        <v>44635</v>
      </c>
      <c r="E1171" s="2" t="s">
        <v>19</v>
      </c>
      <c r="F1171" s="2" t="s">
        <v>12</v>
      </c>
      <c r="G1171" s="2" t="s">
        <v>20</v>
      </c>
      <c r="H1171" s="2">
        <v>20</v>
      </c>
      <c r="I1171" s="2">
        <v>458</v>
      </c>
      <c r="J1171" s="5">
        <v>389300</v>
      </c>
      <c r="K1171" s="5">
        <v>140148</v>
      </c>
    </row>
    <row r="1172" spans="1:11" x14ac:dyDescent="0.25">
      <c r="A1172" s="2">
        <v>11171</v>
      </c>
      <c r="B1172" s="2">
        <f t="shared" si="18"/>
        <v>2022</v>
      </c>
      <c r="C1172" s="3">
        <v>44621</v>
      </c>
      <c r="D1172" s="4">
        <v>44636</v>
      </c>
      <c r="E1172" s="2" t="s">
        <v>19</v>
      </c>
      <c r="F1172" s="2" t="s">
        <v>24</v>
      </c>
      <c r="G1172" s="2" t="s">
        <v>13</v>
      </c>
      <c r="H1172" s="2">
        <v>7</v>
      </c>
      <c r="I1172" s="2">
        <v>426</v>
      </c>
      <c r="J1172" s="5">
        <v>319500</v>
      </c>
      <c r="K1172" s="5">
        <v>67095</v>
      </c>
    </row>
    <row r="1173" spans="1:11" x14ac:dyDescent="0.25">
      <c r="A1173" s="2">
        <v>11172</v>
      </c>
      <c r="B1173" s="2">
        <f t="shared" si="18"/>
        <v>2022</v>
      </c>
      <c r="C1173" s="3">
        <v>44621</v>
      </c>
      <c r="D1173" s="4">
        <v>44637</v>
      </c>
      <c r="E1173" s="2" t="s">
        <v>22</v>
      </c>
      <c r="F1173" s="2" t="s">
        <v>18</v>
      </c>
      <c r="G1173" s="2" t="s">
        <v>20</v>
      </c>
      <c r="H1173" s="2">
        <v>46</v>
      </c>
      <c r="I1173" s="2">
        <v>472</v>
      </c>
      <c r="J1173" s="5">
        <v>401200</v>
      </c>
      <c r="K1173" s="5">
        <v>152456</v>
      </c>
    </row>
    <row r="1174" spans="1:11" x14ac:dyDescent="0.25">
      <c r="A1174" s="2">
        <v>11173</v>
      </c>
      <c r="B1174" s="2">
        <f t="shared" si="18"/>
        <v>2022</v>
      </c>
      <c r="C1174" s="3">
        <v>44621</v>
      </c>
      <c r="D1174" s="4">
        <v>44638</v>
      </c>
      <c r="E1174" s="2" t="s">
        <v>11</v>
      </c>
      <c r="F1174" s="2" t="s">
        <v>12</v>
      </c>
      <c r="G1174" s="2" t="s">
        <v>23</v>
      </c>
      <c r="H1174" s="2">
        <v>1</v>
      </c>
      <c r="I1174" s="2">
        <v>36</v>
      </c>
      <c r="J1174" s="5">
        <v>12600</v>
      </c>
      <c r="K1174" s="5">
        <v>2646</v>
      </c>
    </row>
    <row r="1175" spans="1:11" x14ac:dyDescent="0.25">
      <c r="A1175" s="2">
        <v>11174</v>
      </c>
      <c r="B1175" s="2">
        <f t="shared" si="18"/>
        <v>2022</v>
      </c>
      <c r="C1175" s="3">
        <v>44621</v>
      </c>
      <c r="D1175" s="4">
        <v>44639</v>
      </c>
      <c r="E1175" s="2" t="s">
        <v>25</v>
      </c>
      <c r="F1175" s="2" t="s">
        <v>16</v>
      </c>
      <c r="G1175" s="2" t="s">
        <v>13</v>
      </c>
      <c r="H1175" s="2">
        <v>1</v>
      </c>
      <c r="I1175" s="2">
        <v>34</v>
      </c>
      <c r="J1175" s="5">
        <v>25500</v>
      </c>
      <c r="K1175" s="5">
        <v>9945</v>
      </c>
    </row>
    <row r="1176" spans="1:11" x14ac:dyDescent="0.25">
      <c r="A1176" s="2">
        <v>11175</v>
      </c>
      <c r="B1176" s="2">
        <f t="shared" si="18"/>
        <v>2022</v>
      </c>
      <c r="C1176" s="3">
        <v>44621</v>
      </c>
      <c r="D1176" s="4">
        <v>44640</v>
      </c>
      <c r="E1176" s="2" t="s">
        <v>19</v>
      </c>
      <c r="F1176" s="2" t="s">
        <v>18</v>
      </c>
      <c r="G1176" s="2" t="s">
        <v>23</v>
      </c>
      <c r="H1176" s="2">
        <v>23</v>
      </c>
      <c r="I1176" s="2">
        <v>284</v>
      </c>
      <c r="J1176" s="5">
        <v>99400</v>
      </c>
      <c r="K1176" s="5">
        <v>42742</v>
      </c>
    </row>
    <row r="1177" spans="1:11" x14ac:dyDescent="0.25">
      <c r="A1177" s="2">
        <v>11176</v>
      </c>
      <c r="B1177" s="2">
        <f t="shared" si="18"/>
        <v>2022</v>
      </c>
      <c r="C1177" s="3">
        <v>44621</v>
      </c>
      <c r="D1177" s="4">
        <v>44641</v>
      </c>
      <c r="E1177" s="2" t="s">
        <v>25</v>
      </c>
      <c r="F1177" s="2" t="s">
        <v>12</v>
      </c>
      <c r="G1177" s="2" t="s">
        <v>23</v>
      </c>
      <c r="H1177" s="2">
        <v>3</v>
      </c>
      <c r="I1177" s="2">
        <v>47</v>
      </c>
      <c r="J1177" s="5">
        <v>16450</v>
      </c>
      <c r="K1177" s="5">
        <v>2961</v>
      </c>
    </row>
    <row r="1178" spans="1:11" x14ac:dyDescent="0.25">
      <c r="A1178" s="2">
        <v>11177</v>
      </c>
      <c r="B1178" s="2">
        <f t="shared" si="18"/>
        <v>2022</v>
      </c>
      <c r="C1178" s="3">
        <v>44621</v>
      </c>
      <c r="D1178" s="4">
        <v>44642</v>
      </c>
      <c r="E1178" s="2" t="s">
        <v>19</v>
      </c>
      <c r="F1178" s="2" t="s">
        <v>12</v>
      </c>
      <c r="G1178" s="2" t="s">
        <v>23</v>
      </c>
      <c r="H1178" s="2">
        <v>7</v>
      </c>
      <c r="I1178" s="2">
        <v>341</v>
      </c>
      <c r="J1178" s="5">
        <v>119350</v>
      </c>
      <c r="K1178" s="5">
        <v>17902.5</v>
      </c>
    </row>
    <row r="1179" spans="1:11" x14ac:dyDescent="0.25">
      <c r="A1179" s="2">
        <v>11178</v>
      </c>
      <c r="B1179" s="2">
        <f t="shared" si="18"/>
        <v>2022</v>
      </c>
      <c r="C1179" s="3">
        <v>44621</v>
      </c>
      <c r="D1179" s="4">
        <v>44643</v>
      </c>
      <c r="E1179" s="2" t="s">
        <v>14</v>
      </c>
      <c r="F1179" s="2" t="s">
        <v>24</v>
      </c>
      <c r="G1179" s="2" t="s">
        <v>23</v>
      </c>
      <c r="H1179" s="2">
        <v>44</v>
      </c>
      <c r="I1179" s="2">
        <v>457</v>
      </c>
      <c r="J1179" s="5">
        <v>159950</v>
      </c>
      <c r="K1179" s="5">
        <v>19194</v>
      </c>
    </row>
    <row r="1180" spans="1:11" x14ac:dyDescent="0.25">
      <c r="A1180" s="2">
        <v>11179</v>
      </c>
      <c r="B1180" s="2">
        <f t="shared" si="18"/>
        <v>2022</v>
      </c>
      <c r="C1180" s="3">
        <v>44621</v>
      </c>
      <c r="D1180" s="4">
        <v>44644</v>
      </c>
      <c r="E1180" s="2" t="s">
        <v>14</v>
      </c>
      <c r="F1180" s="2" t="s">
        <v>18</v>
      </c>
      <c r="G1180" s="2" t="s">
        <v>13</v>
      </c>
      <c r="H1180" s="2">
        <v>6</v>
      </c>
      <c r="I1180" s="2">
        <v>80</v>
      </c>
      <c r="J1180" s="5">
        <v>60000</v>
      </c>
      <c r="K1180" s="5">
        <v>26400</v>
      </c>
    </row>
    <row r="1181" spans="1:11" x14ac:dyDescent="0.25">
      <c r="A1181" s="2">
        <v>11180</v>
      </c>
      <c r="B1181" s="2">
        <f t="shared" si="18"/>
        <v>2022</v>
      </c>
      <c r="C1181" s="3">
        <v>44621</v>
      </c>
      <c r="D1181" s="4">
        <v>44645</v>
      </c>
      <c r="E1181" s="2" t="s">
        <v>11</v>
      </c>
      <c r="F1181" s="2" t="s">
        <v>16</v>
      </c>
      <c r="G1181" s="2" t="s">
        <v>17</v>
      </c>
      <c r="H1181" s="2">
        <v>17</v>
      </c>
      <c r="I1181" s="2">
        <v>329</v>
      </c>
      <c r="J1181" s="5">
        <v>82250</v>
      </c>
      <c r="K1181" s="5">
        <v>30432.5</v>
      </c>
    </row>
    <row r="1182" spans="1:11" x14ac:dyDescent="0.25">
      <c r="A1182" s="2">
        <v>11181</v>
      </c>
      <c r="B1182" s="2">
        <f t="shared" si="18"/>
        <v>2022</v>
      </c>
      <c r="C1182" s="3">
        <v>44621</v>
      </c>
      <c r="D1182" s="4">
        <v>44646</v>
      </c>
      <c r="E1182" s="2" t="s">
        <v>25</v>
      </c>
      <c r="F1182" s="2" t="s">
        <v>18</v>
      </c>
      <c r="G1182" s="2" t="s">
        <v>23</v>
      </c>
      <c r="H1182" s="2">
        <v>7</v>
      </c>
      <c r="I1182" s="2">
        <v>109</v>
      </c>
      <c r="J1182" s="5">
        <v>38150</v>
      </c>
      <c r="K1182" s="5">
        <v>11063.5</v>
      </c>
    </row>
    <row r="1183" spans="1:11" x14ac:dyDescent="0.25">
      <c r="A1183" s="2">
        <v>11182</v>
      </c>
      <c r="B1183" s="2">
        <f t="shared" si="18"/>
        <v>2022</v>
      </c>
      <c r="C1183" s="3">
        <v>44621</v>
      </c>
      <c r="D1183" s="4">
        <v>44647</v>
      </c>
      <c r="E1183" s="2" t="s">
        <v>19</v>
      </c>
      <c r="F1183" s="2" t="s">
        <v>24</v>
      </c>
      <c r="G1183" s="2" t="s">
        <v>23</v>
      </c>
      <c r="H1183" s="2">
        <v>15</v>
      </c>
      <c r="I1183" s="2">
        <v>189</v>
      </c>
      <c r="J1183" s="5">
        <v>66150</v>
      </c>
      <c r="K1183" s="5">
        <v>6615</v>
      </c>
    </row>
    <row r="1184" spans="1:11" x14ac:dyDescent="0.25">
      <c r="A1184" s="2">
        <v>11183</v>
      </c>
      <c r="B1184" s="2">
        <f t="shared" si="18"/>
        <v>2022</v>
      </c>
      <c r="C1184" s="3">
        <v>44621</v>
      </c>
      <c r="D1184" s="4">
        <v>44648</v>
      </c>
      <c r="E1184" s="2" t="s">
        <v>14</v>
      </c>
      <c r="F1184" s="2" t="s">
        <v>12</v>
      </c>
      <c r="G1184" s="2" t="s">
        <v>13</v>
      </c>
      <c r="H1184" s="2">
        <v>1</v>
      </c>
      <c r="I1184" s="2">
        <v>38</v>
      </c>
      <c r="J1184" s="5">
        <v>28500</v>
      </c>
      <c r="K1184" s="5">
        <v>5700</v>
      </c>
    </row>
    <row r="1185" spans="1:11" x14ac:dyDescent="0.25">
      <c r="A1185" s="2">
        <v>11184</v>
      </c>
      <c r="B1185" s="2">
        <f t="shared" si="18"/>
        <v>2022</v>
      </c>
      <c r="C1185" s="3">
        <v>44621</v>
      </c>
      <c r="D1185" s="4">
        <v>44649</v>
      </c>
      <c r="E1185" s="2" t="s">
        <v>19</v>
      </c>
      <c r="F1185" s="2" t="s">
        <v>12</v>
      </c>
      <c r="G1185" s="2" t="s">
        <v>17</v>
      </c>
      <c r="H1185" s="2">
        <v>4</v>
      </c>
      <c r="I1185" s="2">
        <v>100</v>
      </c>
      <c r="J1185" s="5">
        <v>25000</v>
      </c>
      <c r="K1185" s="5">
        <v>8000</v>
      </c>
    </row>
    <row r="1186" spans="1:11" x14ac:dyDescent="0.25">
      <c r="A1186" s="2">
        <v>11185</v>
      </c>
      <c r="B1186" s="2">
        <f t="shared" si="18"/>
        <v>2022</v>
      </c>
      <c r="C1186" s="3">
        <v>44621</v>
      </c>
      <c r="D1186" s="4">
        <v>44650</v>
      </c>
      <c r="E1186" s="2" t="s">
        <v>14</v>
      </c>
      <c r="F1186" s="2" t="s">
        <v>12</v>
      </c>
      <c r="G1186" s="2" t="s">
        <v>23</v>
      </c>
      <c r="H1186" s="2">
        <v>9</v>
      </c>
      <c r="I1186" s="2">
        <v>200</v>
      </c>
      <c r="J1186" s="5">
        <v>70000</v>
      </c>
      <c r="K1186" s="5">
        <v>28000</v>
      </c>
    </row>
    <row r="1187" spans="1:11" x14ac:dyDescent="0.25">
      <c r="A1187" s="2">
        <v>11186</v>
      </c>
      <c r="B1187" s="2">
        <f t="shared" si="18"/>
        <v>2022</v>
      </c>
      <c r="C1187" s="3">
        <v>44621</v>
      </c>
      <c r="D1187" s="4">
        <v>44651</v>
      </c>
      <c r="E1187" s="2" t="s">
        <v>11</v>
      </c>
      <c r="F1187" s="2" t="s">
        <v>24</v>
      </c>
      <c r="G1187" s="2" t="s">
        <v>23</v>
      </c>
      <c r="H1187" s="2">
        <v>29</v>
      </c>
      <c r="I1187" s="2">
        <v>499</v>
      </c>
      <c r="J1187" s="5">
        <v>174650</v>
      </c>
      <c r="K1187" s="5">
        <v>69860</v>
      </c>
    </row>
    <row r="1188" spans="1:11" x14ac:dyDescent="0.25">
      <c r="A1188" s="2">
        <v>11187</v>
      </c>
      <c r="B1188" s="2">
        <f t="shared" si="18"/>
        <v>2022</v>
      </c>
      <c r="C1188" s="3">
        <v>44652</v>
      </c>
      <c r="D1188" s="4">
        <v>44652</v>
      </c>
      <c r="E1188" s="2" t="s">
        <v>22</v>
      </c>
      <c r="F1188" s="2" t="s">
        <v>12</v>
      </c>
      <c r="G1188" s="2" t="s">
        <v>20</v>
      </c>
      <c r="H1188" s="2">
        <v>2</v>
      </c>
      <c r="I1188" s="2">
        <v>128</v>
      </c>
      <c r="J1188" s="5">
        <v>108800</v>
      </c>
      <c r="K1188" s="5">
        <v>27200</v>
      </c>
    </row>
    <row r="1189" spans="1:11" x14ac:dyDescent="0.25">
      <c r="A1189" s="2">
        <v>11188</v>
      </c>
      <c r="B1189" s="2">
        <f t="shared" si="18"/>
        <v>2022</v>
      </c>
      <c r="C1189" s="3">
        <v>44652</v>
      </c>
      <c r="D1189" s="4">
        <v>44653</v>
      </c>
      <c r="E1189" s="2" t="s">
        <v>22</v>
      </c>
      <c r="F1189" s="2" t="s">
        <v>16</v>
      </c>
      <c r="G1189" s="2" t="s">
        <v>13</v>
      </c>
      <c r="H1189" s="2">
        <v>15</v>
      </c>
      <c r="I1189" s="2">
        <v>216</v>
      </c>
      <c r="J1189" s="5">
        <v>162000</v>
      </c>
      <c r="K1189" s="5">
        <v>24300</v>
      </c>
    </row>
    <row r="1190" spans="1:11" x14ac:dyDescent="0.25">
      <c r="A1190" s="2">
        <v>11189</v>
      </c>
      <c r="B1190" s="2">
        <f t="shared" si="18"/>
        <v>2022</v>
      </c>
      <c r="C1190" s="3">
        <v>44652</v>
      </c>
      <c r="D1190" s="4">
        <v>44654</v>
      </c>
      <c r="E1190" s="2" t="s">
        <v>19</v>
      </c>
      <c r="F1190" s="2" t="s">
        <v>18</v>
      </c>
      <c r="G1190" s="2" t="s">
        <v>23</v>
      </c>
      <c r="H1190" s="2">
        <v>15</v>
      </c>
      <c r="I1190" s="2">
        <v>382</v>
      </c>
      <c r="J1190" s="5">
        <v>133700</v>
      </c>
      <c r="K1190" s="5">
        <v>37436</v>
      </c>
    </row>
    <row r="1191" spans="1:11" x14ac:dyDescent="0.25">
      <c r="A1191" s="2">
        <v>11190</v>
      </c>
      <c r="B1191" s="2">
        <f t="shared" si="18"/>
        <v>2022</v>
      </c>
      <c r="C1191" s="3">
        <v>44652</v>
      </c>
      <c r="D1191" s="4">
        <v>44655</v>
      </c>
      <c r="E1191" s="2" t="s">
        <v>11</v>
      </c>
      <c r="F1191" s="2" t="s">
        <v>16</v>
      </c>
      <c r="G1191" s="2" t="s">
        <v>17</v>
      </c>
      <c r="H1191" s="2">
        <v>5</v>
      </c>
      <c r="I1191" s="2">
        <v>95</v>
      </c>
      <c r="J1191" s="5">
        <v>23750</v>
      </c>
      <c r="K1191" s="5">
        <v>7837.5</v>
      </c>
    </row>
    <row r="1192" spans="1:11" x14ac:dyDescent="0.25">
      <c r="A1192" s="2">
        <v>11191</v>
      </c>
      <c r="B1192" s="2">
        <f t="shared" si="18"/>
        <v>2022</v>
      </c>
      <c r="C1192" s="3">
        <v>44652</v>
      </c>
      <c r="D1192" s="4">
        <v>44656</v>
      </c>
      <c r="E1192" s="2" t="s">
        <v>25</v>
      </c>
      <c r="F1192" s="2" t="s">
        <v>24</v>
      </c>
      <c r="G1192" s="2" t="s">
        <v>17</v>
      </c>
      <c r="H1192" s="2">
        <v>3</v>
      </c>
      <c r="I1192" s="2">
        <v>36</v>
      </c>
      <c r="J1192" s="5">
        <v>9000</v>
      </c>
      <c r="K1192" s="5">
        <v>2790</v>
      </c>
    </row>
    <row r="1193" spans="1:11" x14ac:dyDescent="0.25">
      <c r="A1193" s="2">
        <v>11192</v>
      </c>
      <c r="B1193" s="2">
        <f t="shared" si="18"/>
        <v>2022</v>
      </c>
      <c r="C1193" s="3">
        <v>44652</v>
      </c>
      <c r="D1193" s="4">
        <v>44657</v>
      </c>
      <c r="E1193" s="2" t="s">
        <v>14</v>
      </c>
      <c r="F1193" s="2" t="s">
        <v>16</v>
      </c>
      <c r="G1193" s="2" t="s">
        <v>17</v>
      </c>
      <c r="H1193" s="2">
        <v>16</v>
      </c>
      <c r="I1193" s="2">
        <v>277</v>
      </c>
      <c r="J1193" s="5">
        <v>69250</v>
      </c>
      <c r="K1193" s="5">
        <v>20082.5</v>
      </c>
    </row>
    <row r="1194" spans="1:11" x14ac:dyDescent="0.25">
      <c r="A1194" s="2">
        <v>11193</v>
      </c>
      <c r="B1194" s="2">
        <f t="shared" si="18"/>
        <v>2022</v>
      </c>
      <c r="C1194" s="3">
        <v>44652</v>
      </c>
      <c r="D1194" s="4">
        <v>44658</v>
      </c>
      <c r="E1194" s="2" t="s">
        <v>19</v>
      </c>
      <c r="F1194" s="2" t="s">
        <v>12</v>
      </c>
      <c r="G1194" s="2" t="s">
        <v>20</v>
      </c>
      <c r="H1194" s="2">
        <v>4</v>
      </c>
      <c r="I1194" s="2">
        <v>207</v>
      </c>
      <c r="J1194" s="5">
        <v>175950</v>
      </c>
      <c r="K1194" s="5">
        <v>38709</v>
      </c>
    </row>
    <row r="1195" spans="1:11" x14ac:dyDescent="0.25">
      <c r="A1195" s="2">
        <v>11194</v>
      </c>
      <c r="B1195" s="2">
        <f t="shared" si="18"/>
        <v>2022</v>
      </c>
      <c r="C1195" s="3">
        <v>44652</v>
      </c>
      <c r="D1195" s="4">
        <v>44659</v>
      </c>
      <c r="E1195" s="2" t="s">
        <v>25</v>
      </c>
      <c r="F1195" s="2" t="s">
        <v>12</v>
      </c>
      <c r="G1195" s="2" t="s">
        <v>20</v>
      </c>
      <c r="H1195" s="2">
        <v>33</v>
      </c>
      <c r="I1195" s="2">
        <v>447</v>
      </c>
      <c r="J1195" s="5">
        <v>379950</v>
      </c>
      <c r="K1195" s="5">
        <v>72190.5</v>
      </c>
    </row>
    <row r="1196" spans="1:11" x14ac:dyDescent="0.25">
      <c r="A1196" s="2">
        <v>11195</v>
      </c>
      <c r="B1196" s="2">
        <f t="shared" si="18"/>
        <v>2022</v>
      </c>
      <c r="C1196" s="3">
        <v>44652</v>
      </c>
      <c r="D1196" s="4">
        <v>44660</v>
      </c>
      <c r="E1196" s="2" t="s">
        <v>25</v>
      </c>
      <c r="F1196" s="2" t="s">
        <v>24</v>
      </c>
      <c r="G1196" s="2" t="s">
        <v>13</v>
      </c>
      <c r="H1196" s="2">
        <v>30</v>
      </c>
      <c r="I1196" s="2">
        <v>468</v>
      </c>
      <c r="J1196" s="5">
        <v>351000</v>
      </c>
      <c r="K1196" s="5">
        <v>56160</v>
      </c>
    </row>
    <row r="1197" spans="1:11" x14ac:dyDescent="0.25">
      <c r="A1197" s="2">
        <v>11196</v>
      </c>
      <c r="B1197" s="2">
        <f t="shared" si="18"/>
        <v>2022</v>
      </c>
      <c r="C1197" s="3">
        <v>44652</v>
      </c>
      <c r="D1197" s="4">
        <v>44661</v>
      </c>
      <c r="E1197" s="2" t="s">
        <v>11</v>
      </c>
      <c r="F1197" s="2" t="s">
        <v>18</v>
      </c>
      <c r="G1197" s="2" t="s">
        <v>20</v>
      </c>
      <c r="H1197" s="2">
        <v>11</v>
      </c>
      <c r="I1197" s="2">
        <v>116</v>
      </c>
      <c r="J1197" s="5">
        <v>98600</v>
      </c>
      <c r="K1197" s="5">
        <v>28593.999999999996</v>
      </c>
    </row>
    <row r="1198" spans="1:11" x14ac:dyDescent="0.25">
      <c r="A1198" s="2">
        <v>11197</v>
      </c>
      <c r="B1198" s="2">
        <f t="shared" si="18"/>
        <v>2022</v>
      </c>
      <c r="C1198" s="3">
        <v>44652</v>
      </c>
      <c r="D1198" s="4">
        <v>44662</v>
      </c>
      <c r="E1198" s="2" t="s">
        <v>11</v>
      </c>
      <c r="F1198" s="2" t="s">
        <v>18</v>
      </c>
      <c r="G1198" s="2" t="s">
        <v>15</v>
      </c>
      <c r="H1198" s="2">
        <v>17</v>
      </c>
      <c r="I1198" s="2">
        <v>185</v>
      </c>
      <c r="J1198" s="5">
        <v>92500</v>
      </c>
      <c r="K1198" s="5">
        <v>22200</v>
      </c>
    </row>
    <row r="1199" spans="1:11" x14ac:dyDescent="0.25">
      <c r="A1199" s="2">
        <v>11198</v>
      </c>
      <c r="B1199" s="2">
        <f t="shared" si="18"/>
        <v>2022</v>
      </c>
      <c r="C1199" s="3">
        <v>44652</v>
      </c>
      <c r="D1199" s="4">
        <v>44663</v>
      </c>
      <c r="E1199" s="2" t="s">
        <v>14</v>
      </c>
      <c r="F1199" s="2" t="s">
        <v>16</v>
      </c>
      <c r="G1199" s="2" t="s">
        <v>20</v>
      </c>
      <c r="H1199" s="2">
        <v>34</v>
      </c>
      <c r="I1199" s="2">
        <v>379</v>
      </c>
      <c r="J1199" s="5">
        <v>322150</v>
      </c>
      <c r="K1199" s="5">
        <v>90202.000000000015</v>
      </c>
    </row>
    <row r="1200" spans="1:11" x14ac:dyDescent="0.25">
      <c r="A1200" s="2">
        <v>11199</v>
      </c>
      <c r="B1200" s="2">
        <f t="shared" si="18"/>
        <v>2022</v>
      </c>
      <c r="C1200" s="3">
        <v>44652</v>
      </c>
      <c r="D1200" s="4">
        <v>44664</v>
      </c>
      <c r="E1200" s="2" t="s">
        <v>25</v>
      </c>
      <c r="F1200" s="2" t="s">
        <v>12</v>
      </c>
      <c r="G1200" s="2" t="s">
        <v>15</v>
      </c>
      <c r="H1200" s="2">
        <v>43</v>
      </c>
      <c r="I1200" s="2">
        <v>453</v>
      </c>
      <c r="J1200" s="5">
        <v>226500</v>
      </c>
      <c r="K1200" s="5">
        <v>70215</v>
      </c>
    </row>
    <row r="1201" spans="1:11" x14ac:dyDescent="0.25">
      <c r="A1201" s="2">
        <v>11200</v>
      </c>
      <c r="B1201" s="2">
        <f t="shared" si="18"/>
        <v>2022</v>
      </c>
      <c r="C1201" s="3">
        <v>44652</v>
      </c>
      <c r="D1201" s="4">
        <v>44665</v>
      </c>
      <c r="E1201" s="2" t="s">
        <v>25</v>
      </c>
      <c r="F1201" s="2" t="s">
        <v>21</v>
      </c>
      <c r="G1201" s="2" t="s">
        <v>20</v>
      </c>
      <c r="H1201" s="2">
        <v>12</v>
      </c>
      <c r="I1201" s="2">
        <v>286</v>
      </c>
      <c r="J1201" s="5">
        <v>243100</v>
      </c>
      <c r="K1201" s="5">
        <v>63206</v>
      </c>
    </row>
    <row r="1202" spans="1:11" x14ac:dyDescent="0.25">
      <c r="A1202" s="2">
        <v>11201</v>
      </c>
      <c r="B1202" s="2">
        <f t="shared" si="18"/>
        <v>2022</v>
      </c>
      <c r="C1202" s="3">
        <v>44652</v>
      </c>
      <c r="D1202" s="4">
        <v>44666</v>
      </c>
      <c r="E1202" s="2" t="s">
        <v>14</v>
      </c>
      <c r="F1202" s="2" t="s">
        <v>12</v>
      </c>
      <c r="G1202" s="2" t="s">
        <v>15</v>
      </c>
      <c r="H1202" s="2">
        <v>17</v>
      </c>
      <c r="I1202" s="2">
        <v>198</v>
      </c>
      <c r="J1202" s="5">
        <v>99000</v>
      </c>
      <c r="K1202" s="5">
        <v>31680</v>
      </c>
    </row>
    <row r="1203" spans="1:11" x14ac:dyDescent="0.25">
      <c r="A1203" s="2">
        <v>11202</v>
      </c>
      <c r="B1203" s="2">
        <f t="shared" si="18"/>
        <v>2022</v>
      </c>
      <c r="C1203" s="3">
        <v>44652</v>
      </c>
      <c r="D1203" s="4">
        <v>44667</v>
      </c>
      <c r="E1203" s="2" t="s">
        <v>14</v>
      </c>
      <c r="F1203" s="2" t="s">
        <v>18</v>
      </c>
      <c r="G1203" s="2" t="s">
        <v>15</v>
      </c>
      <c r="H1203" s="2">
        <v>2</v>
      </c>
      <c r="I1203" s="2">
        <v>27</v>
      </c>
      <c r="J1203" s="5">
        <v>13500</v>
      </c>
      <c r="K1203" s="5">
        <v>2160</v>
      </c>
    </row>
    <row r="1204" spans="1:11" x14ac:dyDescent="0.25">
      <c r="A1204" s="2">
        <v>11203</v>
      </c>
      <c r="B1204" s="2">
        <f t="shared" si="18"/>
        <v>2022</v>
      </c>
      <c r="C1204" s="3">
        <v>44652</v>
      </c>
      <c r="D1204" s="4">
        <v>44668</v>
      </c>
      <c r="E1204" s="2" t="s">
        <v>14</v>
      </c>
      <c r="F1204" s="2" t="s">
        <v>21</v>
      </c>
      <c r="G1204" s="2" t="s">
        <v>20</v>
      </c>
      <c r="H1204" s="2">
        <v>40</v>
      </c>
      <c r="I1204" s="2">
        <v>464</v>
      </c>
      <c r="J1204" s="5">
        <v>394400</v>
      </c>
      <c r="K1204" s="5">
        <v>63104</v>
      </c>
    </row>
    <row r="1205" spans="1:11" x14ac:dyDescent="0.25">
      <c r="A1205" s="2">
        <v>11204</v>
      </c>
      <c r="B1205" s="2">
        <f t="shared" si="18"/>
        <v>2022</v>
      </c>
      <c r="C1205" s="3">
        <v>44652</v>
      </c>
      <c r="D1205" s="4">
        <v>44669</v>
      </c>
      <c r="E1205" s="2" t="s">
        <v>19</v>
      </c>
      <c r="F1205" s="2" t="s">
        <v>16</v>
      </c>
      <c r="G1205" s="2" t="s">
        <v>23</v>
      </c>
      <c r="H1205" s="2">
        <v>12</v>
      </c>
      <c r="I1205" s="2">
        <v>142</v>
      </c>
      <c r="J1205" s="5">
        <v>49700</v>
      </c>
      <c r="K1205" s="5">
        <v>7455</v>
      </c>
    </row>
    <row r="1206" spans="1:11" x14ac:dyDescent="0.25">
      <c r="A1206" s="2">
        <v>11205</v>
      </c>
      <c r="B1206" s="2">
        <f t="shared" si="18"/>
        <v>2022</v>
      </c>
      <c r="C1206" s="3">
        <v>44652</v>
      </c>
      <c r="D1206" s="4">
        <v>44670</v>
      </c>
      <c r="E1206" s="2" t="s">
        <v>25</v>
      </c>
      <c r="F1206" s="2" t="s">
        <v>21</v>
      </c>
      <c r="G1206" s="2" t="s">
        <v>13</v>
      </c>
      <c r="H1206" s="2">
        <v>2</v>
      </c>
      <c r="I1206" s="2">
        <v>53</v>
      </c>
      <c r="J1206" s="5">
        <v>39750</v>
      </c>
      <c r="K1206" s="5">
        <v>8745</v>
      </c>
    </row>
    <row r="1207" spans="1:11" x14ac:dyDescent="0.25">
      <c r="A1207" s="2">
        <v>11206</v>
      </c>
      <c r="B1207" s="2">
        <f t="shared" si="18"/>
        <v>2022</v>
      </c>
      <c r="C1207" s="3">
        <v>44652</v>
      </c>
      <c r="D1207" s="4">
        <v>44671</v>
      </c>
      <c r="E1207" s="2" t="s">
        <v>19</v>
      </c>
      <c r="F1207" s="2" t="s">
        <v>21</v>
      </c>
      <c r="G1207" s="2" t="s">
        <v>17</v>
      </c>
      <c r="H1207" s="2">
        <v>22</v>
      </c>
      <c r="I1207" s="2">
        <v>324</v>
      </c>
      <c r="J1207" s="5">
        <v>81000</v>
      </c>
      <c r="K1207" s="5">
        <v>20250</v>
      </c>
    </row>
    <row r="1208" spans="1:11" x14ac:dyDescent="0.25">
      <c r="A1208" s="2">
        <v>11207</v>
      </c>
      <c r="B1208" s="2">
        <f t="shared" si="18"/>
        <v>2022</v>
      </c>
      <c r="C1208" s="3">
        <v>44652</v>
      </c>
      <c r="D1208" s="4">
        <v>44672</v>
      </c>
      <c r="E1208" s="2" t="s">
        <v>25</v>
      </c>
      <c r="F1208" s="2" t="s">
        <v>24</v>
      </c>
      <c r="G1208" s="2" t="s">
        <v>17</v>
      </c>
      <c r="H1208" s="2">
        <v>25</v>
      </c>
      <c r="I1208" s="2">
        <v>485</v>
      </c>
      <c r="J1208" s="5">
        <v>121250</v>
      </c>
      <c r="K1208" s="5">
        <v>47287.5</v>
      </c>
    </row>
    <row r="1209" spans="1:11" x14ac:dyDescent="0.25">
      <c r="A1209" s="2">
        <v>11208</v>
      </c>
      <c r="B1209" s="2">
        <f t="shared" si="18"/>
        <v>2022</v>
      </c>
      <c r="C1209" s="3">
        <v>44652</v>
      </c>
      <c r="D1209" s="4">
        <v>44673</v>
      </c>
      <c r="E1209" s="2" t="s">
        <v>25</v>
      </c>
      <c r="F1209" s="2" t="s">
        <v>12</v>
      </c>
      <c r="G1209" s="2" t="s">
        <v>23</v>
      </c>
      <c r="H1209" s="2">
        <v>5</v>
      </c>
      <c r="I1209" s="2">
        <v>245</v>
      </c>
      <c r="J1209" s="5">
        <v>85750</v>
      </c>
      <c r="K1209" s="5">
        <v>19722.5</v>
      </c>
    </row>
    <row r="1210" spans="1:11" x14ac:dyDescent="0.25">
      <c r="A1210" s="2">
        <v>11209</v>
      </c>
      <c r="B1210" s="2">
        <f t="shared" si="18"/>
        <v>2022</v>
      </c>
      <c r="C1210" s="3">
        <v>44652</v>
      </c>
      <c r="D1210" s="4">
        <v>44674</v>
      </c>
      <c r="E1210" s="2" t="s">
        <v>22</v>
      </c>
      <c r="F1210" s="2" t="s">
        <v>24</v>
      </c>
      <c r="G1210" s="2" t="s">
        <v>17</v>
      </c>
      <c r="H1210" s="2">
        <v>6</v>
      </c>
      <c r="I1210" s="2">
        <v>185</v>
      </c>
      <c r="J1210" s="5">
        <v>46250</v>
      </c>
      <c r="K1210" s="5">
        <v>14800</v>
      </c>
    </row>
    <row r="1211" spans="1:11" x14ac:dyDescent="0.25">
      <c r="A1211" s="2">
        <v>11210</v>
      </c>
      <c r="B1211" s="2">
        <f t="shared" si="18"/>
        <v>2022</v>
      </c>
      <c r="C1211" s="3">
        <v>44652</v>
      </c>
      <c r="D1211" s="4">
        <v>44675</v>
      </c>
      <c r="E1211" s="2" t="s">
        <v>25</v>
      </c>
      <c r="F1211" s="2" t="s">
        <v>16</v>
      </c>
      <c r="G1211" s="2" t="s">
        <v>17</v>
      </c>
      <c r="H1211" s="2">
        <v>21</v>
      </c>
      <c r="I1211" s="2">
        <v>399</v>
      </c>
      <c r="J1211" s="5">
        <v>99750</v>
      </c>
      <c r="K1211" s="5">
        <v>18952.5</v>
      </c>
    </row>
    <row r="1212" spans="1:11" x14ac:dyDescent="0.25">
      <c r="A1212" s="2">
        <v>11211</v>
      </c>
      <c r="B1212" s="2">
        <f t="shared" si="18"/>
        <v>2022</v>
      </c>
      <c r="C1212" s="3">
        <v>44652</v>
      </c>
      <c r="D1212" s="4">
        <v>44676</v>
      </c>
      <c r="E1212" s="2" t="s">
        <v>19</v>
      </c>
      <c r="F1212" s="2" t="s">
        <v>12</v>
      </c>
      <c r="G1212" s="2" t="s">
        <v>20</v>
      </c>
      <c r="H1212" s="2">
        <v>25</v>
      </c>
      <c r="I1212" s="2">
        <v>335</v>
      </c>
      <c r="J1212" s="5">
        <v>284750</v>
      </c>
      <c r="K1212" s="5">
        <v>96815</v>
      </c>
    </row>
    <row r="1213" spans="1:11" x14ac:dyDescent="0.25">
      <c r="A1213" s="2">
        <v>11212</v>
      </c>
      <c r="B1213" s="2">
        <f t="shared" si="18"/>
        <v>2022</v>
      </c>
      <c r="C1213" s="3">
        <v>44652</v>
      </c>
      <c r="D1213" s="4">
        <v>44677</v>
      </c>
      <c r="E1213" s="2" t="s">
        <v>22</v>
      </c>
      <c r="F1213" s="2" t="s">
        <v>24</v>
      </c>
      <c r="G1213" s="2" t="s">
        <v>17</v>
      </c>
      <c r="H1213" s="2">
        <v>4</v>
      </c>
      <c r="I1213" s="2">
        <v>71</v>
      </c>
      <c r="J1213" s="5">
        <v>17750</v>
      </c>
      <c r="K1213" s="5">
        <v>4615</v>
      </c>
    </row>
    <row r="1214" spans="1:11" x14ac:dyDescent="0.25">
      <c r="A1214" s="2">
        <v>11213</v>
      </c>
      <c r="B1214" s="2">
        <f t="shared" si="18"/>
        <v>2022</v>
      </c>
      <c r="C1214" s="3">
        <v>44652</v>
      </c>
      <c r="D1214" s="4">
        <v>44678</v>
      </c>
      <c r="E1214" s="2" t="s">
        <v>25</v>
      </c>
      <c r="F1214" s="2" t="s">
        <v>18</v>
      </c>
      <c r="G1214" s="2" t="s">
        <v>17</v>
      </c>
      <c r="H1214" s="2">
        <v>16</v>
      </c>
      <c r="I1214" s="2">
        <v>405</v>
      </c>
      <c r="J1214" s="5">
        <v>101250</v>
      </c>
      <c r="K1214" s="5">
        <v>16200</v>
      </c>
    </row>
    <row r="1215" spans="1:11" x14ac:dyDescent="0.25">
      <c r="A1215" s="2">
        <v>11214</v>
      </c>
      <c r="B1215" s="2">
        <f t="shared" si="18"/>
        <v>2022</v>
      </c>
      <c r="C1215" s="3">
        <v>44652</v>
      </c>
      <c r="D1215" s="4">
        <v>44679</v>
      </c>
      <c r="E1215" s="2" t="s">
        <v>11</v>
      </c>
      <c r="F1215" s="2" t="s">
        <v>16</v>
      </c>
      <c r="G1215" s="2" t="s">
        <v>23</v>
      </c>
      <c r="H1215" s="2">
        <v>39</v>
      </c>
      <c r="I1215" s="2">
        <v>391</v>
      </c>
      <c r="J1215" s="5">
        <v>136850</v>
      </c>
      <c r="K1215" s="5">
        <v>31475.5</v>
      </c>
    </row>
    <row r="1216" spans="1:11" x14ac:dyDescent="0.25">
      <c r="A1216" s="2">
        <v>11215</v>
      </c>
      <c r="B1216" s="2">
        <f t="shared" si="18"/>
        <v>2022</v>
      </c>
      <c r="C1216" s="3">
        <v>44652</v>
      </c>
      <c r="D1216" s="4">
        <v>44680</v>
      </c>
      <c r="E1216" s="2" t="s">
        <v>19</v>
      </c>
      <c r="F1216" s="2" t="s">
        <v>18</v>
      </c>
      <c r="G1216" s="2" t="s">
        <v>15</v>
      </c>
      <c r="H1216" s="2">
        <v>9</v>
      </c>
      <c r="I1216" s="2">
        <v>90</v>
      </c>
      <c r="J1216" s="5">
        <v>45000</v>
      </c>
      <c r="K1216" s="5">
        <v>6300.0000000000009</v>
      </c>
    </row>
    <row r="1217" spans="1:11" x14ac:dyDescent="0.25">
      <c r="A1217" s="2">
        <v>11216</v>
      </c>
      <c r="B1217" s="2">
        <f t="shared" si="18"/>
        <v>2022</v>
      </c>
      <c r="C1217" s="3">
        <v>44652</v>
      </c>
      <c r="D1217" s="4">
        <v>44681</v>
      </c>
      <c r="E1217" s="2" t="s">
        <v>19</v>
      </c>
      <c r="F1217" s="2" t="s">
        <v>12</v>
      </c>
      <c r="G1217" s="2" t="s">
        <v>23</v>
      </c>
      <c r="H1217" s="2">
        <v>4</v>
      </c>
      <c r="I1217" s="2">
        <v>58</v>
      </c>
      <c r="J1217" s="5">
        <v>20300</v>
      </c>
      <c r="K1217" s="5">
        <v>2030</v>
      </c>
    </row>
    <row r="1218" spans="1:11" x14ac:dyDescent="0.25">
      <c r="A1218" s="2">
        <v>11217</v>
      </c>
      <c r="B1218" s="2">
        <f t="shared" si="18"/>
        <v>2022</v>
      </c>
      <c r="C1218" s="3">
        <v>44682</v>
      </c>
      <c r="D1218" s="4">
        <v>44682</v>
      </c>
      <c r="E1218" s="2" t="s">
        <v>25</v>
      </c>
      <c r="F1218" s="2" t="s">
        <v>16</v>
      </c>
      <c r="G1218" s="2" t="s">
        <v>20</v>
      </c>
      <c r="H1218" s="2">
        <v>37</v>
      </c>
      <c r="I1218" s="2">
        <v>490</v>
      </c>
      <c r="J1218" s="5">
        <v>416500</v>
      </c>
      <c r="K1218" s="5">
        <v>45815</v>
      </c>
    </row>
    <row r="1219" spans="1:11" x14ac:dyDescent="0.25">
      <c r="A1219" s="2">
        <v>11218</v>
      </c>
      <c r="B1219" s="2">
        <f t="shared" ref="B1219:B1282" si="19">YEAR(C1219)</f>
        <v>2022</v>
      </c>
      <c r="C1219" s="3">
        <v>44682</v>
      </c>
      <c r="D1219" s="4">
        <v>44683</v>
      </c>
      <c r="E1219" s="2" t="s">
        <v>14</v>
      </c>
      <c r="F1219" s="2" t="s">
        <v>21</v>
      </c>
      <c r="G1219" s="2" t="s">
        <v>20</v>
      </c>
      <c r="H1219" s="2">
        <v>21</v>
      </c>
      <c r="I1219" s="2">
        <v>445</v>
      </c>
      <c r="J1219" s="5">
        <v>378250</v>
      </c>
      <c r="K1219" s="5">
        <v>60520</v>
      </c>
    </row>
    <row r="1220" spans="1:11" x14ac:dyDescent="0.25">
      <c r="A1220" s="2">
        <v>11219</v>
      </c>
      <c r="B1220" s="2">
        <f t="shared" si="19"/>
        <v>2022</v>
      </c>
      <c r="C1220" s="3">
        <v>44682</v>
      </c>
      <c r="D1220" s="4">
        <v>44684</v>
      </c>
      <c r="E1220" s="2" t="s">
        <v>19</v>
      </c>
      <c r="F1220" s="2" t="s">
        <v>24</v>
      </c>
      <c r="G1220" s="2" t="s">
        <v>20</v>
      </c>
      <c r="H1220" s="2">
        <v>8</v>
      </c>
      <c r="I1220" s="2">
        <v>281</v>
      </c>
      <c r="J1220" s="5">
        <v>238850</v>
      </c>
      <c r="K1220" s="5">
        <v>105094</v>
      </c>
    </row>
    <row r="1221" spans="1:11" x14ac:dyDescent="0.25">
      <c r="A1221" s="2">
        <v>11220</v>
      </c>
      <c r="B1221" s="2">
        <f t="shared" si="19"/>
        <v>2022</v>
      </c>
      <c r="C1221" s="3">
        <v>44682</v>
      </c>
      <c r="D1221" s="4">
        <v>44685</v>
      </c>
      <c r="E1221" s="2" t="s">
        <v>19</v>
      </c>
      <c r="F1221" s="2" t="s">
        <v>21</v>
      </c>
      <c r="G1221" s="2" t="s">
        <v>17</v>
      </c>
      <c r="H1221" s="2">
        <v>32</v>
      </c>
      <c r="I1221" s="2">
        <v>321</v>
      </c>
      <c r="J1221" s="5">
        <v>80250</v>
      </c>
      <c r="K1221" s="5">
        <v>14445</v>
      </c>
    </row>
    <row r="1222" spans="1:11" x14ac:dyDescent="0.25">
      <c r="A1222" s="2">
        <v>11221</v>
      </c>
      <c r="B1222" s="2">
        <f t="shared" si="19"/>
        <v>2022</v>
      </c>
      <c r="C1222" s="3">
        <v>44682</v>
      </c>
      <c r="D1222" s="4">
        <v>44686</v>
      </c>
      <c r="E1222" s="2" t="s">
        <v>14</v>
      </c>
      <c r="F1222" s="2" t="s">
        <v>16</v>
      </c>
      <c r="G1222" s="2" t="s">
        <v>23</v>
      </c>
      <c r="H1222" s="2">
        <v>15</v>
      </c>
      <c r="I1222" s="2">
        <v>280</v>
      </c>
      <c r="J1222" s="5">
        <v>98000</v>
      </c>
      <c r="K1222" s="5">
        <v>18620</v>
      </c>
    </row>
    <row r="1223" spans="1:11" x14ac:dyDescent="0.25">
      <c r="A1223" s="2">
        <v>11222</v>
      </c>
      <c r="B1223" s="2">
        <f t="shared" si="19"/>
        <v>2022</v>
      </c>
      <c r="C1223" s="3">
        <v>44682</v>
      </c>
      <c r="D1223" s="4">
        <v>44687</v>
      </c>
      <c r="E1223" s="2" t="s">
        <v>19</v>
      </c>
      <c r="F1223" s="2" t="s">
        <v>12</v>
      </c>
      <c r="G1223" s="2" t="s">
        <v>13</v>
      </c>
      <c r="H1223" s="2">
        <v>17</v>
      </c>
      <c r="I1223" s="2">
        <v>217</v>
      </c>
      <c r="J1223" s="5">
        <v>162750</v>
      </c>
      <c r="K1223" s="5">
        <v>55335.000000000007</v>
      </c>
    </row>
    <row r="1224" spans="1:11" x14ac:dyDescent="0.25">
      <c r="A1224" s="2">
        <v>11223</v>
      </c>
      <c r="B1224" s="2">
        <f t="shared" si="19"/>
        <v>2022</v>
      </c>
      <c r="C1224" s="3">
        <v>44682</v>
      </c>
      <c r="D1224" s="4">
        <v>44688</v>
      </c>
      <c r="E1224" s="2" t="s">
        <v>19</v>
      </c>
      <c r="F1224" s="2" t="s">
        <v>18</v>
      </c>
      <c r="G1224" s="2" t="s">
        <v>13</v>
      </c>
      <c r="H1224" s="2">
        <v>3</v>
      </c>
      <c r="I1224" s="2">
        <v>152</v>
      </c>
      <c r="J1224" s="5">
        <v>114000</v>
      </c>
      <c r="K1224" s="5">
        <v>33060</v>
      </c>
    </row>
    <row r="1225" spans="1:11" x14ac:dyDescent="0.25">
      <c r="A1225" s="2">
        <v>11224</v>
      </c>
      <c r="B1225" s="2">
        <f t="shared" si="19"/>
        <v>2022</v>
      </c>
      <c r="C1225" s="3">
        <v>44682</v>
      </c>
      <c r="D1225" s="4">
        <v>44689</v>
      </c>
      <c r="E1225" s="2" t="s">
        <v>11</v>
      </c>
      <c r="F1225" s="2" t="s">
        <v>24</v>
      </c>
      <c r="G1225" s="2" t="s">
        <v>17</v>
      </c>
      <c r="H1225" s="2">
        <v>4</v>
      </c>
      <c r="I1225" s="2">
        <v>64</v>
      </c>
      <c r="J1225" s="5">
        <v>16000</v>
      </c>
      <c r="K1225" s="5">
        <v>2080</v>
      </c>
    </row>
    <row r="1226" spans="1:11" x14ac:dyDescent="0.25">
      <c r="A1226" s="2">
        <v>11225</v>
      </c>
      <c r="B1226" s="2">
        <f t="shared" si="19"/>
        <v>2022</v>
      </c>
      <c r="C1226" s="3">
        <v>44682</v>
      </c>
      <c r="D1226" s="4">
        <v>44690</v>
      </c>
      <c r="E1226" s="2" t="s">
        <v>14</v>
      </c>
      <c r="F1226" s="2" t="s">
        <v>24</v>
      </c>
      <c r="G1226" s="2" t="s">
        <v>17</v>
      </c>
      <c r="H1226" s="2">
        <v>7</v>
      </c>
      <c r="I1226" s="2">
        <v>308</v>
      </c>
      <c r="J1226" s="5">
        <v>77000</v>
      </c>
      <c r="K1226" s="5">
        <v>30800</v>
      </c>
    </row>
    <row r="1227" spans="1:11" x14ac:dyDescent="0.25">
      <c r="A1227" s="2">
        <v>11226</v>
      </c>
      <c r="B1227" s="2">
        <f t="shared" si="19"/>
        <v>2022</v>
      </c>
      <c r="C1227" s="3">
        <v>44682</v>
      </c>
      <c r="D1227" s="4">
        <v>44691</v>
      </c>
      <c r="E1227" s="2" t="s">
        <v>25</v>
      </c>
      <c r="F1227" s="2" t="s">
        <v>24</v>
      </c>
      <c r="G1227" s="2" t="s">
        <v>23</v>
      </c>
      <c r="H1227" s="2">
        <v>21</v>
      </c>
      <c r="I1227" s="2">
        <v>324</v>
      </c>
      <c r="J1227" s="5">
        <v>113400</v>
      </c>
      <c r="K1227" s="5">
        <v>31752.000000000004</v>
      </c>
    </row>
    <row r="1228" spans="1:11" x14ac:dyDescent="0.25">
      <c r="A1228" s="2">
        <v>11227</v>
      </c>
      <c r="B1228" s="2">
        <f t="shared" si="19"/>
        <v>2022</v>
      </c>
      <c r="C1228" s="3">
        <v>44682</v>
      </c>
      <c r="D1228" s="4">
        <v>44692</v>
      </c>
      <c r="E1228" s="2" t="s">
        <v>22</v>
      </c>
      <c r="F1228" s="2" t="s">
        <v>16</v>
      </c>
      <c r="G1228" s="2" t="s">
        <v>13</v>
      </c>
      <c r="H1228" s="2">
        <v>20</v>
      </c>
      <c r="I1228" s="2">
        <v>268</v>
      </c>
      <c r="J1228" s="5">
        <v>201000</v>
      </c>
      <c r="K1228" s="5">
        <v>44220</v>
      </c>
    </row>
    <row r="1229" spans="1:11" x14ac:dyDescent="0.25">
      <c r="A1229" s="2">
        <v>11228</v>
      </c>
      <c r="B1229" s="2">
        <f t="shared" si="19"/>
        <v>2022</v>
      </c>
      <c r="C1229" s="3">
        <v>44682</v>
      </c>
      <c r="D1229" s="4">
        <v>44693</v>
      </c>
      <c r="E1229" s="2" t="s">
        <v>19</v>
      </c>
      <c r="F1229" s="2" t="s">
        <v>12</v>
      </c>
      <c r="G1229" s="2" t="s">
        <v>13</v>
      </c>
      <c r="H1229" s="2">
        <v>2</v>
      </c>
      <c r="I1229" s="2">
        <v>34</v>
      </c>
      <c r="J1229" s="5">
        <v>25500</v>
      </c>
      <c r="K1229" s="5">
        <v>9945</v>
      </c>
    </row>
    <row r="1230" spans="1:11" x14ac:dyDescent="0.25">
      <c r="A1230" s="2">
        <v>11229</v>
      </c>
      <c r="B1230" s="2">
        <f t="shared" si="19"/>
        <v>2022</v>
      </c>
      <c r="C1230" s="3">
        <v>44682</v>
      </c>
      <c r="D1230" s="4">
        <v>44694</v>
      </c>
      <c r="E1230" s="2" t="s">
        <v>25</v>
      </c>
      <c r="F1230" s="2" t="s">
        <v>18</v>
      </c>
      <c r="G1230" s="2" t="s">
        <v>15</v>
      </c>
      <c r="H1230" s="2">
        <v>13</v>
      </c>
      <c r="I1230" s="2">
        <v>181</v>
      </c>
      <c r="J1230" s="5">
        <v>90500</v>
      </c>
      <c r="K1230" s="5">
        <v>33485</v>
      </c>
    </row>
    <row r="1231" spans="1:11" x14ac:dyDescent="0.25">
      <c r="A1231" s="2">
        <v>11230</v>
      </c>
      <c r="B1231" s="2">
        <f t="shared" si="19"/>
        <v>2022</v>
      </c>
      <c r="C1231" s="3">
        <v>44682</v>
      </c>
      <c r="D1231" s="4">
        <v>44695</v>
      </c>
      <c r="E1231" s="2" t="s">
        <v>19</v>
      </c>
      <c r="F1231" s="2" t="s">
        <v>16</v>
      </c>
      <c r="G1231" s="2" t="s">
        <v>17</v>
      </c>
      <c r="H1231" s="2">
        <v>4</v>
      </c>
      <c r="I1231" s="2">
        <v>135</v>
      </c>
      <c r="J1231" s="5">
        <v>33750</v>
      </c>
      <c r="K1231" s="5">
        <v>13162.5</v>
      </c>
    </row>
    <row r="1232" spans="1:11" x14ac:dyDescent="0.25">
      <c r="A1232" s="2">
        <v>11231</v>
      </c>
      <c r="B1232" s="2">
        <f t="shared" si="19"/>
        <v>2022</v>
      </c>
      <c r="C1232" s="3">
        <v>44682</v>
      </c>
      <c r="D1232" s="4">
        <v>44696</v>
      </c>
      <c r="E1232" s="2" t="s">
        <v>11</v>
      </c>
      <c r="F1232" s="2" t="s">
        <v>21</v>
      </c>
      <c r="G1232" s="2" t="s">
        <v>23</v>
      </c>
      <c r="H1232" s="2">
        <v>30</v>
      </c>
      <c r="I1232" s="2">
        <v>404</v>
      </c>
      <c r="J1232" s="5">
        <v>141400</v>
      </c>
      <c r="K1232" s="5">
        <v>15554</v>
      </c>
    </row>
    <row r="1233" spans="1:11" x14ac:dyDescent="0.25">
      <c r="A1233" s="2">
        <v>11232</v>
      </c>
      <c r="B1233" s="2">
        <f t="shared" si="19"/>
        <v>2022</v>
      </c>
      <c r="C1233" s="3">
        <v>44682</v>
      </c>
      <c r="D1233" s="4">
        <v>44697</v>
      </c>
      <c r="E1233" s="2" t="s">
        <v>25</v>
      </c>
      <c r="F1233" s="2" t="s">
        <v>24</v>
      </c>
      <c r="G1233" s="2" t="s">
        <v>17</v>
      </c>
      <c r="H1233" s="2">
        <v>16</v>
      </c>
      <c r="I1233" s="2">
        <v>267</v>
      </c>
      <c r="J1233" s="5">
        <v>66750</v>
      </c>
      <c r="K1233" s="5">
        <v>18022.5</v>
      </c>
    </row>
    <row r="1234" spans="1:11" x14ac:dyDescent="0.25">
      <c r="A1234" s="2">
        <v>11233</v>
      </c>
      <c r="B1234" s="2">
        <f t="shared" si="19"/>
        <v>2022</v>
      </c>
      <c r="C1234" s="3">
        <v>44682</v>
      </c>
      <c r="D1234" s="4">
        <v>44698</v>
      </c>
      <c r="E1234" s="2" t="s">
        <v>25</v>
      </c>
      <c r="F1234" s="2" t="s">
        <v>12</v>
      </c>
      <c r="G1234" s="2" t="s">
        <v>17</v>
      </c>
      <c r="H1234" s="2">
        <v>5</v>
      </c>
      <c r="I1234" s="2">
        <v>241</v>
      </c>
      <c r="J1234" s="5">
        <v>60250</v>
      </c>
      <c r="K1234" s="5">
        <v>17472.5</v>
      </c>
    </row>
    <row r="1235" spans="1:11" x14ac:dyDescent="0.25">
      <c r="A1235" s="2">
        <v>11234</v>
      </c>
      <c r="B1235" s="2">
        <f t="shared" si="19"/>
        <v>2022</v>
      </c>
      <c r="C1235" s="3">
        <v>44682</v>
      </c>
      <c r="D1235" s="4">
        <v>44699</v>
      </c>
      <c r="E1235" s="2" t="s">
        <v>14</v>
      </c>
      <c r="F1235" s="2" t="s">
        <v>12</v>
      </c>
      <c r="G1235" s="2" t="s">
        <v>13</v>
      </c>
      <c r="H1235" s="2">
        <v>27</v>
      </c>
      <c r="I1235" s="2">
        <v>402</v>
      </c>
      <c r="J1235" s="5">
        <v>301500</v>
      </c>
      <c r="K1235" s="5">
        <v>132660</v>
      </c>
    </row>
    <row r="1236" spans="1:11" x14ac:dyDescent="0.25">
      <c r="A1236" s="2">
        <v>11235</v>
      </c>
      <c r="B1236" s="2">
        <f t="shared" si="19"/>
        <v>2022</v>
      </c>
      <c r="C1236" s="3">
        <v>44682</v>
      </c>
      <c r="D1236" s="6">
        <f>D1235+1</f>
        <v>44700</v>
      </c>
      <c r="E1236" s="2" t="s">
        <v>25</v>
      </c>
      <c r="F1236" s="2" t="s">
        <v>18</v>
      </c>
      <c r="G1236" s="2" t="s">
        <v>20</v>
      </c>
      <c r="H1236" s="2">
        <v>32</v>
      </c>
      <c r="I1236" s="2">
        <v>396</v>
      </c>
      <c r="J1236" s="5">
        <v>336600</v>
      </c>
      <c r="K1236" s="5">
        <v>144738</v>
      </c>
    </row>
    <row r="1237" spans="1:11" x14ac:dyDescent="0.25">
      <c r="A1237" s="2">
        <v>11236</v>
      </c>
      <c r="B1237" s="2">
        <f t="shared" si="19"/>
        <v>2022</v>
      </c>
      <c r="C1237" s="3">
        <v>44682</v>
      </c>
      <c r="D1237" s="6">
        <f t="shared" ref="D1237:D1300" si="20">D1236+1</f>
        <v>44701</v>
      </c>
      <c r="E1237" s="2" t="s">
        <v>19</v>
      </c>
      <c r="F1237" s="2" t="s">
        <v>12</v>
      </c>
      <c r="G1237" s="2" t="s">
        <v>23</v>
      </c>
      <c r="H1237" s="2">
        <v>18</v>
      </c>
      <c r="I1237" s="2">
        <v>409</v>
      </c>
      <c r="J1237" s="5">
        <v>143150</v>
      </c>
      <c r="K1237" s="5">
        <v>47239.5</v>
      </c>
    </row>
    <row r="1238" spans="1:11" x14ac:dyDescent="0.25">
      <c r="A1238" s="2">
        <v>11237</v>
      </c>
      <c r="B1238" s="2">
        <f t="shared" si="19"/>
        <v>2022</v>
      </c>
      <c r="C1238" s="3">
        <v>44682</v>
      </c>
      <c r="D1238" s="6">
        <f t="shared" si="20"/>
        <v>44702</v>
      </c>
      <c r="E1238" s="2" t="s">
        <v>11</v>
      </c>
      <c r="F1238" s="2" t="s">
        <v>12</v>
      </c>
      <c r="G1238" s="2" t="s">
        <v>20</v>
      </c>
      <c r="H1238" s="2">
        <v>2</v>
      </c>
      <c r="I1238" s="2">
        <v>44</v>
      </c>
      <c r="J1238" s="5">
        <v>37400</v>
      </c>
      <c r="K1238" s="5">
        <v>12716.000000000002</v>
      </c>
    </row>
    <row r="1239" spans="1:11" x14ac:dyDescent="0.25">
      <c r="A1239" s="2">
        <v>11238</v>
      </c>
      <c r="B1239" s="2">
        <f t="shared" si="19"/>
        <v>2022</v>
      </c>
      <c r="C1239" s="3">
        <v>44682</v>
      </c>
      <c r="D1239" s="6">
        <f t="shared" si="20"/>
        <v>44703</v>
      </c>
      <c r="E1239" s="2" t="s">
        <v>11</v>
      </c>
      <c r="F1239" s="2" t="s">
        <v>24</v>
      </c>
      <c r="G1239" s="2" t="s">
        <v>15</v>
      </c>
      <c r="H1239" s="2">
        <v>31</v>
      </c>
      <c r="I1239" s="2">
        <v>467</v>
      </c>
      <c r="J1239" s="5">
        <v>233500</v>
      </c>
      <c r="K1239" s="5">
        <v>86395</v>
      </c>
    </row>
    <row r="1240" spans="1:11" x14ac:dyDescent="0.25">
      <c r="A1240" s="2">
        <v>11239</v>
      </c>
      <c r="B1240" s="2">
        <f t="shared" si="19"/>
        <v>2022</v>
      </c>
      <c r="C1240" s="3">
        <v>44682</v>
      </c>
      <c r="D1240" s="6">
        <f t="shared" si="20"/>
        <v>44704</v>
      </c>
      <c r="E1240" s="2" t="s">
        <v>14</v>
      </c>
      <c r="F1240" s="2" t="s">
        <v>16</v>
      </c>
      <c r="G1240" s="2" t="s">
        <v>17</v>
      </c>
      <c r="H1240" s="2">
        <v>11</v>
      </c>
      <c r="I1240" s="2">
        <v>321</v>
      </c>
      <c r="J1240" s="5">
        <v>80250</v>
      </c>
      <c r="K1240" s="5">
        <v>9630</v>
      </c>
    </row>
    <row r="1241" spans="1:11" x14ac:dyDescent="0.25">
      <c r="A1241" s="2">
        <v>11240</v>
      </c>
      <c r="B1241" s="2">
        <f t="shared" si="19"/>
        <v>2022</v>
      </c>
      <c r="C1241" s="3">
        <v>44682</v>
      </c>
      <c r="D1241" s="6">
        <f t="shared" si="20"/>
        <v>44705</v>
      </c>
      <c r="E1241" s="2" t="s">
        <v>22</v>
      </c>
      <c r="F1241" s="2" t="s">
        <v>12</v>
      </c>
      <c r="G1241" s="2" t="s">
        <v>23</v>
      </c>
      <c r="H1241" s="2">
        <v>22</v>
      </c>
      <c r="I1241" s="2">
        <v>247</v>
      </c>
      <c r="J1241" s="5">
        <v>86450</v>
      </c>
      <c r="K1241" s="5">
        <v>26799.5</v>
      </c>
    </row>
    <row r="1242" spans="1:11" x14ac:dyDescent="0.25">
      <c r="A1242" s="2">
        <v>11241</v>
      </c>
      <c r="B1242" s="2">
        <f t="shared" si="19"/>
        <v>2022</v>
      </c>
      <c r="C1242" s="3">
        <v>44682</v>
      </c>
      <c r="D1242" s="6">
        <f t="shared" si="20"/>
        <v>44706</v>
      </c>
      <c r="E1242" s="2" t="s">
        <v>25</v>
      </c>
      <c r="F1242" s="2" t="s">
        <v>21</v>
      </c>
      <c r="G1242" s="2" t="s">
        <v>23</v>
      </c>
      <c r="H1242" s="2">
        <v>27</v>
      </c>
      <c r="I1242" s="2">
        <v>489</v>
      </c>
      <c r="J1242" s="5">
        <v>171150</v>
      </c>
      <c r="K1242" s="5">
        <v>18826.5</v>
      </c>
    </row>
    <row r="1243" spans="1:11" x14ac:dyDescent="0.25">
      <c r="A1243" s="2">
        <v>11242</v>
      </c>
      <c r="B1243" s="2">
        <f t="shared" si="19"/>
        <v>2022</v>
      </c>
      <c r="C1243" s="3">
        <v>44682</v>
      </c>
      <c r="D1243" s="6">
        <f t="shared" si="20"/>
        <v>44707</v>
      </c>
      <c r="E1243" s="2" t="s">
        <v>25</v>
      </c>
      <c r="F1243" s="2" t="s">
        <v>21</v>
      </c>
      <c r="G1243" s="2" t="s">
        <v>17</v>
      </c>
      <c r="H1243" s="2">
        <v>12</v>
      </c>
      <c r="I1243" s="2">
        <v>214</v>
      </c>
      <c r="J1243" s="5">
        <v>53500</v>
      </c>
      <c r="K1243" s="5">
        <v>7490.0000000000009</v>
      </c>
    </row>
    <row r="1244" spans="1:11" x14ac:dyDescent="0.25">
      <c r="A1244" s="2">
        <v>11243</v>
      </c>
      <c r="B1244" s="2">
        <f t="shared" si="19"/>
        <v>2022</v>
      </c>
      <c r="C1244" s="3">
        <v>44682</v>
      </c>
      <c r="D1244" s="6">
        <f t="shared" si="20"/>
        <v>44708</v>
      </c>
      <c r="E1244" s="2" t="s">
        <v>11</v>
      </c>
      <c r="F1244" s="2" t="s">
        <v>21</v>
      </c>
      <c r="G1244" s="2" t="s">
        <v>17</v>
      </c>
      <c r="H1244" s="2">
        <v>5</v>
      </c>
      <c r="I1244" s="2">
        <v>269</v>
      </c>
      <c r="J1244" s="5">
        <v>67250</v>
      </c>
      <c r="K1244" s="5">
        <v>8742.5</v>
      </c>
    </row>
    <row r="1245" spans="1:11" x14ac:dyDescent="0.25">
      <c r="A1245" s="2">
        <v>11244</v>
      </c>
      <c r="B1245" s="2">
        <f t="shared" si="19"/>
        <v>2022</v>
      </c>
      <c r="C1245" s="3">
        <v>44682</v>
      </c>
      <c r="D1245" s="6">
        <f t="shared" si="20"/>
        <v>44709</v>
      </c>
      <c r="E1245" s="2" t="s">
        <v>14</v>
      </c>
      <c r="F1245" s="2" t="s">
        <v>16</v>
      </c>
      <c r="G1245" s="2" t="s">
        <v>17</v>
      </c>
      <c r="H1245" s="2">
        <v>30</v>
      </c>
      <c r="I1245" s="2">
        <v>491</v>
      </c>
      <c r="J1245" s="5">
        <v>122750</v>
      </c>
      <c r="K1245" s="5">
        <v>33142.5</v>
      </c>
    </row>
    <row r="1246" spans="1:11" x14ac:dyDescent="0.25">
      <c r="A1246" s="2">
        <v>11245</v>
      </c>
      <c r="B1246" s="2">
        <f t="shared" si="19"/>
        <v>2022</v>
      </c>
      <c r="C1246" s="3">
        <v>44682</v>
      </c>
      <c r="D1246" s="6">
        <f t="shared" si="20"/>
        <v>44710</v>
      </c>
      <c r="E1246" s="2" t="s">
        <v>19</v>
      </c>
      <c r="F1246" s="2" t="s">
        <v>16</v>
      </c>
      <c r="G1246" s="2" t="s">
        <v>23</v>
      </c>
      <c r="H1246" s="2">
        <v>13</v>
      </c>
      <c r="I1246" s="2">
        <v>289</v>
      </c>
      <c r="J1246" s="5">
        <v>101150</v>
      </c>
      <c r="K1246" s="5">
        <v>15172.5</v>
      </c>
    </row>
    <row r="1247" spans="1:11" x14ac:dyDescent="0.25">
      <c r="A1247" s="2">
        <v>11246</v>
      </c>
      <c r="B1247" s="2">
        <f t="shared" si="19"/>
        <v>2022</v>
      </c>
      <c r="C1247" s="3">
        <v>44682</v>
      </c>
      <c r="D1247" s="6">
        <f t="shared" si="20"/>
        <v>44711</v>
      </c>
      <c r="E1247" s="2" t="s">
        <v>22</v>
      </c>
      <c r="F1247" s="2" t="s">
        <v>16</v>
      </c>
      <c r="G1247" s="2" t="s">
        <v>23</v>
      </c>
      <c r="H1247" s="2">
        <v>2</v>
      </c>
      <c r="I1247" s="2">
        <v>58</v>
      </c>
      <c r="J1247" s="5">
        <v>20300</v>
      </c>
      <c r="K1247" s="5">
        <v>5887</v>
      </c>
    </row>
    <row r="1248" spans="1:11" x14ac:dyDescent="0.25">
      <c r="A1248" s="2">
        <v>11247</v>
      </c>
      <c r="B1248" s="2">
        <f t="shared" si="19"/>
        <v>2022</v>
      </c>
      <c r="C1248" s="3">
        <v>44682</v>
      </c>
      <c r="D1248" s="6">
        <f t="shared" si="20"/>
        <v>44712</v>
      </c>
      <c r="E1248" s="2" t="s">
        <v>19</v>
      </c>
      <c r="F1248" s="2" t="s">
        <v>18</v>
      </c>
      <c r="G1248" s="2" t="s">
        <v>15</v>
      </c>
      <c r="H1248" s="2">
        <v>10</v>
      </c>
      <c r="I1248" s="2">
        <v>321</v>
      </c>
      <c r="J1248" s="5">
        <v>160500</v>
      </c>
      <c r="K1248" s="5">
        <v>20865</v>
      </c>
    </row>
    <row r="1249" spans="1:11" x14ac:dyDescent="0.25">
      <c r="A1249" s="2">
        <v>11248</v>
      </c>
      <c r="B1249" s="2">
        <f t="shared" si="19"/>
        <v>2022</v>
      </c>
      <c r="C1249" s="3">
        <v>44713</v>
      </c>
      <c r="D1249" s="6">
        <f t="shared" si="20"/>
        <v>44713</v>
      </c>
      <c r="E1249" s="2" t="s">
        <v>11</v>
      </c>
      <c r="F1249" s="2" t="s">
        <v>12</v>
      </c>
      <c r="G1249" s="2" t="s">
        <v>15</v>
      </c>
      <c r="H1249" s="2">
        <v>26</v>
      </c>
      <c r="I1249" s="2">
        <v>407</v>
      </c>
      <c r="J1249" s="5">
        <v>203500</v>
      </c>
      <c r="K1249" s="5">
        <v>36630</v>
      </c>
    </row>
    <row r="1250" spans="1:11" x14ac:dyDescent="0.25">
      <c r="A1250" s="2">
        <v>11249</v>
      </c>
      <c r="B1250" s="2">
        <f t="shared" si="19"/>
        <v>2022</v>
      </c>
      <c r="C1250" s="3">
        <v>44713</v>
      </c>
      <c r="D1250" s="6">
        <f t="shared" si="20"/>
        <v>44714</v>
      </c>
      <c r="E1250" s="2" t="s">
        <v>11</v>
      </c>
      <c r="F1250" s="2" t="s">
        <v>16</v>
      </c>
      <c r="G1250" s="2" t="s">
        <v>13</v>
      </c>
      <c r="H1250" s="2">
        <v>16</v>
      </c>
      <c r="I1250" s="2">
        <v>477</v>
      </c>
      <c r="J1250" s="5">
        <v>357750</v>
      </c>
      <c r="K1250" s="5">
        <v>114480</v>
      </c>
    </row>
    <row r="1251" spans="1:11" x14ac:dyDescent="0.25">
      <c r="A1251" s="2">
        <v>11250</v>
      </c>
      <c r="B1251" s="2">
        <f t="shared" si="19"/>
        <v>2022</v>
      </c>
      <c r="C1251" s="3">
        <v>44713</v>
      </c>
      <c r="D1251" s="6">
        <f t="shared" si="20"/>
        <v>44715</v>
      </c>
      <c r="E1251" s="2" t="s">
        <v>11</v>
      </c>
      <c r="F1251" s="2" t="s">
        <v>18</v>
      </c>
      <c r="G1251" s="2" t="s">
        <v>23</v>
      </c>
      <c r="H1251" s="2">
        <v>5</v>
      </c>
      <c r="I1251" s="2">
        <v>252</v>
      </c>
      <c r="J1251" s="5">
        <v>88200</v>
      </c>
      <c r="K1251" s="5">
        <v>22932</v>
      </c>
    </row>
    <row r="1252" spans="1:11" x14ac:dyDescent="0.25">
      <c r="A1252" s="2">
        <v>11251</v>
      </c>
      <c r="B1252" s="2">
        <f t="shared" si="19"/>
        <v>2022</v>
      </c>
      <c r="C1252" s="3">
        <v>44713</v>
      </c>
      <c r="D1252" s="6">
        <f t="shared" si="20"/>
        <v>44716</v>
      </c>
      <c r="E1252" s="2" t="s">
        <v>14</v>
      </c>
      <c r="F1252" s="2" t="s">
        <v>18</v>
      </c>
      <c r="G1252" s="2" t="s">
        <v>17</v>
      </c>
      <c r="H1252" s="2">
        <v>8</v>
      </c>
      <c r="I1252" s="2">
        <v>118</v>
      </c>
      <c r="J1252" s="5">
        <v>29500</v>
      </c>
      <c r="K1252" s="5">
        <v>10915</v>
      </c>
    </row>
    <row r="1253" spans="1:11" x14ac:dyDescent="0.25">
      <c r="A1253" s="2">
        <v>11252</v>
      </c>
      <c r="B1253" s="2">
        <f t="shared" si="19"/>
        <v>2022</v>
      </c>
      <c r="C1253" s="3">
        <v>44713</v>
      </c>
      <c r="D1253" s="6">
        <f t="shared" si="20"/>
        <v>44717</v>
      </c>
      <c r="E1253" s="2" t="s">
        <v>22</v>
      </c>
      <c r="F1253" s="2" t="s">
        <v>16</v>
      </c>
      <c r="G1253" s="2" t="s">
        <v>20</v>
      </c>
      <c r="H1253" s="2">
        <v>13</v>
      </c>
      <c r="I1253" s="2">
        <v>159</v>
      </c>
      <c r="J1253" s="5">
        <v>135150</v>
      </c>
      <c r="K1253" s="5">
        <v>39193.5</v>
      </c>
    </row>
    <row r="1254" spans="1:11" x14ac:dyDescent="0.25">
      <c r="A1254" s="2">
        <v>11253</v>
      </c>
      <c r="B1254" s="2">
        <f t="shared" si="19"/>
        <v>2022</v>
      </c>
      <c r="C1254" s="3">
        <v>44713</v>
      </c>
      <c r="D1254" s="6">
        <f t="shared" si="20"/>
        <v>44718</v>
      </c>
      <c r="E1254" s="2" t="s">
        <v>11</v>
      </c>
      <c r="F1254" s="2" t="s">
        <v>21</v>
      </c>
      <c r="G1254" s="2" t="s">
        <v>23</v>
      </c>
      <c r="H1254" s="2">
        <v>7</v>
      </c>
      <c r="I1254" s="2">
        <v>241</v>
      </c>
      <c r="J1254" s="5">
        <v>84350</v>
      </c>
      <c r="K1254" s="5">
        <v>21931</v>
      </c>
    </row>
    <row r="1255" spans="1:11" x14ac:dyDescent="0.25">
      <c r="A1255" s="2">
        <v>11254</v>
      </c>
      <c r="B1255" s="2">
        <f t="shared" si="19"/>
        <v>2022</v>
      </c>
      <c r="C1255" s="3">
        <v>44713</v>
      </c>
      <c r="D1255" s="6">
        <f t="shared" si="20"/>
        <v>44719</v>
      </c>
      <c r="E1255" s="2" t="s">
        <v>11</v>
      </c>
      <c r="F1255" s="2" t="s">
        <v>21</v>
      </c>
      <c r="G1255" s="2" t="s">
        <v>20</v>
      </c>
      <c r="H1255" s="2">
        <v>34</v>
      </c>
      <c r="I1255" s="2">
        <v>445</v>
      </c>
      <c r="J1255" s="5">
        <v>378250</v>
      </c>
      <c r="K1255" s="5">
        <v>79432.5</v>
      </c>
    </row>
    <row r="1256" spans="1:11" x14ac:dyDescent="0.25">
      <c r="A1256" s="2">
        <v>11255</v>
      </c>
      <c r="B1256" s="2">
        <f t="shared" si="19"/>
        <v>2022</v>
      </c>
      <c r="C1256" s="3">
        <v>44713</v>
      </c>
      <c r="D1256" s="6">
        <f t="shared" si="20"/>
        <v>44720</v>
      </c>
      <c r="E1256" s="2" t="s">
        <v>19</v>
      </c>
      <c r="F1256" s="2" t="s">
        <v>18</v>
      </c>
      <c r="G1256" s="2" t="s">
        <v>15</v>
      </c>
      <c r="H1256" s="2">
        <v>21</v>
      </c>
      <c r="I1256" s="2">
        <v>250</v>
      </c>
      <c r="J1256" s="5">
        <v>125000</v>
      </c>
      <c r="K1256" s="5">
        <v>27500</v>
      </c>
    </row>
    <row r="1257" spans="1:11" x14ac:dyDescent="0.25">
      <c r="A1257" s="2">
        <v>11256</v>
      </c>
      <c r="B1257" s="2">
        <f t="shared" si="19"/>
        <v>2022</v>
      </c>
      <c r="C1257" s="3">
        <v>44713</v>
      </c>
      <c r="D1257" s="6">
        <f t="shared" si="20"/>
        <v>44721</v>
      </c>
      <c r="E1257" s="2" t="s">
        <v>19</v>
      </c>
      <c r="F1257" s="2" t="s">
        <v>12</v>
      </c>
      <c r="G1257" s="2" t="s">
        <v>13</v>
      </c>
      <c r="H1257" s="2">
        <v>14</v>
      </c>
      <c r="I1257" s="2">
        <v>350</v>
      </c>
      <c r="J1257" s="5">
        <v>262500</v>
      </c>
      <c r="K1257" s="5">
        <v>55125</v>
      </c>
    </row>
    <row r="1258" spans="1:11" x14ac:dyDescent="0.25">
      <c r="A1258" s="2">
        <v>11257</v>
      </c>
      <c r="B1258" s="2">
        <f t="shared" si="19"/>
        <v>2022</v>
      </c>
      <c r="C1258" s="3">
        <v>44713</v>
      </c>
      <c r="D1258" s="6">
        <f t="shared" si="20"/>
        <v>44722</v>
      </c>
      <c r="E1258" s="2" t="s">
        <v>25</v>
      </c>
      <c r="F1258" s="2" t="s">
        <v>12</v>
      </c>
      <c r="G1258" s="2" t="s">
        <v>20</v>
      </c>
      <c r="H1258" s="2">
        <v>8</v>
      </c>
      <c r="I1258" s="2">
        <v>80</v>
      </c>
      <c r="J1258" s="5">
        <v>68000</v>
      </c>
      <c r="K1258" s="5">
        <v>27200</v>
      </c>
    </row>
    <row r="1259" spans="1:11" x14ac:dyDescent="0.25">
      <c r="A1259" s="2">
        <v>11258</v>
      </c>
      <c r="B1259" s="2">
        <f t="shared" si="19"/>
        <v>2022</v>
      </c>
      <c r="C1259" s="3">
        <v>44713</v>
      </c>
      <c r="D1259" s="6">
        <f t="shared" si="20"/>
        <v>44723</v>
      </c>
      <c r="E1259" s="2" t="s">
        <v>22</v>
      </c>
      <c r="F1259" s="2" t="s">
        <v>16</v>
      </c>
      <c r="G1259" s="2" t="s">
        <v>15</v>
      </c>
      <c r="H1259" s="2">
        <v>21</v>
      </c>
      <c r="I1259" s="2">
        <v>242</v>
      </c>
      <c r="J1259" s="5">
        <v>121000</v>
      </c>
      <c r="K1259" s="5">
        <v>24200</v>
      </c>
    </row>
    <row r="1260" spans="1:11" x14ac:dyDescent="0.25">
      <c r="A1260" s="2">
        <v>11259</v>
      </c>
      <c r="B1260" s="2">
        <f t="shared" si="19"/>
        <v>2022</v>
      </c>
      <c r="C1260" s="3">
        <v>44713</v>
      </c>
      <c r="D1260" s="6">
        <f t="shared" si="20"/>
        <v>44724</v>
      </c>
      <c r="E1260" s="2" t="s">
        <v>14</v>
      </c>
      <c r="F1260" s="2" t="s">
        <v>18</v>
      </c>
      <c r="G1260" s="2" t="s">
        <v>13</v>
      </c>
      <c r="H1260" s="2">
        <v>4</v>
      </c>
      <c r="I1260" s="2">
        <v>48</v>
      </c>
      <c r="J1260" s="5">
        <v>36000</v>
      </c>
      <c r="K1260" s="5">
        <v>13680</v>
      </c>
    </row>
    <row r="1261" spans="1:11" x14ac:dyDescent="0.25">
      <c r="A1261" s="2">
        <v>11260</v>
      </c>
      <c r="B1261" s="2">
        <f t="shared" si="19"/>
        <v>2022</v>
      </c>
      <c r="C1261" s="3">
        <v>44713</v>
      </c>
      <c r="D1261" s="6">
        <f t="shared" si="20"/>
        <v>44725</v>
      </c>
      <c r="E1261" s="2" t="s">
        <v>19</v>
      </c>
      <c r="F1261" s="2" t="s">
        <v>18</v>
      </c>
      <c r="G1261" s="2" t="s">
        <v>23</v>
      </c>
      <c r="H1261" s="2">
        <v>29</v>
      </c>
      <c r="I1261" s="2">
        <v>309</v>
      </c>
      <c r="J1261" s="5">
        <v>108150</v>
      </c>
      <c r="K1261" s="5">
        <v>31363.499999999996</v>
      </c>
    </row>
    <row r="1262" spans="1:11" x14ac:dyDescent="0.25">
      <c r="A1262" s="2">
        <v>11261</v>
      </c>
      <c r="B1262" s="2">
        <f t="shared" si="19"/>
        <v>2022</v>
      </c>
      <c r="C1262" s="3">
        <v>44713</v>
      </c>
      <c r="D1262" s="6">
        <f t="shared" si="20"/>
        <v>44726</v>
      </c>
      <c r="E1262" s="2" t="s">
        <v>22</v>
      </c>
      <c r="F1262" s="2" t="s">
        <v>21</v>
      </c>
      <c r="G1262" s="2" t="s">
        <v>17</v>
      </c>
      <c r="H1262" s="2">
        <v>10</v>
      </c>
      <c r="I1262" s="2">
        <v>109</v>
      </c>
      <c r="J1262" s="5">
        <v>27250</v>
      </c>
      <c r="K1262" s="5">
        <v>7357.5000000000009</v>
      </c>
    </row>
    <row r="1263" spans="1:11" x14ac:dyDescent="0.25">
      <c r="A1263" s="2">
        <v>11262</v>
      </c>
      <c r="B1263" s="2">
        <f t="shared" si="19"/>
        <v>2022</v>
      </c>
      <c r="C1263" s="3">
        <v>44713</v>
      </c>
      <c r="D1263" s="6">
        <f t="shared" si="20"/>
        <v>44727</v>
      </c>
      <c r="E1263" s="2" t="s">
        <v>14</v>
      </c>
      <c r="F1263" s="2" t="s">
        <v>18</v>
      </c>
      <c r="G1263" s="2" t="s">
        <v>17</v>
      </c>
      <c r="H1263" s="2">
        <v>6</v>
      </c>
      <c r="I1263" s="2">
        <v>99</v>
      </c>
      <c r="J1263" s="5">
        <v>24750</v>
      </c>
      <c r="K1263" s="5">
        <v>3960</v>
      </c>
    </row>
    <row r="1264" spans="1:11" x14ac:dyDescent="0.25">
      <c r="A1264" s="2">
        <v>11263</v>
      </c>
      <c r="B1264" s="2">
        <f t="shared" si="19"/>
        <v>2022</v>
      </c>
      <c r="C1264" s="3">
        <v>44713</v>
      </c>
      <c r="D1264" s="6">
        <f t="shared" si="20"/>
        <v>44728</v>
      </c>
      <c r="E1264" s="2" t="s">
        <v>19</v>
      </c>
      <c r="F1264" s="2" t="s">
        <v>16</v>
      </c>
      <c r="G1264" s="2" t="s">
        <v>23</v>
      </c>
      <c r="H1264" s="2">
        <v>17</v>
      </c>
      <c r="I1264" s="2">
        <v>389</v>
      </c>
      <c r="J1264" s="5">
        <v>136150</v>
      </c>
      <c r="K1264" s="5">
        <v>40845</v>
      </c>
    </row>
    <row r="1265" spans="1:11" x14ac:dyDescent="0.25">
      <c r="A1265" s="2">
        <v>11264</v>
      </c>
      <c r="B1265" s="2">
        <f t="shared" si="19"/>
        <v>2022</v>
      </c>
      <c r="C1265" s="3">
        <v>44713</v>
      </c>
      <c r="D1265" s="6">
        <f t="shared" si="20"/>
        <v>44729</v>
      </c>
      <c r="E1265" s="2" t="s">
        <v>22</v>
      </c>
      <c r="F1265" s="2" t="s">
        <v>24</v>
      </c>
      <c r="G1265" s="2" t="s">
        <v>17</v>
      </c>
      <c r="H1265" s="2">
        <v>37</v>
      </c>
      <c r="I1265" s="2">
        <v>385</v>
      </c>
      <c r="J1265" s="5">
        <v>96250</v>
      </c>
      <c r="K1265" s="5">
        <v>27912.499999999996</v>
      </c>
    </row>
    <row r="1266" spans="1:11" x14ac:dyDescent="0.25">
      <c r="A1266" s="2">
        <v>11265</v>
      </c>
      <c r="B1266" s="2">
        <f t="shared" si="19"/>
        <v>2022</v>
      </c>
      <c r="C1266" s="3">
        <v>44713</v>
      </c>
      <c r="D1266" s="6">
        <f t="shared" si="20"/>
        <v>44730</v>
      </c>
      <c r="E1266" s="2" t="s">
        <v>22</v>
      </c>
      <c r="F1266" s="2" t="s">
        <v>12</v>
      </c>
      <c r="G1266" s="2" t="s">
        <v>23</v>
      </c>
      <c r="H1266" s="2">
        <v>10</v>
      </c>
      <c r="I1266" s="2">
        <v>227</v>
      </c>
      <c r="J1266" s="5">
        <v>79450</v>
      </c>
      <c r="K1266" s="5">
        <v>23835</v>
      </c>
    </row>
    <row r="1267" spans="1:11" x14ac:dyDescent="0.25">
      <c r="A1267" s="2">
        <v>11266</v>
      </c>
      <c r="B1267" s="2">
        <f t="shared" si="19"/>
        <v>2022</v>
      </c>
      <c r="C1267" s="3">
        <v>44713</v>
      </c>
      <c r="D1267" s="6">
        <f t="shared" si="20"/>
        <v>44731</v>
      </c>
      <c r="E1267" s="2" t="s">
        <v>14</v>
      </c>
      <c r="F1267" s="2" t="s">
        <v>18</v>
      </c>
      <c r="G1267" s="2" t="s">
        <v>23</v>
      </c>
      <c r="H1267" s="2">
        <v>19</v>
      </c>
      <c r="I1267" s="2">
        <v>391</v>
      </c>
      <c r="J1267" s="5">
        <v>136850</v>
      </c>
      <c r="K1267" s="5">
        <v>53371.5</v>
      </c>
    </row>
    <row r="1268" spans="1:11" x14ac:dyDescent="0.25">
      <c r="A1268" s="2">
        <v>11267</v>
      </c>
      <c r="B1268" s="2">
        <f t="shared" si="19"/>
        <v>2022</v>
      </c>
      <c r="C1268" s="3">
        <v>44713</v>
      </c>
      <c r="D1268" s="6">
        <f t="shared" si="20"/>
        <v>44732</v>
      </c>
      <c r="E1268" s="2" t="s">
        <v>11</v>
      </c>
      <c r="F1268" s="2" t="s">
        <v>21</v>
      </c>
      <c r="G1268" s="2" t="s">
        <v>15</v>
      </c>
      <c r="H1268" s="2">
        <v>6</v>
      </c>
      <c r="I1268" s="2">
        <v>157</v>
      </c>
      <c r="J1268" s="5">
        <v>78500</v>
      </c>
      <c r="K1268" s="5">
        <v>7850</v>
      </c>
    </row>
    <row r="1269" spans="1:11" x14ac:dyDescent="0.25">
      <c r="A1269" s="2">
        <v>11268</v>
      </c>
      <c r="B1269" s="2">
        <f t="shared" si="19"/>
        <v>2022</v>
      </c>
      <c r="C1269" s="3">
        <v>44713</v>
      </c>
      <c r="D1269" s="6">
        <f t="shared" si="20"/>
        <v>44733</v>
      </c>
      <c r="E1269" s="2" t="s">
        <v>14</v>
      </c>
      <c r="F1269" s="2" t="s">
        <v>24</v>
      </c>
      <c r="G1269" s="2" t="s">
        <v>23</v>
      </c>
      <c r="H1269" s="2">
        <v>44</v>
      </c>
      <c r="I1269" s="2">
        <v>452</v>
      </c>
      <c r="J1269" s="5">
        <v>158200</v>
      </c>
      <c r="K1269" s="5">
        <v>15820</v>
      </c>
    </row>
    <row r="1270" spans="1:11" x14ac:dyDescent="0.25">
      <c r="A1270" s="2">
        <v>11269</v>
      </c>
      <c r="B1270" s="2">
        <f t="shared" si="19"/>
        <v>2022</v>
      </c>
      <c r="C1270" s="3">
        <v>44713</v>
      </c>
      <c r="D1270" s="6">
        <f t="shared" si="20"/>
        <v>44734</v>
      </c>
      <c r="E1270" s="2" t="s">
        <v>25</v>
      </c>
      <c r="F1270" s="2" t="s">
        <v>12</v>
      </c>
      <c r="G1270" s="2" t="s">
        <v>15</v>
      </c>
      <c r="H1270" s="2">
        <v>16</v>
      </c>
      <c r="I1270" s="2">
        <v>178</v>
      </c>
      <c r="J1270" s="5">
        <v>89000</v>
      </c>
      <c r="K1270" s="5">
        <v>18690</v>
      </c>
    </row>
    <row r="1271" spans="1:11" x14ac:dyDescent="0.25">
      <c r="A1271" s="2">
        <v>11270</v>
      </c>
      <c r="B1271" s="2">
        <f t="shared" si="19"/>
        <v>2022</v>
      </c>
      <c r="C1271" s="3">
        <v>44713</v>
      </c>
      <c r="D1271" s="6">
        <f t="shared" si="20"/>
        <v>44735</v>
      </c>
      <c r="E1271" s="2" t="s">
        <v>14</v>
      </c>
      <c r="F1271" s="2" t="s">
        <v>24</v>
      </c>
      <c r="G1271" s="2" t="s">
        <v>23</v>
      </c>
      <c r="H1271" s="2">
        <v>18</v>
      </c>
      <c r="I1271" s="2">
        <v>234</v>
      </c>
      <c r="J1271" s="5">
        <v>81900</v>
      </c>
      <c r="K1271" s="5">
        <v>34398</v>
      </c>
    </row>
    <row r="1272" spans="1:11" x14ac:dyDescent="0.25">
      <c r="A1272" s="2">
        <v>11271</v>
      </c>
      <c r="B1272" s="2">
        <f t="shared" si="19"/>
        <v>2022</v>
      </c>
      <c r="C1272" s="3">
        <v>44713</v>
      </c>
      <c r="D1272" s="6">
        <f t="shared" si="20"/>
        <v>44736</v>
      </c>
      <c r="E1272" s="2" t="s">
        <v>25</v>
      </c>
      <c r="F1272" s="2" t="s">
        <v>24</v>
      </c>
      <c r="G1272" s="2" t="s">
        <v>23</v>
      </c>
      <c r="H1272" s="2">
        <v>9</v>
      </c>
      <c r="I1272" s="2">
        <v>279</v>
      </c>
      <c r="J1272" s="5">
        <v>97650</v>
      </c>
      <c r="K1272" s="5">
        <v>21483</v>
      </c>
    </row>
    <row r="1273" spans="1:11" x14ac:dyDescent="0.25">
      <c r="A1273" s="2">
        <v>11272</v>
      </c>
      <c r="B1273" s="2">
        <f t="shared" si="19"/>
        <v>2022</v>
      </c>
      <c r="C1273" s="3">
        <v>44713</v>
      </c>
      <c r="D1273" s="6">
        <f t="shared" si="20"/>
        <v>44737</v>
      </c>
      <c r="E1273" s="2" t="s">
        <v>11</v>
      </c>
      <c r="F1273" s="2" t="s">
        <v>24</v>
      </c>
      <c r="G1273" s="2" t="s">
        <v>13</v>
      </c>
      <c r="H1273" s="2">
        <v>22</v>
      </c>
      <c r="I1273" s="2">
        <v>222</v>
      </c>
      <c r="J1273" s="5">
        <v>166500</v>
      </c>
      <c r="K1273" s="5">
        <v>63270</v>
      </c>
    </row>
    <row r="1274" spans="1:11" x14ac:dyDescent="0.25">
      <c r="A1274" s="2">
        <v>11273</v>
      </c>
      <c r="B1274" s="2">
        <f t="shared" si="19"/>
        <v>2022</v>
      </c>
      <c r="C1274" s="3">
        <v>44713</v>
      </c>
      <c r="D1274" s="6">
        <f t="shared" si="20"/>
        <v>44738</v>
      </c>
      <c r="E1274" s="2" t="s">
        <v>25</v>
      </c>
      <c r="F1274" s="2" t="s">
        <v>12</v>
      </c>
      <c r="G1274" s="2" t="s">
        <v>17</v>
      </c>
      <c r="H1274" s="2">
        <v>38</v>
      </c>
      <c r="I1274" s="2">
        <v>500</v>
      </c>
      <c r="J1274" s="5">
        <v>125000</v>
      </c>
      <c r="K1274" s="5">
        <v>51250</v>
      </c>
    </row>
    <row r="1275" spans="1:11" x14ac:dyDescent="0.25">
      <c r="A1275" s="2">
        <v>11274</v>
      </c>
      <c r="B1275" s="2">
        <f t="shared" si="19"/>
        <v>2022</v>
      </c>
      <c r="C1275" s="3">
        <v>44713</v>
      </c>
      <c r="D1275" s="6">
        <f t="shared" si="20"/>
        <v>44739</v>
      </c>
      <c r="E1275" s="2" t="s">
        <v>22</v>
      </c>
      <c r="F1275" s="2" t="s">
        <v>21</v>
      </c>
      <c r="G1275" s="2" t="s">
        <v>17</v>
      </c>
      <c r="H1275" s="2">
        <v>7</v>
      </c>
      <c r="I1275" s="2">
        <v>275</v>
      </c>
      <c r="J1275" s="5">
        <v>68750</v>
      </c>
      <c r="K1275" s="5">
        <v>13062.5</v>
      </c>
    </row>
    <row r="1276" spans="1:11" x14ac:dyDescent="0.25">
      <c r="A1276" s="2">
        <v>11275</v>
      </c>
      <c r="B1276" s="2">
        <f t="shared" si="19"/>
        <v>2022</v>
      </c>
      <c r="C1276" s="3">
        <v>44713</v>
      </c>
      <c r="D1276" s="6">
        <f t="shared" si="20"/>
        <v>44740</v>
      </c>
      <c r="E1276" s="2" t="s">
        <v>19</v>
      </c>
      <c r="F1276" s="2" t="s">
        <v>24</v>
      </c>
      <c r="G1276" s="2" t="s">
        <v>17</v>
      </c>
      <c r="H1276" s="2">
        <v>17</v>
      </c>
      <c r="I1276" s="2">
        <v>193</v>
      </c>
      <c r="J1276" s="5">
        <v>48250</v>
      </c>
      <c r="K1276" s="5">
        <v>6755.0000000000009</v>
      </c>
    </row>
    <row r="1277" spans="1:11" x14ac:dyDescent="0.25">
      <c r="A1277" s="2">
        <v>11276</v>
      </c>
      <c r="B1277" s="2">
        <f t="shared" si="19"/>
        <v>2022</v>
      </c>
      <c r="C1277" s="3">
        <v>44713</v>
      </c>
      <c r="D1277" s="6">
        <f t="shared" si="20"/>
        <v>44741</v>
      </c>
      <c r="E1277" s="2" t="s">
        <v>22</v>
      </c>
      <c r="F1277" s="2" t="s">
        <v>24</v>
      </c>
      <c r="G1277" s="2" t="s">
        <v>23</v>
      </c>
      <c r="H1277" s="2">
        <v>20</v>
      </c>
      <c r="I1277" s="2">
        <v>259</v>
      </c>
      <c r="J1277" s="5">
        <v>90650</v>
      </c>
      <c r="K1277" s="5">
        <v>40792.5</v>
      </c>
    </row>
    <row r="1278" spans="1:11" x14ac:dyDescent="0.25">
      <c r="A1278" s="2">
        <v>11277</v>
      </c>
      <c r="B1278" s="2">
        <f t="shared" si="19"/>
        <v>2022</v>
      </c>
      <c r="C1278" s="3">
        <v>44713</v>
      </c>
      <c r="D1278" s="6">
        <f t="shared" si="20"/>
        <v>44742</v>
      </c>
      <c r="E1278" s="2" t="s">
        <v>11</v>
      </c>
      <c r="F1278" s="2" t="s">
        <v>12</v>
      </c>
      <c r="G1278" s="2" t="s">
        <v>15</v>
      </c>
      <c r="H1278" s="2">
        <v>6</v>
      </c>
      <c r="I1278" s="2">
        <v>123</v>
      </c>
      <c r="J1278" s="5">
        <v>61500</v>
      </c>
      <c r="K1278" s="5">
        <v>17835</v>
      </c>
    </row>
    <row r="1279" spans="1:11" x14ac:dyDescent="0.25">
      <c r="A1279" s="2">
        <v>11278</v>
      </c>
      <c r="B1279" s="2">
        <f t="shared" si="19"/>
        <v>2022</v>
      </c>
      <c r="C1279" s="3">
        <v>44743</v>
      </c>
      <c r="D1279" s="6">
        <f t="shared" si="20"/>
        <v>44743</v>
      </c>
      <c r="E1279" s="2" t="s">
        <v>11</v>
      </c>
      <c r="F1279" s="2" t="s">
        <v>16</v>
      </c>
      <c r="G1279" s="2" t="s">
        <v>17</v>
      </c>
      <c r="H1279" s="2">
        <v>2</v>
      </c>
      <c r="I1279" s="2">
        <v>112</v>
      </c>
      <c r="J1279" s="5">
        <v>28000</v>
      </c>
      <c r="K1279" s="5">
        <v>10360</v>
      </c>
    </row>
    <row r="1280" spans="1:11" x14ac:dyDescent="0.25">
      <c r="A1280" s="2">
        <v>11279</v>
      </c>
      <c r="B1280" s="2">
        <f t="shared" si="19"/>
        <v>2022</v>
      </c>
      <c r="C1280" s="3">
        <v>44743</v>
      </c>
      <c r="D1280" s="6">
        <f t="shared" si="20"/>
        <v>44744</v>
      </c>
      <c r="E1280" s="2" t="s">
        <v>22</v>
      </c>
      <c r="F1280" s="2" t="s">
        <v>24</v>
      </c>
      <c r="G1280" s="2" t="s">
        <v>20</v>
      </c>
      <c r="H1280" s="2">
        <v>6</v>
      </c>
      <c r="I1280" s="2">
        <v>356</v>
      </c>
      <c r="J1280" s="5">
        <v>302600</v>
      </c>
      <c r="K1280" s="5">
        <v>111962</v>
      </c>
    </row>
    <row r="1281" spans="1:11" x14ac:dyDescent="0.25">
      <c r="A1281" s="2">
        <v>11280</v>
      </c>
      <c r="B1281" s="2">
        <f t="shared" si="19"/>
        <v>2022</v>
      </c>
      <c r="C1281" s="3">
        <v>44743</v>
      </c>
      <c r="D1281" s="6">
        <f t="shared" si="20"/>
        <v>44745</v>
      </c>
      <c r="E1281" s="2" t="s">
        <v>11</v>
      </c>
      <c r="F1281" s="2" t="s">
        <v>12</v>
      </c>
      <c r="G1281" s="2" t="s">
        <v>23</v>
      </c>
      <c r="H1281" s="2">
        <v>28</v>
      </c>
      <c r="I1281" s="2">
        <v>417</v>
      </c>
      <c r="J1281" s="5">
        <v>145950</v>
      </c>
      <c r="K1281" s="5">
        <v>30649.5</v>
      </c>
    </row>
    <row r="1282" spans="1:11" x14ac:dyDescent="0.25">
      <c r="A1282" s="2">
        <v>11281</v>
      </c>
      <c r="B1282" s="2">
        <f t="shared" si="19"/>
        <v>2022</v>
      </c>
      <c r="C1282" s="3">
        <v>44743</v>
      </c>
      <c r="D1282" s="6">
        <f t="shared" si="20"/>
        <v>44746</v>
      </c>
      <c r="E1282" s="2" t="s">
        <v>14</v>
      </c>
      <c r="F1282" s="2" t="s">
        <v>12</v>
      </c>
      <c r="G1282" s="2" t="s">
        <v>23</v>
      </c>
      <c r="H1282" s="2">
        <v>23</v>
      </c>
      <c r="I1282" s="2">
        <v>234</v>
      </c>
      <c r="J1282" s="5">
        <v>81900</v>
      </c>
      <c r="K1282" s="5">
        <v>19656</v>
      </c>
    </row>
    <row r="1283" spans="1:11" x14ac:dyDescent="0.25">
      <c r="A1283" s="2">
        <v>11282</v>
      </c>
      <c r="B1283" s="2">
        <f t="shared" ref="B1283:B1346" si="21">YEAR(C1283)</f>
        <v>2022</v>
      </c>
      <c r="C1283" s="3">
        <v>44743</v>
      </c>
      <c r="D1283" s="6">
        <f t="shared" si="20"/>
        <v>44747</v>
      </c>
      <c r="E1283" s="2" t="s">
        <v>11</v>
      </c>
      <c r="F1283" s="2" t="s">
        <v>16</v>
      </c>
      <c r="G1283" s="2" t="s">
        <v>23</v>
      </c>
      <c r="H1283" s="2">
        <v>34</v>
      </c>
      <c r="I1283" s="2">
        <v>454</v>
      </c>
      <c r="J1283" s="5">
        <v>158900</v>
      </c>
      <c r="K1283" s="5">
        <v>20657</v>
      </c>
    </row>
    <row r="1284" spans="1:11" x14ac:dyDescent="0.25">
      <c r="A1284" s="2">
        <v>11283</v>
      </c>
      <c r="B1284" s="2">
        <f t="shared" si="21"/>
        <v>2022</v>
      </c>
      <c r="C1284" s="3">
        <v>44743</v>
      </c>
      <c r="D1284" s="6">
        <f t="shared" si="20"/>
        <v>44748</v>
      </c>
      <c r="E1284" s="2" t="s">
        <v>19</v>
      </c>
      <c r="F1284" s="2" t="s">
        <v>18</v>
      </c>
      <c r="G1284" s="2" t="s">
        <v>17</v>
      </c>
      <c r="H1284" s="2">
        <v>10</v>
      </c>
      <c r="I1284" s="2">
        <v>309</v>
      </c>
      <c r="J1284" s="5">
        <v>77250</v>
      </c>
      <c r="K1284" s="5">
        <v>28582.5</v>
      </c>
    </row>
    <row r="1285" spans="1:11" x14ac:dyDescent="0.25">
      <c r="A1285" s="2">
        <v>11284</v>
      </c>
      <c r="B1285" s="2">
        <f t="shared" si="21"/>
        <v>2022</v>
      </c>
      <c r="C1285" s="3">
        <v>44743</v>
      </c>
      <c r="D1285" s="6">
        <f t="shared" si="20"/>
        <v>44749</v>
      </c>
      <c r="E1285" s="2" t="s">
        <v>11</v>
      </c>
      <c r="F1285" s="2" t="s">
        <v>12</v>
      </c>
      <c r="G1285" s="2" t="s">
        <v>13</v>
      </c>
      <c r="H1285" s="2">
        <v>14</v>
      </c>
      <c r="I1285" s="2">
        <v>318</v>
      </c>
      <c r="J1285" s="5">
        <v>238500</v>
      </c>
      <c r="K1285" s="5">
        <v>78705</v>
      </c>
    </row>
    <row r="1286" spans="1:11" x14ac:dyDescent="0.25">
      <c r="A1286" s="2">
        <v>11285</v>
      </c>
      <c r="B1286" s="2">
        <f t="shared" si="21"/>
        <v>2022</v>
      </c>
      <c r="C1286" s="3">
        <v>44743</v>
      </c>
      <c r="D1286" s="6">
        <f t="shared" si="20"/>
        <v>44750</v>
      </c>
      <c r="E1286" s="2" t="s">
        <v>22</v>
      </c>
      <c r="F1286" s="2" t="s">
        <v>12</v>
      </c>
      <c r="G1286" s="2" t="s">
        <v>17</v>
      </c>
      <c r="H1286" s="2">
        <v>7</v>
      </c>
      <c r="I1286" s="2">
        <v>142</v>
      </c>
      <c r="J1286" s="5">
        <v>35500</v>
      </c>
      <c r="K1286" s="5">
        <v>11360</v>
      </c>
    </row>
    <row r="1287" spans="1:11" x14ac:dyDescent="0.25">
      <c r="A1287" s="2">
        <v>11286</v>
      </c>
      <c r="B1287" s="2">
        <f t="shared" si="21"/>
        <v>2022</v>
      </c>
      <c r="C1287" s="3">
        <v>44743</v>
      </c>
      <c r="D1287" s="6">
        <f t="shared" si="20"/>
        <v>44751</v>
      </c>
      <c r="E1287" s="2" t="s">
        <v>25</v>
      </c>
      <c r="F1287" s="2" t="s">
        <v>16</v>
      </c>
      <c r="G1287" s="2" t="s">
        <v>23</v>
      </c>
      <c r="H1287" s="2">
        <v>7</v>
      </c>
      <c r="I1287" s="2">
        <v>489</v>
      </c>
      <c r="J1287" s="5">
        <v>171150</v>
      </c>
      <c r="K1287" s="5">
        <v>17115</v>
      </c>
    </row>
    <row r="1288" spans="1:11" x14ac:dyDescent="0.25">
      <c r="A1288" s="2">
        <v>11287</v>
      </c>
      <c r="B1288" s="2">
        <f t="shared" si="21"/>
        <v>2022</v>
      </c>
      <c r="C1288" s="3">
        <v>44743</v>
      </c>
      <c r="D1288" s="6">
        <f t="shared" si="20"/>
        <v>44752</v>
      </c>
      <c r="E1288" s="2" t="s">
        <v>14</v>
      </c>
      <c r="F1288" s="2" t="s">
        <v>21</v>
      </c>
      <c r="G1288" s="2" t="s">
        <v>23</v>
      </c>
      <c r="H1288" s="2">
        <v>38</v>
      </c>
      <c r="I1288" s="2">
        <v>486</v>
      </c>
      <c r="J1288" s="5">
        <v>170100</v>
      </c>
      <c r="K1288" s="5">
        <v>56133</v>
      </c>
    </row>
    <row r="1289" spans="1:11" x14ac:dyDescent="0.25">
      <c r="A1289" s="2">
        <v>11288</v>
      </c>
      <c r="B1289" s="2">
        <f t="shared" si="21"/>
        <v>2022</v>
      </c>
      <c r="C1289" s="3">
        <v>44743</v>
      </c>
      <c r="D1289" s="6">
        <f t="shared" si="20"/>
        <v>44753</v>
      </c>
      <c r="E1289" s="2" t="s">
        <v>25</v>
      </c>
      <c r="F1289" s="2" t="s">
        <v>16</v>
      </c>
      <c r="G1289" s="2" t="s">
        <v>15</v>
      </c>
      <c r="H1289" s="2">
        <v>24</v>
      </c>
      <c r="I1289" s="2">
        <v>369</v>
      </c>
      <c r="J1289" s="5">
        <v>184500</v>
      </c>
      <c r="K1289" s="5">
        <v>40590</v>
      </c>
    </row>
    <row r="1290" spans="1:11" x14ac:dyDescent="0.25">
      <c r="A1290" s="2">
        <v>11289</v>
      </c>
      <c r="B1290" s="2">
        <f t="shared" si="21"/>
        <v>2022</v>
      </c>
      <c r="C1290" s="3">
        <v>44743</v>
      </c>
      <c r="D1290" s="6">
        <f t="shared" si="20"/>
        <v>44754</v>
      </c>
      <c r="E1290" s="2" t="s">
        <v>19</v>
      </c>
      <c r="F1290" s="2" t="s">
        <v>24</v>
      </c>
      <c r="G1290" s="2" t="s">
        <v>13</v>
      </c>
      <c r="H1290" s="2">
        <v>4</v>
      </c>
      <c r="I1290" s="2">
        <v>123</v>
      </c>
      <c r="J1290" s="5">
        <v>92250</v>
      </c>
      <c r="K1290" s="5">
        <v>16605</v>
      </c>
    </row>
    <row r="1291" spans="1:11" x14ac:dyDescent="0.25">
      <c r="A1291" s="2">
        <v>11290</v>
      </c>
      <c r="B1291" s="2">
        <f t="shared" si="21"/>
        <v>2022</v>
      </c>
      <c r="C1291" s="3">
        <v>44743</v>
      </c>
      <c r="D1291" s="6">
        <f t="shared" si="20"/>
        <v>44755</v>
      </c>
      <c r="E1291" s="2" t="s">
        <v>14</v>
      </c>
      <c r="F1291" s="2" t="s">
        <v>18</v>
      </c>
      <c r="G1291" s="2" t="s">
        <v>13</v>
      </c>
      <c r="H1291" s="2">
        <v>14</v>
      </c>
      <c r="I1291" s="2">
        <v>277</v>
      </c>
      <c r="J1291" s="5">
        <v>207750</v>
      </c>
      <c r="K1291" s="5">
        <v>93487.5</v>
      </c>
    </row>
    <row r="1292" spans="1:11" x14ac:dyDescent="0.25">
      <c r="A1292" s="2">
        <v>11291</v>
      </c>
      <c r="B1292" s="2">
        <f t="shared" si="21"/>
        <v>2022</v>
      </c>
      <c r="C1292" s="3">
        <v>44743</v>
      </c>
      <c r="D1292" s="6">
        <f t="shared" si="20"/>
        <v>44756</v>
      </c>
      <c r="E1292" s="2" t="s">
        <v>22</v>
      </c>
      <c r="F1292" s="2" t="s">
        <v>12</v>
      </c>
      <c r="G1292" s="2" t="s">
        <v>17</v>
      </c>
      <c r="H1292" s="2">
        <v>7</v>
      </c>
      <c r="I1292" s="2">
        <v>451</v>
      </c>
      <c r="J1292" s="5">
        <v>112750</v>
      </c>
      <c r="K1292" s="5">
        <v>36080</v>
      </c>
    </row>
    <row r="1293" spans="1:11" x14ac:dyDescent="0.25">
      <c r="A1293" s="2">
        <v>11292</v>
      </c>
      <c r="B1293" s="2">
        <f t="shared" si="21"/>
        <v>2022</v>
      </c>
      <c r="C1293" s="3">
        <v>44743</v>
      </c>
      <c r="D1293" s="6">
        <f t="shared" si="20"/>
        <v>44757</v>
      </c>
      <c r="E1293" s="2" t="s">
        <v>25</v>
      </c>
      <c r="F1293" s="2" t="s">
        <v>18</v>
      </c>
      <c r="G1293" s="2" t="s">
        <v>20</v>
      </c>
      <c r="H1293" s="2">
        <v>4</v>
      </c>
      <c r="I1293" s="2">
        <v>42</v>
      </c>
      <c r="J1293" s="5">
        <v>35700</v>
      </c>
      <c r="K1293" s="5">
        <v>7854</v>
      </c>
    </row>
    <row r="1294" spans="1:11" x14ac:dyDescent="0.25">
      <c r="A1294" s="2">
        <v>11293</v>
      </c>
      <c r="B1294" s="2">
        <f t="shared" si="21"/>
        <v>2022</v>
      </c>
      <c r="C1294" s="3">
        <v>44743</v>
      </c>
      <c r="D1294" s="6">
        <f t="shared" si="20"/>
        <v>44758</v>
      </c>
      <c r="E1294" s="2" t="s">
        <v>22</v>
      </c>
      <c r="F1294" s="2" t="s">
        <v>21</v>
      </c>
      <c r="G1294" s="2" t="s">
        <v>13</v>
      </c>
      <c r="H1294" s="2">
        <v>43</v>
      </c>
      <c r="I1294" s="2">
        <v>445</v>
      </c>
      <c r="J1294" s="5">
        <v>333750</v>
      </c>
      <c r="K1294" s="5">
        <v>120150</v>
      </c>
    </row>
    <row r="1295" spans="1:11" x14ac:dyDescent="0.25">
      <c r="A1295" s="2">
        <v>11294</v>
      </c>
      <c r="B1295" s="2">
        <f t="shared" si="21"/>
        <v>2022</v>
      </c>
      <c r="C1295" s="3">
        <v>44743</v>
      </c>
      <c r="D1295" s="6">
        <f t="shared" si="20"/>
        <v>44759</v>
      </c>
      <c r="E1295" s="2" t="s">
        <v>11</v>
      </c>
      <c r="F1295" s="2" t="s">
        <v>24</v>
      </c>
      <c r="G1295" s="2" t="s">
        <v>17</v>
      </c>
      <c r="H1295" s="2">
        <v>21</v>
      </c>
      <c r="I1295" s="2">
        <v>352</v>
      </c>
      <c r="J1295" s="5">
        <v>88000</v>
      </c>
      <c r="K1295" s="5">
        <v>27280</v>
      </c>
    </row>
    <row r="1296" spans="1:11" x14ac:dyDescent="0.25">
      <c r="A1296" s="2">
        <v>11295</v>
      </c>
      <c r="B1296" s="2">
        <f t="shared" si="21"/>
        <v>2022</v>
      </c>
      <c r="C1296" s="3">
        <v>44743</v>
      </c>
      <c r="D1296" s="6">
        <f t="shared" si="20"/>
        <v>44760</v>
      </c>
      <c r="E1296" s="2" t="s">
        <v>19</v>
      </c>
      <c r="F1296" s="2" t="s">
        <v>16</v>
      </c>
      <c r="G1296" s="2" t="s">
        <v>17</v>
      </c>
      <c r="H1296" s="2">
        <v>24</v>
      </c>
      <c r="I1296" s="2">
        <v>452</v>
      </c>
      <c r="J1296" s="5">
        <v>113000</v>
      </c>
      <c r="K1296" s="5">
        <v>45200</v>
      </c>
    </row>
    <row r="1297" spans="1:11" x14ac:dyDescent="0.25">
      <c r="A1297" s="2">
        <v>11296</v>
      </c>
      <c r="B1297" s="2">
        <f t="shared" si="21"/>
        <v>2022</v>
      </c>
      <c r="C1297" s="3">
        <v>44743</v>
      </c>
      <c r="D1297" s="6">
        <f t="shared" si="20"/>
        <v>44761</v>
      </c>
      <c r="E1297" s="2" t="s">
        <v>14</v>
      </c>
      <c r="F1297" s="2" t="s">
        <v>21</v>
      </c>
      <c r="G1297" s="2" t="s">
        <v>15</v>
      </c>
      <c r="H1297" s="2">
        <v>5</v>
      </c>
      <c r="I1297" s="2">
        <v>315</v>
      </c>
      <c r="J1297" s="5">
        <v>157500</v>
      </c>
      <c r="K1297" s="5">
        <v>64574.999999999993</v>
      </c>
    </row>
    <row r="1298" spans="1:11" x14ac:dyDescent="0.25">
      <c r="A1298" s="2">
        <v>11297</v>
      </c>
      <c r="B1298" s="2">
        <f t="shared" si="21"/>
        <v>2022</v>
      </c>
      <c r="C1298" s="3">
        <v>44743</v>
      </c>
      <c r="D1298" s="6">
        <f t="shared" si="20"/>
        <v>44762</v>
      </c>
      <c r="E1298" s="2" t="s">
        <v>25</v>
      </c>
      <c r="F1298" s="2" t="s">
        <v>21</v>
      </c>
      <c r="G1298" s="2" t="s">
        <v>23</v>
      </c>
      <c r="H1298" s="2">
        <v>13</v>
      </c>
      <c r="I1298" s="2">
        <v>429</v>
      </c>
      <c r="J1298" s="5">
        <v>150150</v>
      </c>
      <c r="K1298" s="5">
        <v>36036</v>
      </c>
    </row>
    <row r="1299" spans="1:11" x14ac:dyDescent="0.25">
      <c r="A1299" s="2">
        <v>11298</v>
      </c>
      <c r="B1299" s="2">
        <f t="shared" si="21"/>
        <v>2022</v>
      </c>
      <c r="C1299" s="3">
        <v>44743</v>
      </c>
      <c r="D1299" s="6">
        <f t="shared" si="20"/>
        <v>44763</v>
      </c>
      <c r="E1299" s="2" t="s">
        <v>19</v>
      </c>
      <c r="F1299" s="2" t="s">
        <v>18</v>
      </c>
      <c r="G1299" s="2" t="s">
        <v>15</v>
      </c>
      <c r="H1299" s="2">
        <v>4</v>
      </c>
      <c r="I1299" s="2">
        <v>40</v>
      </c>
      <c r="J1299" s="5">
        <v>20000</v>
      </c>
      <c r="K1299" s="5">
        <v>8400</v>
      </c>
    </row>
    <row r="1300" spans="1:11" x14ac:dyDescent="0.25">
      <c r="A1300" s="2">
        <v>11299</v>
      </c>
      <c r="B1300" s="2">
        <f t="shared" si="21"/>
        <v>2022</v>
      </c>
      <c r="C1300" s="3">
        <v>44743</v>
      </c>
      <c r="D1300" s="6">
        <f t="shared" si="20"/>
        <v>44764</v>
      </c>
      <c r="E1300" s="2" t="s">
        <v>22</v>
      </c>
      <c r="F1300" s="2" t="s">
        <v>16</v>
      </c>
      <c r="G1300" s="2" t="s">
        <v>15</v>
      </c>
      <c r="H1300" s="2">
        <v>2</v>
      </c>
      <c r="I1300" s="2">
        <v>101</v>
      </c>
      <c r="J1300" s="5">
        <v>50500</v>
      </c>
      <c r="K1300" s="5">
        <v>8585</v>
      </c>
    </row>
    <row r="1301" spans="1:11" x14ac:dyDescent="0.25">
      <c r="A1301" s="2">
        <v>11300</v>
      </c>
      <c r="B1301" s="2">
        <f t="shared" si="21"/>
        <v>2022</v>
      </c>
      <c r="C1301" s="3">
        <v>44743</v>
      </c>
      <c r="D1301" s="6">
        <f t="shared" ref="D1301:D1364" si="22">D1300+1</f>
        <v>44765</v>
      </c>
      <c r="E1301" s="2" t="s">
        <v>19</v>
      </c>
      <c r="F1301" s="2" t="s">
        <v>24</v>
      </c>
      <c r="G1301" s="2" t="s">
        <v>23</v>
      </c>
      <c r="H1301" s="2">
        <v>6</v>
      </c>
      <c r="I1301" s="2">
        <v>211</v>
      </c>
      <c r="J1301" s="5">
        <v>73850</v>
      </c>
      <c r="K1301" s="5">
        <v>7385</v>
      </c>
    </row>
    <row r="1302" spans="1:11" x14ac:dyDescent="0.25">
      <c r="A1302" s="2">
        <v>11301</v>
      </c>
      <c r="B1302" s="2">
        <f t="shared" si="21"/>
        <v>2022</v>
      </c>
      <c r="C1302" s="3">
        <v>44743</v>
      </c>
      <c r="D1302" s="6">
        <f t="shared" si="22"/>
        <v>44766</v>
      </c>
      <c r="E1302" s="2" t="s">
        <v>25</v>
      </c>
      <c r="F1302" s="2" t="s">
        <v>24</v>
      </c>
      <c r="G1302" s="2" t="s">
        <v>23</v>
      </c>
      <c r="H1302" s="2">
        <v>3</v>
      </c>
      <c r="I1302" s="2">
        <v>217</v>
      </c>
      <c r="J1302" s="5">
        <v>75950</v>
      </c>
      <c r="K1302" s="5">
        <v>19747</v>
      </c>
    </row>
    <row r="1303" spans="1:11" x14ac:dyDescent="0.25">
      <c r="A1303" s="2">
        <v>11302</v>
      </c>
      <c r="B1303" s="2">
        <f t="shared" si="21"/>
        <v>2022</v>
      </c>
      <c r="C1303" s="3">
        <v>44743</v>
      </c>
      <c r="D1303" s="6">
        <f t="shared" si="22"/>
        <v>44767</v>
      </c>
      <c r="E1303" s="2" t="s">
        <v>22</v>
      </c>
      <c r="F1303" s="2" t="s">
        <v>16</v>
      </c>
      <c r="G1303" s="2" t="s">
        <v>17</v>
      </c>
      <c r="H1303" s="2">
        <v>34</v>
      </c>
      <c r="I1303" s="2">
        <v>441</v>
      </c>
      <c r="J1303" s="5">
        <v>110250</v>
      </c>
      <c r="K1303" s="5">
        <v>30870.000000000004</v>
      </c>
    </row>
    <row r="1304" spans="1:11" x14ac:dyDescent="0.25">
      <c r="A1304" s="2">
        <v>11303</v>
      </c>
      <c r="B1304" s="2">
        <f t="shared" si="21"/>
        <v>2022</v>
      </c>
      <c r="C1304" s="3">
        <v>44743</v>
      </c>
      <c r="D1304" s="6">
        <f t="shared" si="22"/>
        <v>44768</v>
      </c>
      <c r="E1304" s="2" t="s">
        <v>22</v>
      </c>
      <c r="F1304" s="2" t="s">
        <v>16</v>
      </c>
      <c r="G1304" s="2" t="s">
        <v>23</v>
      </c>
      <c r="H1304" s="2">
        <v>12</v>
      </c>
      <c r="I1304" s="2">
        <v>134</v>
      </c>
      <c r="J1304" s="5">
        <v>46900</v>
      </c>
      <c r="K1304" s="5">
        <v>8911</v>
      </c>
    </row>
    <row r="1305" spans="1:11" x14ac:dyDescent="0.25">
      <c r="A1305" s="2">
        <v>11304</v>
      </c>
      <c r="B1305" s="2">
        <f t="shared" si="21"/>
        <v>2022</v>
      </c>
      <c r="C1305" s="3">
        <v>44743</v>
      </c>
      <c r="D1305" s="6">
        <f t="shared" si="22"/>
        <v>44769</v>
      </c>
      <c r="E1305" s="2" t="s">
        <v>19</v>
      </c>
      <c r="F1305" s="2" t="s">
        <v>18</v>
      </c>
      <c r="G1305" s="2" t="s">
        <v>23</v>
      </c>
      <c r="H1305" s="2">
        <v>20</v>
      </c>
      <c r="I1305" s="2">
        <v>434</v>
      </c>
      <c r="J1305" s="5">
        <v>151900</v>
      </c>
      <c r="K1305" s="5">
        <v>51646.000000000007</v>
      </c>
    </row>
    <row r="1306" spans="1:11" x14ac:dyDescent="0.25">
      <c r="A1306" s="2">
        <v>11305</v>
      </c>
      <c r="B1306" s="2">
        <f t="shared" si="21"/>
        <v>2022</v>
      </c>
      <c r="C1306" s="3">
        <v>44743</v>
      </c>
      <c r="D1306" s="6">
        <f t="shared" si="22"/>
        <v>44770</v>
      </c>
      <c r="E1306" s="2" t="s">
        <v>22</v>
      </c>
      <c r="F1306" s="2" t="s">
        <v>16</v>
      </c>
      <c r="G1306" s="2" t="s">
        <v>23</v>
      </c>
      <c r="H1306" s="2">
        <v>11</v>
      </c>
      <c r="I1306" s="2">
        <v>414</v>
      </c>
      <c r="J1306" s="5">
        <v>144900</v>
      </c>
      <c r="K1306" s="5">
        <v>52164</v>
      </c>
    </row>
    <row r="1307" spans="1:11" x14ac:dyDescent="0.25">
      <c r="A1307" s="2">
        <v>11306</v>
      </c>
      <c r="B1307" s="2">
        <f t="shared" si="21"/>
        <v>2022</v>
      </c>
      <c r="C1307" s="3">
        <v>44743</v>
      </c>
      <c r="D1307" s="6">
        <f t="shared" si="22"/>
        <v>44771</v>
      </c>
      <c r="E1307" s="2" t="s">
        <v>14</v>
      </c>
      <c r="F1307" s="2" t="s">
        <v>21</v>
      </c>
      <c r="G1307" s="2" t="s">
        <v>15</v>
      </c>
      <c r="H1307" s="2">
        <v>6</v>
      </c>
      <c r="I1307" s="2">
        <v>108</v>
      </c>
      <c r="J1307" s="5">
        <v>54000</v>
      </c>
      <c r="K1307" s="5">
        <v>7560.0000000000009</v>
      </c>
    </row>
    <row r="1308" spans="1:11" x14ac:dyDescent="0.25">
      <c r="A1308" s="2">
        <v>11307</v>
      </c>
      <c r="B1308" s="2">
        <f t="shared" si="21"/>
        <v>2022</v>
      </c>
      <c r="C1308" s="3">
        <v>44743</v>
      </c>
      <c r="D1308" s="6">
        <f t="shared" si="22"/>
        <v>44772</v>
      </c>
      <c r="E1308" s="2" t="s">
        <v>14</v>
      </c>
      <c r="F1308" s="2" t="s">
        <v>21</v>
      </c>
      <c r="G1308" s="2" t="s">
        <v>15</v>
      </c>
      <c r="H1308" s="2">
        <v>4</v>
      </c>
      <c r="I1308" s="2">
        <v>178</v>
      </c>
      <c r="J1308" s="5">
        <v>89000</v>
      </c>
      <c r="K1308" s="5">
        <v>16910</v>
      </c>
    </row>
    <row r="1309" spans="1:11" x14ac:dyDescent="0.25">
      <c r="A1309" s="2">
        <v>11308</v>
      </c>
      <c r="B1309" s="2">
        <f t="shared" si="21"/>
        <v>2022</v>
      </c>
      <c r="C1309" s="3">
        <v>44743</v>
      </c>
      <c r="D1309" s="6">
        <f t="shared" si="22"/>
        <v>44773</v>
      </c>
      <c r="E1309" s="2" t="s">
        <v>19</v>
      </c>
      <c r="F1309" s="2" t="s">
        <v>12</v>
      </c>
      <c r="G1309" s="2" t="s">
        <v>20</v>
      </c>
      <c r="H1309" s="2">
        <v>7</v>
      </c>
      <c r="I1309" s="2">
        <v>238</v>
      </c>
      <c r="J1309" s="5">
        <v>202300</v>
      </c>
      <c r="K1309" s="5">
        <v>24276</v>
      </c>
    </row>
    <row r="1310" spans="1:11" x14ac:dyDescent="0.25">
      <c r="A1310" s="2">
        <v>11309</v>
      </c>
      <c r="B1310" s="2">
        <f t="shared" si="21"/>
        <v>2022</v>
      </c>
      <c r="C1310" s="3">
        <v>44774</v>
      </c>
      <c r="D1310" s="6">
        <f t="shared" si="22"/>
        <v>44774</v>
      </c>
      <c r="E1310" s="2" t="s">
        <v>22</v>
      </c>
      <c r="F1310" s="2" t="s">
        <v>12</v>
      </c>
      <c r="G1310" s="2" t="s">
        <v>17</v>
      </c>
      <c r="H1310" s="2">
        <v>2</v>
      </c>
      <c r="I1310" s="2">
        <v>131</v>
      </c>
      <c r="J1310" s="5">
        <v>32750</v>
      </c>
      <c r="K1310" s="5">
        <v>5567.5</v>
      </c>
    </row>
    <row r="1311" spans="1:11" x14ac:dyDescent="0.25">
      <c r="A1311" s="2">
        <v>11310</v>
      </c>
      <c r="B1311" s="2">
        <f t="shared" si="21"/>
        <v>2022</v>
      </c>
      <c r="C1311" s="3">
        <v>44774</v>
      </c>
      <c r="D1311" s="6">
        <f t="shared" si="22"/>
        <v>44775</v>
      </c>
      <c r="E1311" s="2" t="s">
        <v>11</v>
      </c>
      <c r="F1311" s="2" t="s">
        <v>16</v>
      </c>
      <c r="G1311" s="2" t="s">
        <v>17</v>
      </c>
      <c r="H1311" s="2">
        <v>5</v>
      </c>
      <c r="I1311" s="2">
        <v>150</v>
      </c>
      <c r="J1311" s="5">
        <v>37500</v>
      </c>
      <c r="K1311" s="5">
        <v>6750</v>
      </c>
    </row>
    <row r="1312" spans="1:11" x14ac:dyDescent="0.25">
      <c r="A1312" s="2">
        <v>11311</v>
      </c>
      <c r="B1312" s="2">
        <f t="shared" si="21"/>
        <v>2022</v>
      </c>
      <c r="C1312" s="3">
        <v>44774</v>
      </c>
      <c r="D1312" s="6">
        <f t="shared" si="22"/>
        <v>44776</v>
      </c>
      <c r="E1312" s="2" t="s">
        <v>19</v>
      </c>
      <c r="F1312" s="2" t="s">
        <v>21</v>
      </c>
      <c r="G1312" s="2" t="s">
        <v>23</v>
      </c>
      <c r="H1312" s="2">
        <v>15</v>
      </c>
      <c r="I1312" s="2">
        <v>206</v>
      </c>
      <c r="J1312" s="5">
        <v>72100</v>
      </c>
      <c r="K1312" s="5">
        <v>13699</v>
      </c>
    </row>
    <row r="1313" spans="1:11" x14ac:dyDescent="0.25">
      <c r="A1313" s="2">
        <v>11312</v>
      </c>
      <c r="B1313" s="2">
        <f t="shared" si="21"/>
        <v>2022</v>
      </c>
      <c r="C1313" s="3">
        <v>44774</v>
      </c>
      <c r="D1313" s="6">
        <f t="shared" si="22"/>
        <v>44777</v>
      </c>
      <c r="E1313" s="2" t="s">
        <v>25</v>
      </c>
      <c r="F1313" s="2" t="s">
        <v>18</v>
      </c>
      <c r="G1313" s="2" t="s">
        <v>15</v>
      </c>
      <c r="H1313" s="2">
        <v>8</v>
      </c>
      <c r="I1313" s="2">
        <v>263</v>
      </c>
      <c r="J1313" s="5">
        <v>131500</v>
      </c>
      <c r="K1313" s="5">
        <v>51285</v>
      </c>
    </row>
    <row r="1314" spans="1:11" x14ac:dyDescent="0.25">
      <c r="A1314" s="2">
        <v>11313</v>
      </c>
      <c r="B1314" s="2">
        <f t="shared" si="21"/>
        <v>2022</v>
      </c>
      <c r="C1314" s="3">
        <v>44774</v>
      </c>
      <c r="D1314" s="6">
        <f t="shared" si="22"/>
        <v>44778</v>
      </c>
      <c r="E1314" s="2" t="s">
        <v>22</v>
      </c>
      <c r="F1314" s="2" t="s">
        <v>18</v>
      </c>
      <c r="G1314" s="2" t="s">
        <v>20</v>
      </c>
      <c r="H1314" s="2">
        <v>3</v>
      </c>
      <c r="I1314" s="2">
        <v>36</v>
      </c>
      <c r="J1314" s="5">
        <v>30600</v>
      </c>
      <c r="K1314" s="5">
        <v>8262</v>
      </c>
    </row>
    <row r="1315" spans="1:11" x14ac:dyDescent="0.25">
      <c r="A1315" s="2">
        <v>11314</v>
      </c>
      <c r="B1315" s="2">
        <f t="shared" si="21"/>
        <v>2022</v>
      </c>
      <c r="C1315" s="3">
        <v>44774</v>
      </c>
      <c r="D1315" s="6">
        <f t="shared" si="22"/>
        <v>44779</v>
      </c>
      <c r="E1315" s="2" t="s">
        <v>14</v>
      </c>
      <c r="F1315" s="2" t="s">
        <v>18</v>
      </c>
      <c r="G1315" s="2" t="s">
        <v>17</v>
      </c>
      <c r="H1315" s="2">
        <v>28</v>
      </c>
      <c r="I1315" s="2">
        <v>426</v>
      </c>
      <c r="J1315" s="5">
        <v>106500</v>
      </c>
      <c r="K1315" s="5">
        <v>46860</v>
      </c>
    </row>
    <row r="1316" spans="1:11" x14ac:dyDescent="0.25">
      <c r="A1316" s="2">
        <v>11315</v>
      </c>
      <c r="B1316" s="2">
        <f t="shared" si="21"/>
        <v>2022</v>
      </c>
      <c r="C1316" s="3">
        <v>44774</v>
      </c>
      <c r="D1316" s="6">
        <f t="shared" si="22"/>
        <v>44780</v>
      </c>
      <c r="E1316" s="2" t="s">
        <v>14</v>
      </c>
      <c r="F1316" s="2" t="s">
        <v>24</v>
      </c>
      <c r="G1316" s="2" t="s">
        <v>17</v>
      </c>
      <c r="H1316" s="2">
        <v>3</v>
      </c>
      <c r="I1316" s="2">
        <v>162</v>
      </c>
      <c r="J1316" s="5">
        <v>40500</v>
      </c>
      <c r="K1316" s="5">
        <v>10125</v>
      </c>
    </row>
    <row r="1317" spans="1:11" x14ac:dyDescent="0.25">
      <c r="A1317" s="2">
        <v>11316</v>
      </c>
      <c r="B1317" s="2">
        <f t="shared" si="21"/>
        <v>2022</v>
      </c>
      <c r="C1317" s="3">
        <v>44774</v>
      </c>
      <c r="D1317" s="6">
        <f t="shared" si="22"/>
        <v>44781</v>
      </c>
      <c r="E1317" s="2" t="s">
        <v>19</v>
      </c>
      <c r="F1317" s="2" t="s">
        <v>24</v>
      </c>
      <c r="G1317" s="2" t="s">
        <v>23</v>
      </c>
      <c r="H1317" s="2">
        <v>3</v>
      </c>
      <c r="I1317" s="2">
        <v>188</v>
      </c>
      <c r="J1317" s="5">
        <v>65800</v>
      </c>
      <c r="K1317" s="5">
        <v>16450</v>
      </c>
    </row>
    <row r="1318" spans="1:11" x14ac:dyDescent="0.25">
      <c r="A1318" s="2">
        <v>11317</v>
      </c>
      <c r="B1318" s="2">
        <f t="shared" si="21"/>
        <v>2022</v>
      </c>
      <c r="C1318" s="3">
        <v>44774</v>
      </c>
      <c r="D1318" s="6">
        <f t="shared" si="22"/>
        <v>44782</v>
      </c>
      <c r="E1318" s="2" t="s">
        <v>19</v>
      </c>
      <c r="F1318" s="2" t="s">
        <v>16</v>
      </c>
      <c r="G1318" s="2" t="s">
        <v>20</v>
      </c>
      <c r="H1318" s="2">
        <v>33</v>
      </c>
      <c r="I1318" s="2">
        <v>366</v>
      </c>
      <c r="J1318" s="5">
        <v>311100</v>
      </c>
      <c r="K1318" s="5">
        <v>62220</v>
      </c>
    </row>
    <row r="1319" spans="1:11" x14ac:dyDescent="0.25">
      <c r="A1319" s="2">
        <v>11318</v>
      </c>
      <c r="B1319" s="2">
        <f t="shared" si="21"/>
        <v>2022</v>
      </c>
      <c r="C1319" s="3">
        <v>44774</v>
      </c>
      <c r="D1319" s="6">
        <f t="shared" si="22"/>
        <v>44783</v>
      </c>
      <c r="E1319" s="2" t="s">
        <v>14</v>
      </c>
      <c r="F1319" s="2" t="s">
        <v>21</v>
      </c>
      <c r="G1319" s="2" t="s">
        <v>13</v>
      </c>
      <c r="H1319" s="2">
        <v>10</v>
      </c>
      <c r="I1319" s="2">
        <v>173</v>
      </c>
      <c r="J1319" s="5">
        <v>129750</v>
      </c>
      <c r="K1319" s="5">
        <v>28545</v>
      </c>
    </row>
    <row r="1320" spans="1:11" x14ac:dyDescent="0.25">
      <c r="A1320" s="2">
        <v>11319</v>
      </c>
      <c r="B1320" s="2">
        <f t="shared" si="21"/>
        <v>2022</v>
      </c>
      <c r="C1320" s="3">
        <v>44774</v>
      </c>
      <c r="D1320" s="6">
        <f t="shared" si="22"/>
        <v>44784</v>
      </c>
      <c r="E1320" s="2" t="s">
        <v>22</v>
      </c>
      <c r="F1320" s="2" t="s">
        <v>12</v>
      </c>
      <c r="G1320" s="2" t="s">
        <v>20</v>
      </c>
      <c r="H1320" s="2">
        <v>19</v>
      </c>
      <c r="I1320" s="2">
        <v>290</v>
      </c>
      <c r="J1320" s="5">
        <v>246500</v>
      </c>
      <c r="K1320" s="5">
        <v>83810</v>
      </c>
    </row>
    <row r="1321" spans="1:11" x14ac:dyDescent="0.25">
      <c r="A1321" s="2">
        <v>11320</v>
      </c>
      <c r="B1321" s="2">
        <f t="shared" si="21"/>
        <v>2022</v>
      </c>
      <c r="C1321" s="3">
        <v>44774</v>
      </c>
      <c r="D1321" s="6">
        <f t="shared" si="22"/>
        <v>44785</v>
      </c>
      <c r="E1321" s="2" t="s">
        <v>19</v>
      </c>
      <c r="F1321" s="2" t="s">
        <v>21</v>
      </c>
      <c r="G1321" s="2" t="s">
        <v>20</v>
      </c>
      <c r="H1321" s="2">
        <v>8</v>
      </c>
      <c r="I1321" s="2">
        <v>257</v>
      </c>
      <c r="J1321" s="5">
        <v>218450</v>
      </c>
      <c r="K1321" s="5">
        <v>96118</v>
      </c>
    </row>
    <row r="1322" spans="1:11" x14ac:dyDescent="0.25">
      <c r="A1322" s="2">
        <v>11321</v>
      </c>
      <c r="B1322" s="2">
        <f t="shared" si="21"/>
        <v>2022</v>
      </c>
      <c r="C1322" s="3">
        <v>44774</v>
      </c>
      <c r="D1322" s="6">
        <f t="shared" si="22"/>
        <v>44786</v>
      </c>
      <c r="E1322" s="2" t="s">
        <v>19</v>
      </c>
      <c r="F1322" s="2" t="s">
        <v>24</v>
      </c>
      <c r="G1322" s="2" t="s">
        <v>23</v>
      </c>
      <c r="H1322" s="2">
        <v>4</v>
      </c>
      <c r="I1322" s="2">
        <v>133</v>
      </c>
      <c r="J1322" s="5">
        <v>46550</v>
      </c>
      <c r="K1322" s="5">
        <v>16292.499999999998</v>
      </c>
    </row>
    <row r="1323" spans="1:11" x14ac:dyDescent="0.25">
      <c r="A1323" s="2">
        <v>11322</v>
      </c>
      <c r="B1323" s="2">
        <f t="shared" si="21"/>
        <v>2022</v>
      </c>
      <c r="C1323" s="3">
        <v>44774</v>
      </c>
      <c r="D1323" s="6">
        <f t="shared" si="22"/>
        <v>44787</v>
      </c>
      <c r="E1323" s="2" t="s">
        <v>25</v>
      </c>
      <c r="F1323" s="2" t="s">
        <v>24</v>
      </c>
      <c r="G1323" s="2" t="s">
        <v>15</v>
      </c>
      <c r="H1323" s="2">
        <v>6</v>
      </c>
      <c r="I1323" s="2">
        <v>348</v>
      </c>
      <c r="J1323" s="5">
        <v>174000</v>
      </c>
      <c r="K1323" s="5">
        <v>27840</v>
      </c>
    </row>
    <row r="1324" spans="1:11" x14ac:dyDescent="0.25">
      <c r="A1324" s="2">
        <v>11323</v>
      </c>
      <c r="B1324" s="2">
        <f t="shared" si="21"/>
        <v>2022</v>
      </c>
      <c r="C1324" s="3">
        <v>44774</v>
      </c>
      <c r="D1324" s="6">
        <f t="shared" si="22"/>
        <v>44788</v>
      </c>
      <c r="E1324" s="2" t="s">
        <v>11</v>
      </c>
      <c r="F1324" s="2" t="s">
        <v>16</v>
      </c>
      <c r="G1324" s="2" t="s">
        <v>23</v>
      </c>
      <c r="H1324" s="2">
        <v>13</v>
      </c>
      <c r="I1324" s="2">
        <v>454</v>
      </c>
      <c r="J1324" s="5">
        <v>158900</v>
      </c>
      <c r="K1324" s="5">
        <v>69916</v>
      </c>
    </row>
    <row r="1325" spans="1:11" x14ac:dyDescent="0.25">
      <c r="A1325" s="2">
        <v>11324</v>
      </c>
      <c r="B1325" s="2">
        <f t="shared" si="21"/>
        <v>2022</v>
      </c>
      <c r="C1325" s="3">
        <v>44774</v>
      </c>
      <c r="D1325" s="6">
        <f t="shared" si="22"/>
        <v>44789</v>
      </c>
      <c r="E1325" s="2" t="s">
        <v>22</v>
      </c>
      <c r="F1325" s="2" t="s">
        <v>18</v>
      </c>
      <c r="G1325" s="2" t="s">
        <v>17</v>
      </c>
      <c r="H1325" s="2">
        <v>41</v>
      </c>
      <c r="I1325" s="2">
        <v>495</v>
      </c>
      <c r="J1325" s="5">
        <v>123750</v>
      </c>
      <c r="K1325" s="5">
        <v>14850</v>
      </c>
    </row>
    <row r="1326" spans="1:11" x14ac:dyDescent="0.25">
      <c r="A1326" s="2">
        <v>11325</v>
      </c>
      <c r="B1326" s="2">
        <f t="shared" si="21"/>
        <v>2022</v>
      </c>
      <c r="C1326" s="3">
        <v>44774</v>
      </c>
      <c r="D1326" s="6">
        <f t="shared" si="22"/>
        <v>44790</v>
      </c>
      <c r="E1326" s="2" t="s">
        <v>19</v>
      </c>
      <c r="F1326" s="2" t="s">
        <v>12</v>
      </c>
      <c r="G1326" s="2" t="s">
        <v>15</v>
      </c>
      <c r="H1326" s="2">
        <v>26</v>
      </c>
      <c r="I1326" s="2">
        <v>374</v>
      </c>
      <c r="J1326" s="5">
        <v>187000</v>
      </c>
      <c r="K1326" s="5">
        <v>26180.000000000004</v>
      </c>
    </row>
    <row r="1327" spans="1:11" x14ac:dyDescent="0.25">
      <c r="A1327" s="2">
        <v>11326</v>
      </c>
      <c r="B1327" s="2">
        <f t="shared" si="21"/>
        <v>2022</v>
      </c>
      <c r="C1327" s="3">
        <v>44774</v>
      </c>
      <c r="D1327" s="6">
        <f t="shared" si="22"/>
        <v>44791</v>
      </c>
      <c r="E1327" s="2" t="s">
        <v>22</v>
      </c>
      <c r="F1327" s="2" t="s">
        <v>12</v>
      </c>
      <c r="G1327" s="2" t="s">
        <v>15</v>
      </c>
      <c r="H1327" s="2">
        <v>2</v>
      </c>
      <c r="I1327" s="2">
        <v>119</v>
      </c>
      <c r="J1327" s="5">
        <v>59500</v>
      </c>
      <c r="K1327" s="5">
        <v>20230</v>
      </c>
    </row>
    <row r="1328" spans="1:11" x14ac:dyDescent="0.25">
      <c r="A1328" s="2">
        <v>11327</v>
      </c>
      <c r="B1328" s="2">
        <f t="shared" si="21"/>
        <v>2022</v>
      </c>
      <c r="C1328" s="3">
        <v>44774</v>
      </c>
      <c r="D1328" s="6">
        <f t="shared" si="22"/>
        <v>44792</v>
      </c>
      <c r="E1328" s="2" t="s">
        <v>19</v>
      </c>
      <c r="F1328" s="2" t="s">
        <v>12</v>
      </c>
      <c r="G1328" s="2" t="s">
        <v>13</v>
      </c>
      <c r="H1328" s="2">
        <v>6</v>
      </c>
      <c r="I1328" s="2">
        <v>144</v>
      </c>
      <c r="J1328" s="5">
        <v>108000</v>
      </c>
      <c r="K1328" s="5">
        <v>19440</v>
      </c>
    </row>
    <row r="1329" spans="1:11" x14ac:dyDescent="0.25">
      <c r="A1329" s="2">
        <v>11328</v>
      </c>
      <c r="B1329" s="2">
        <f t="shared" si="21"/>
        <v>2022</v>
      </c>
      <c r="C1329" s="3">
        <v>44774</v>
      </c>
      <c r="D1329" s="6">
        <f t="shared" si="22"/>
        <v>44793</v>
      </c>
      <c r="E1329" s="2" t="s">
        <v>14</v>
      </c>
      <c r="F1329" s="2" t="s">
        <v>24</v>
      </c>
      <c r="G1329" s="2" t="s">
        <v>20</v>
      </c>
      <c r="H1329" s="2">
        <v>41</v>
      </c>
      <c r="I1329" s="2">
        <v>435</v>
      </c>
      <c r="J1329" s="5">
        <v>369750</v>
      </c>
      <c r="K1329" s="5">
        <v>166387.5</v>
      </c>
    </row>
    <row r="1330" spans="1:11" x14ac:dyDescent="0.25">
      <c r="A1330" s="2">
        <v>11329</v>
      </c>
      <c r="B1330" s="2">
        <f t="shared" si="21"/>
        <v>2022</v>
      </c>
      <c r="C1330" s="3">
        <v>44774</v>
      </c>
      <c r="D1330" s="6">
        <f t="shared" si="22"/>
        <v>44794</v>
      </c>
      <c r="E1330" s="2" t="s">
        <v>22</v>
      </c>
      <c r="F1330" s="2" t="s">
        <v>21</v>
      </c>
      <c r="G1330" s="2" t="s">
        <v>13</v>
      </c>
      <c r="H1330" s="2">
        <v>10</v>
      </c>
      <c r="I1330" s="2">
        <v>159</v>
      </c>
      <c r="J1330" s="5">
        <v>119250</v>
      </c>
      <c r="K1330" s="5">
        <v>41737.5</v>
      </c>
    </row>
    <row r="1331" spans="1:11" x14ac:dyDescent="0.25">
      <c r="A1331" s="2">
        <v>11330</v>
      </c>
      <c r="B1331" s="2">
        <f t="shared" si="21"/>
        <v>2022</v>
      </c>
      <c r="C1331" s="3">
        <v>44774</v>
      </c>
      <c r="D1331" s="6">
        <f t="shared" si="22"/>
        <v>44795</v>
      </c>
      <c r="E1331" s="2" t="s">
        <v>14</v>
      </c>
      <c r="F1331" s="2" t="s">
        <v>21</v>
      </c>
      <c r="G1331" s="2" t="s">
        <v>20</v>
      </c>
      <c r="H1331" s="2">
        <v>2</v>
      </c>
      <c r="I1331" s="2">
        <v>36</v>
      </c>
      <c r="J1331" s="5">
        <v>30600</v>
      </c>
      <c r="K1331" s="5">
        <v>7956</v>
      </c>
    </row>
    <row r="1332" spans="1:11" x14ac:dyDescent="0.25">
      <c r="A1332" s="2">
        <v>11331</v>
      </c>
      <c r="B1332" s="2">
        <f t="shared" si="21"/>
        <v>2022</v>
      </c>
      <c r="C1332" s="3">
        <v>44774</v>
      </c>
      <c r="D1332" s="6">
        <f t="shared" si="22"/>
        <v>44796</v>
      </c>
      <c r="E1332" s="2" t="s">
        <v>11</v>
      </c>
      <c r="F1332" s="2" t="s">
        <v>16</v>
      </c>
      <c r="G1332" s="2" t="s">
        <v>20</v>
      </c>
      <c r="H1332" s="2">
        <v>33</v>
      </c>
      <c r="I1332" s="2">
        <v>402</v>
      </c>
      <c r="J1332" s="5">
        <v>341700</v>
      </c>
      <c r="K1332" s="5">
        <v>61506</v>
      </c>
    </row>
    <row r="1333" spans="1:11" x14ac:dyDescent="0.25">
      <c r="A1333" s="2">
        <v>11332</v>
      </c>
      <c r="B1333" s="2">
        <f t="shared" si="21"/>
        <v>2022</v>
      </c>
      <c r="C1333" s="3">
        <v>44774</v>
      </c>
      <c r="D1333" s="6">
        <f t="shared" si="22"/>
        <v>44797</v>
      </c>
      <c r="E1333" s="2" t="s">
        <v>11</v>
      </c>
      <c r="F1333" s="2" t="s">
        <v>24</v>
      </c>
      <c r="G1333" s="2" t="s">
        <v>23</v>
      </c>
      <c r="H1333" s="2">
        <v>42</v>
      </c>
      <c r="I1333" s="2">
        <v>452</v>
      </c>
      <c r="J1333" s="5">
        <v>158200</v>
      </c>
      <c r="K1333" s="5">
        <v>30058</v>
      </c>
    </row>
    <row r="1334" spans="1:11" x14ac:dyDescent="0.25">
      <c r="A1334" s="2">
        <v>11333</v>
      </c>
      <c r="B1334" s="2">
        <f t="shared" si="21"/>
        <v>2022</v>
      </c>
      <c r="C1334" s="3">
        <v>44774</v>
      </c>
      <c r="D1334" s="6">
        <f t="shared" si="22"/>
        <v>44798</v>
      </c>
      <c r="E1334" s="2" t="s">
        <v>11</v>
      </c>
      <c r="F1334" s="2" t="s">
        <v>24</v>
      </c>
      <c r="G1334" s="2" t="s">
        <v>13</v>
      </c>
      <c r="H1334" s="2">
        <v>29</v>
      </c>
      <c r="I1334" s="2">
        <v>411</v>
      </c>
      <c r="J1334" s="5">
        <v>308250</v>
      </c>
      <c r="K1334" s="5">
        <v>43155.000000000007</v>
      </c>
    </row>
    <row r="1335" spans="1:11" x14ac:dyDescent="0.25">
      <c r="A1335" s="2">
        <v>11334</v>
      </c>
      <c r="B1335" s="2">
        <f t="shared" si="21"/>
        <v>2022</v>
      </c>
      <c r="C1335" s="3">
        <v>44774</v>
      </c>
      <c r="D1335" s="6">
        <f t="shared" si="22"/>
        <v>44799</v>
      </c>
      <c r="E1335" s="2" t="s">
        <v>22</v>
      </c>
      <c r="F1335" s="2" t="s">
        <v>21</v>
      </c>
      <c r="G1335" s="2" t="s">
        <v>13</v>
      </c>
      <c r="H1335" s="2">
        <v>2</v>
      </c>
      <c r="I1335" s="2">
        <v>37</v>
      </c>
      <c r="J1335" s="5">
        <v>27750</v>
      </c>
      <c r="K1335" s="5">
        <v>11655</v>
      </c>
    </row>
    <row r="1336" spans="1:11" x14ac:dyDescent="0.25">
      <c r="A1336" s="2">
        <v>11335</v>
      </c>
      <c r="B1336" s="2">
        <f t="shared" si="21"/>
        <v>2022</v>
      </c>
      <c r="C1336" s="3">
        <v>44774</v>
      </c>
      <c r="D1336" s="6">
        <f t="shared" si="22"/>
        <v>44800</v>
      </c>
      <c r="E1336" s="2" t="s">
        <v>22</v>
      </c>
      <c r="F1336" s="2" t="s">
        <v>21</v>
      </c>
      <c r="G1336" s="2" t="s">
        <v>20</v>
      </c>
      <c r="H1336" s="2">
        <v>7</v>
      </c>
      <c r="I1336" s="2">
        <v>75</v>
      </c>
      <c r="J1336" s="5">
        <v>63750</v>
      </c>
      <c r="K1336" s="5">
        <v>21675</v>
      </c>
    </row>
    <row r="1337" spans="1:11" x14ac:dyDescent="0.25">
      <c r="A1337" s="2">
        <v>11336</v>
      </c>
      <c r="B1337" s="2">
        <f t="shared" si="21"/>
        <v>2022</v>
      </c>
      <c r="C1337" s="3">
        <v>44774</v>
      </c>
      <c r="D1337" s="6">
        <f t="shared" si="22"/>
        <v>44801</v>
      </c>
      <c r="E1337" s="2" t="s">
        <v>14</v>
      </c>
      <c r="F1337" s="2" t="s">
        <v>16</v>
      </c>
      <c r="G1337" s="2" t="s">
        <v>15</v>
      </c>
      <c r="H1337" s="2">
        <v>6</v>
      </c>
      <c r="I1337" s="2">
        <v>97</v>
      </c>
      <c r="J1337" s="5">
        <v>48500</v>
      </c>
      <c r="K1337" s="5">
        <v>21825</v>
      </c>
    </row>
    <row r="1338" spans="1:11" x14ac:dyDescent="0.25">
      <c r="A1338" s="2">
        <v>11337</v>
      </c>
      <c r="B1338" s="2">
        <f t="shared" si="21"/>
        <v>2022</v>
      </c>
      <c r="C1338" s="3">
        <v>44774</v>
      </c>
      <c r="D1338" s="6">
        <f t="shared" si="22"/>
        <v>44802</v>
      </c>
      <c r="E1338" s="2" t="s">
        <v>19</v>
      </c>
      <c r="F1338" s="2" t="s">
        <v>24</v>
      </c>
      <c r="G1338" s="2" t="s">
        <v>20</v>
      </c>
      <c r="H1338" s="2">
        <v>41</v>
      </c>
      <c r="I1338" s="2">
        <v>467</v>
      </c>
      <c r="J1338" s="5">
        <v>396950</v>
      </c>
      <c r="K1338" s="5">
        <v>134963</v>
      </c>
    </row>
    <row r="1339" spans="1:11" x14ac:dyDescent="0.25">
      <c r="A1339" s="2">
        <v>11338</v>
      </c>
      <c r="B1339" s="2">
        <f t="shared" si="21"/>
        <v>2022</v>
      </c>
      <c r="C1339" s="3">
        <v>44774</v>
      </c>
      <c r="D1339" s="6">
        <f t="shared" si="22"/>
        <v>44803</v>
      </c>
      <c r="E1339" s="2" t="s">
        <v>25</v>
      </c>
      <c r="F1339" s="2" t="s">
        <v>12</v>
      </c>
      <c r="G1339" s="2" t="s">
        <v>20</v>
      </c>
      <c r="H1339" s="2">
        <v>3</v>
      </c>
      <c r="I1339" s="2">
        <v>72</v>
      </c>
      <c r="J1339" s="5">
        <v>61200</v>
      </c>
      <c r="K1339" s="5">
        <v>15912</v>
      </c>
    </row>
    <row r="1340" spans="1:11" x14ac:dyDescent="0.25">
      <c r="A1340" s="2">
        <v>11339</v>
      </c>
      <c r="B1340" s="2">
        <f t="shared" si="21"/>
        <v>2022</v>
      </c>
      <c r="C1340" s="3">
        <v>44774</v>
      </c>
      <c r="D1340" s="6">
        <f t="shared" si="22"/>
        <v>44804</v>
      </c>
      <c r="E1340" s="2" t="s">
        <v>14</v>
      </c>
      <c r="F1340" s="2" t="s">
        <v>12</v>
      </c>
      <c r="G1340" s="2" t="s">
        <v>23</v>
      </c>
      <c r="H1340" s="2">
        <v>13</v>
      </c>
      <c r="I1340" s="2">
        <v>328</v>
      </c>
      <c r="J1340" s="5">
        <v>114800</v>
      </c>
      <c r="K1340" s="5">
        <v>43624</v>
      </c>
    </row>
    <row r="1341" spans="1:11" x14ac:dyDescent="0.25">
      <c r="A1341" s="2">
        <v>11340</v>
      </c>
      <c r="B1341" s="2">
        <f t="shared" si="21"/>
        <v>2022</v>
      </c>
      <c r="C1341" s="3">
        <v>44805</v>
      </c>
      <c r="D1341" s="6">
        <f t="shared" si="22"/>
        <v>44805</v>
      </c>
      <c r="E1341" s="2" t="s">
        <v>25</v>
      </c>
      <c r="F1341" s="2" t="s">
        <v>12</v>
      </c>
      <c r="G1341" s="2" t="s">
        <v>13</v>
      </c>
      <c r="H1341" s="2">
        <v>9</v>
      </c>
      <c r="I1341" s="2">
        <v>142</v>
      </c>
      <c r="J1341" s="5">
        <v>106500</v>
      </c>
      <c r="K1341" s="5">
        <v>14910.000000000002</v>
      </c>
    </row>
    <row r="1342" spans="1:11" x14ac:dyDescent="0.25">
      <c r="A1342" s="2">
        <v>11341</v>
      </c>
      <c r="B1342" s="2">
        <f t="shared" si="21"/>
        <v>2022</v>
      </c>
      <c r="C1342" s="3">
        <v>44805</v>
      </c>
      <c r="D1342" s="6">
        <f t="shared" si="22"/>
        <v>44806</v>
      </c>
      <c r="E1342" s="2" t="s">
        <v>19</v>
      </c>
      <c r="F1342" s="2" t="s">
        <v>12</v>
      </c>
      <c r="G1342" s="2" t="s">
        <v>13</v>
      </c>
      <c r="H1342" s="2">
        <v>7</v>
      </c>
      <c r="I1342" s="2">
        <v>89</v>
      </c>
      <c r="J1342" s="5">
        <v>66750</v>
      </c>
      <c r="K1342" s="5">
        <v>24697.5</v>
      </c>
    </row>
    <row r="1343" spans="1:11" x14ac:dyDescent="0.25">
      <c r="A1343" s="2">
        <v>11342</v>
      </c>
      <c r="B1343" s="2">
        <f t="shared" si="21"/>
        <v>2022</v>
      </c>
      <c r="C1343" s="3">
        <v>44805</v>
      </c>
      <c r="D1343" s="6">
        <f t="shared" si="22"/>
        <v>44807</v>
      </c>
      <c r="E1343" s="2" t="s">
        <v>19</v>
      </c>
      <c r="F1343" s="2" t="s">
        <v>12</v>
      </c>
      <c r="G1343" s="2" t="s">
        <v>17</v>
      </c>
      <c r="H1343" s="2">
        <v>2</v>
      </c>
      <c r="I1343" s="2">
        <v>51</v>
      </c>
      <c r="J1343" s="5">
        <v>12750</v>
      </c>
      <c r="K1343" s="5">
        <v>2550</v>
      </c>
    </row>
    <row r="1344" spans="1:11" x14ac:dyDescent="0.25">
      <c r="A1344" s="2">
        <v>11343</v>
      </c>
      <c r="B1344" s="2">
        <f t="shared" si="21"/>
        <v>2022</v>
      </c>
      <c r="C1344" s="3">
        <v>44805</v>
      </c>
      <c r="D1344" s="6">
        <f t="shared" si="22"/>
        <v>44808</v>
      </c>
      <c r="E1344" s="2" t="s">
        <v>22</v>
      </c>
      <c r="F1344" s="2" t="s">
        <v>12</v>
      </c>
      <c r="G1344" s="2" t="s">
        <v>15</v>
      </c>
      <c r="H1344" s="2">
        <v>8</v>
      </c>
      <c r="I1344" s="2">
        <v>259</v>
      </c>
      <c r="J1344" s="5">
        <v>129500</v>
      </c>
      <c r="K1344" s="5">
        <v>53095</v>
      </c>
    </row>
    <row r="1345" spans="1:11" x14ac:dyDescent="0.25">
      <c r="A1345" s="2">
        <v>11344</v>
      </c>
      <c r="B1345" s="2">
        <f t="shared" si="21"/>
        <v>2022</v>
      </c>
      <c r="C1345" s="3">
        <v>44805</v>
      </c>
      <c r="D1345" s="6">
        <f t="shared" si="22"/>
        <v>44809</v>
      </c>
      <c r="E1345" s="2" t="s">
        <v>22</v>
      </c>
      <c r="F1345" s="2" t="s">
        <v>24</v>
      </c>
      <c r="G1345" s="2" t="s">
        <v>13</v>
      </c>
      <c r="H1345" s="2">
        <v>2</v>
      </c>
      <c r="I1345" s="2">
        <v>64</v>
      </c>
      <c r="J1345" s="5">
        <v>48000</v>
      </c>
      <c r="K1345" s="5">
        <v>4800</v>
      </c>
    </row>
    <row r="1346" spans="1:11" x14ac:dyDescent="0.25">
      <c r="A1346" s="2">
        <v>11345</v>
      </c>
      <c r="B1346" s="2">
        <f t="shared" si="21"/>
        <v>2022</v>
      </c>
      <c r="C1346" s="3">
        <v>44805</v>
      </c>
      <c r="D1346" s="6">
        <f t="shared" si="22"/>
        <v>44810</v>
      </c>
      <c r="E1346" s="2" t="s">
        <v>14</v>
      </c>
      <c r="F1346" s="2" t="s">
        <v>21</v>
      </c>
      <c r="G1346" s="2" t="s">
        <v>13</v>
      </c>
      <c r="H1346" s="2">
        <v>4</v>
      </c>
      <c r="I1346" s="2">
        <v>126</v>
      </c>
      <c r="J1346" s="5">
        <v>94500</v>
      </c>
      <c r="K1346" s="5">
        <v>13230.000000000002</v>
      </c>
    </row>
    <row r="1347" spans="1:11" x14ac:dyDescent="0.25">
      <c r="A1347" s="2">
        <v>11346</v>
      </c>
      <c r="B1347" s="2">
        <f t="shared" ref="B1347:B1410" si="23">YEAR(C1347)</f>
        <v>2022</v>
      </c>
      <c r="C1347" s="3">
        <v>44805</v>
      </c>
      <c r="D1347" s="6">
        <f t="shared" si="22"/>
        <v>44811</v>
      </c>
      <c r="E1347" s="2" t="s">
        <v>25</v>
      </c>
      <c r="F1347" s="2" t="s">
        <v>21</v>
      </c>
      <c r="G1347" s="2" t="s">
        <v>20</v>
      </c>
      <c r="H1347" s="2">
        <v>4</v>
      </c>
      <c r="I1347" s="2">
        <v>95</v>
      </c>
      <c r="J1347" s="5">
        <v>80750</v>
      </c>
      <c r="K1347" s="5">
        <v>20995</v>
      </c>
    </row>
    <row r="1348" spans="1:11" x14ac:dyDescent="0.25">
      <c r="A1348" s="2">
        <v>11347</v>
      </c>
      <c r="B1348" s="2">
        <f t="shared" si="23"/>
        <v>2022</v>
      </c>
      <c r="C1348" s="3">
        <v>44805</v>
      </c>
      <c r="D1348" s="6">
        <f t="shared" si="22"/>
        <v>44812</v>
      </c>
      <c r="E1348" s="2" t="s">
        <v>19</v>
      </c>
      <c r="F1348" s="2" t="s">
        <v>16</v>
      </c>
      <c r="G1348" s="2" t="s">
        <v>15</v>
      </c>
      <c r="H1348" s="2">
        <v>5</v>
      </c>
      <c r="I1348" s="2">
        <v>190</v>
      </c>
      <c r="J1348" s="5">
        <v>95000</v>
      </c>
      <c r="K1348" s="5">
        <v>18050</v>
      </c>
    </row>
    <row r="1349" spans="1:11" x14ac:dyDescent="0.25">
      <c r="A1349" s="2">
        <v>11348</v>
      </c>
      <c r="B1349" s="2">
        <f t="shared" si="23"/>
        <v>2022</v>
      </c>
      <c r="C1349" s="3">
        <v>44805</v>
      </c>
      <c r="D1349" s="6">
        <f t="shared" si="22"/>
        <v>44813</v>
      </c>
      <c r="E1349" s="2" t="s">
        <v>19</v>
      </c>
      <c r="F1349" s="2" t="s">
        <v>21</v>
      </c>
      <c r="G1349" s="2" t="s">
        <v>20</v>
      </c>
      <c r="H1349" s="2">
        <v>26</v>
      </c>
      <c r="I1349" s="2">
        <v>497</v>
      </c>
      <c r="J1349" s="5">
        <v>422450</v>
      </c>
      <c r="K1349" s="5">
        <v>42245</v>
      </c>
    </row>
    <row r="1350" spans="1:11" x14ac:dyDescent="0.25">
      <c r="A1350" s="2">
        <v>11349</v>
      </c>
      <c r="B1350" s="2">
        <f t="shared" si="23"/>
        <v>2022</v>
      </c>
      <c r="C1350" s="3">
        <v>44805</v>
      </c>
      <c r="D1350" s="6">
        <f t="shared" si="22"/>
        <v>44814</v>
      </c>
      <c r="E1350" s="2" t="s">
        <v>25</v>
      </c>
      <c r="F1350" s="2" t="s">
        <v>12</v>
      </c>
      <c r="G1350" s="2" t="s">
        <v>15</v>
      </c>
      <c r="H1350" s="2">
        <v>12</v>
      </c>
      <c r="I1350" s="2">
        <v>257</v>
      </c>
      <c r="J1350" s="5">
        <v>128500</v>
      </c>
      <c r="K1350" s="5">
        <v>33410</v>
      </c>
    </row>
    <row r="1351" spans="1:11" x14ac:dyDescent="0.25">
      <c r="A1351" s="2">
        <v>11350</v>
      </c>
      <c r="B1351" s="2">
        <f t="shared" si="23"/>
        <v>2022</v>
      </c>
      <c r="C1351" s="3">
        <v>44805</v>
      </c>
      <c r="D1351" s="6">
        <f t="shared" si="22"/>
        <v>44815</v>
      </c>
      <c r="E1351" s="2" t="s">
        <v>25</v>
      </c>
      <c r="F1351" s="2" t="s">
        <v>21</v>
      </c>
      <c r="G1351" s="2" t="s">
        <v>17</v>
      </c>
      <c r="H1351" s="2">
        <v>23</v>
      </c>
      <c r="I1351" s="2">
        <v>415</v>
      </c>
      <c r="J1351" s="5">
        <v>103750</v>
      </c>
      <c r="K1351" s="5">
        <v>25937.5</v>
      </c>
    </row>
    <row r="1352" spans="1:11" x14ac:dyDescent="0.25">
      <c r="A1352" s="2">
        <v>11351</v>
      </c>
      <c r="B1352" s="2">
        <f t="shared" si="23"/>
        <v>2022</v>
      </c>
      <c r="C1352" s="3">
        <v>44805</v>
      </c>
      <c r="D1352" s="6">
        <f t="shared" si="22"/>
        <v>44816</v>
      </c>
      <c r="E1352" s="2" t="s">
        <v>22</v>
      </c>
      <c r="F1352" s="2" t="s">
        <v>12</v>
      </c>
      <c r="G1352" s="2" t="s">
        <v>13</v>
      </c>
      <c r="H1352" s="2">
        <v>29</v>
      </c>
      <c r="I1352" s="2">
        <v>362</v>
      </c>
      <c r="J1352" s="5">
        <v>271500</v>
      </c>
      <c r="K1352" s="5">
        <v>97740</v>
      </c>
    </row>
    <row r="1353" spans="1:11" x14ac:dyDescent="0.25">
      <c r="A1353" s="2">
        <v>11352</v>
      </c>
      <c r="B1353" s="2">
        <f t="shared" si="23"/>
        <v>2022</v>
      </c>
      <c r="C1353" s="3">
        <v>44805</v>
      </c>
      <c r="D1353" s="6">
        <f t="shared" si="22"/>
        <v>44817</v>
      </c>
      <c r="E1353" s="2" t="s">
        <v>25</v>
      </c>
      <c r="F1353" s="2" t="s">
        <v>12</v>
      </c>
      <c r="G1353" s="2" t="s">
        <v>13</v>
      </c>
      <c r="H1353" s="2">
        <v>2</v>
      </c>
      <c r="I1353" s="2">
        <v>150</v>
      </c>
      <c r="J1353" s="5">
        <v>112500</v>
      </c>
      <c r="K1353" s="5">
        <v>49500</v>
      </c>
    </row>
    <row r="1354" spans="1:11" x14ac:dyDescent="0.25">
      <c r="A1354" s="2">
        <v>11353</v>
      </c>
      <c r="B1354" s="2">
        <f t="shared" si="23"/>
        <v>2022</v>
      </c>
      <c r="C1354" s="3">
        <v>44805</v>
      </c>
      <c r="D1354" s="6">
        <f t="shared" si="22"/>
        <v>44818</v>
      </c>
      <c r="E1354" s="2" t="s">
        <v>11</v>
      </c>
      <c r="F1354" s="2" t="s">
        <v>18</v>
      </c>
      <c r="G1354" s="2" t="s">
        <v>15</v>
      </c>
      <c r="H1354" s="2">
        <v>2</v>
      </c>
      <c r="I1354" s="2">
        <v>142</v>
      </c>
      <c r="J1354" s="5">
        <v>71000</v>
      </c>
      <c r="K1354" s="5">
        <v>29110</v>
      </c>
    </row>
    <row r="1355" spans="1:11" x14ac:dyDescent="0.25">
      <c r="A1355" s="2">
        <v>11354</v>
      </c>
      <c r="B1355" s="2">
        <f t="shared" si="23"/>
        <v>2022</v>
      </c>
      <c r="C1355" s="3">
        <v>44805</v>
      </c>
      <c r="D1355" s="6">
        <f t="shared" si="22"/>
        <v>44819</v>
      </c>
      <c r="E1355" s="2" t="s">
        <v>19</v>
      </c>
      <c r="F1355" s="2" t="s">
        <v>21</v>
      </c>
      <c r="G1355" s="2" t="s">
        <v>23</v>
      </c>
      <c r="H1355" s="2">
        <v>6</v>
      </c>
      <c r="I1355" s="2">
        <v>183</v>
      </c>
      <c r="J1355" s="5">
        <v>64050</v>
      </c>
      <c r="K1355" s="5">
        <v>14091</v>
      </c>
    </row>
    <row r="1356" spans="1:11" x14ac:dyDescent="0.25">
      <c r="A1356" s="2">
        <v>11355</v>
      </c>
      <c r="B1356" s="2">
        <f t="shared" si="23"/>
        <v>2022</v>
      </c>
      <c r="C1356" s="3">
        <v>44805</v>
      </c>
      <c r="D1356" s="6">
        <f t="shared" si="22"/>
        <v>44820</v>
      </c>
      <c r="E1356" s="2" t="s">
        <v>14</v>
      </c>
      <c r="F1356" s="2" t="s">
        <v>21</v>
      </c>
      <c r="G1356" s="2" t="s">
        <v>13</v>
      </c>
      <c r="H1356" s="2">
        <v>45</v>
      </c>
      <c r="I1356" s="2">
        <v>474</v>
      </c>
      <c r="J1356" s="5">
        <v>355500</v>
      </c>
      <c r="K1356" s="5">
        <v>63990</v>
      </c>
    </row>
    <row r="1357" spans="1:11" x14ac:dyDescent="0.25">
      <c r="A1357" s="2">
        <v>11356</v>
      </c>
      <c r="B1357" s="2">
        <f t="shared" si="23"/>
        <v>2022</v>
      </c>
      <c r="C1357" s="3">
        <v>44805</v>
      </c>
      <c r="D1357" s="6">
        <f t="shared" si="22"/>
        <v>44821</v>
      </c>
      <c r="E1357" s="2" t="s">
        <v>22</v>
      </c>
      <c r="F1357" s="2" t="s">
        <v>18</v>
      </c>
      <c r="G1357" s="2" t="s">
        <v>15</v>
      </c>
      <c r="H1357" s="2">
        <v>20</v>
      </c>
      <c r="I1357" s="2">
        <v>224</v>
      </c>
      <c r="J1357" s="5">
        <v>112000</v>
      </c>
      <c r="K1357" s="5">
        <v>21280</v>
      </c>
    </row>
    <row r="1358" spans="1:11" x14ac:dyDescent="0.25">
      <c r="A1358" s="2">
        <v>11357</v>
      </c>
      <c r="B1358" s="2">
        <f t="shared" si="23"/>
        <v>2022</v>
      </c>
      <c r="C1358" s="3">
        <v>44805</v>
      </c>
      <c r="D1358" s="6">
        <f t="shared" si="22"/>
        <v>44822</v>
      </c>
      <c r="E1358" s="2" t="s">
        <v>22</v>
      </c>
      <c r="F1358" s="2" t="s">
        <v>18</v>
      </c>
      <c r="G1358" s="2" t="s">
        <v>13</v>
      </c>
      <c r="H1358" s="2">
        <v>1</v>
      </c>
      <c r="I1358" s="2">
        <v>26</v>
      </c>
      <c r="J1358" s="5">
        <v>19500</v>
      </c>
      <c r="K1358" s="5">
        <v>7994.9999999999991</v>
      </c>
    </row>
    <row r="1359" spans="1:11" x14ac:dyDescent="0.25">
      <c r="A1359" s="2">
        <v>11358</v>
      </c>
      <c r="B1359" s="2">
        <f t="shared" si="23"/>
        <v>2022</v>
      </c>
      <c r="C1359" s="3">
        <v>44805</v>
      </c>
      <c r="D1359" s="6">
        <f t="shared" si="22"/>
        <v>44823</v>
      </c>
      <c r="E1359" s="2" t="s">
        <v>14</v>
      </c>
      <c r="F1359" s="2" t="s">
        <v>18</v>
      </c>
      <c r="G1359" s="2" t="s">
        <v>15</v>
      </c>
      <c r="H1359" s="2">
        <v>25</v>
      </c>
      <c r="I1359" s="2">
        <v>292</v>
      </c>
      <c r="J1359" s="5">
        <v>146000</v>
      </c>
      <c r="K1359" s="5">
        <v>54020</v>
      </c>
    </row>
    <row r="1360" spans="1:11" x14ac:dyDescent="0.25">
      <c r="A1360" s="2">
        <v>11359</v>
      </c>
      <c r="B1360" s="2">
        <f t="shared" si="23"/>
        <v>2022</v>
      </c>
      <c r="C1360" s="3">
        <v>44805</v>
      </c>
      <c r="D1360" s="6">
        <f t="shared" si="22"/>
        <v>44824</v>
      </c>
      <c r="E1360" s="2" t="s">
        <v>22</v>
      </c>
      <c r="F1360" s="2" t="s">
        <v>21</v>
      </c>
      <c r="G1360" s="2" t="s">
        <v>20</v>
      </c>
      <c r="H1360" s="2">
        <v>13</v>
      </c>
      <c r="I1360" s="2">
        <v>137</v>
      </c>
      <c r="J1360" s="5">
        <v>116450</v>
      </c>
      <c r="K1360" s="5">
        <v>38428.5</v>
      </c>
    </row>
    <row r="1361" spans="1:11" x14ac:dyDescent="0.25">
      <c r="A1361" s="2">
        <v>11360</v>
      </c>
      <c r="B1361" s="2">
        <f t="shared" si="23"/>
        <v>2022</v>
      </c>
      <c r="C1361" s="3">
        <v>44805</v>
      </c>
      <c r="D1361" s="6">
        <f t="shared" si="22"/>
        <v>44825</v>
      </c>
      <c r="E1361" s="2" t="s">
        <v>25</v>
      </c>
      <c r="F1361" s="2" t="s">
        <v>18</v>
      </c>
      <c r="G1361" s="2" t="s">
        <v>17</v>
      </c>
      <c r="H1361" s="2">
        <v>5</v>
      </c>
      <c r="I1361" s="2">
        <v>365</v>
      </c>
      <c r="J1361" s="5">
        <v>91250</v>
      </c>
      <c r="K1361" s="5">
        <v>38325</v>
      </c>
    </row>
    <row r="1362" spans="1:11" x14ac:dyDescent="0.25">
      <c r="A1362" s="2">
        <v>11361</v>
      </c>
      <c r="B1362" s="2">
        <f t="shared" si="23"/>
        <v>2022</v>
      </c>
      <c r="C1362" s="3">
        <v>44805</v>
      </c>
      <c r="D1362" s="6">
        <f t="shared" si="22"/>
        <v>44826</v>
      </c>
      <c r="E1362" s="2" t="s">
        <v>22</v>
      </c>
      <c r="F1362" s="2" t="s">
        <v>18</v>
      </c>
      <c r="G1362" s="2" t="s">
        <v>15</v>
      </c>
      <c r="H1362" s="2">
        <v>18</v>
      </c>
      <c r="I1362" s="2">
        <v>239</v>
      </c>
      <c r="J1362" s="5">
        <v>119500</v>
      </c>
      <c r="K1362" s="5">
        <v>22705</v>
      </c>
    </row>
    <row r="1363" spans="1:11" x14ac:dyDescent="0.25">
      <c r="A1363" s="2">
        <v>11362</v>
      </c>
      <c r="B1363" s="2">
        <f t="shared" si="23"/>
        <v>2022</v>
      </c>
      <c r="C1363" s="3">
        <v>44805</v>
      </c>
      <c r="D1363" s="6">
        <f t="shared" si="22"/>
        <v>44827</v>
      </c>
      <c r="E1363" s="2" t="s">
        <v>11</v>
      </c>
      <c r="F1363" s="2" t="s">
        <v>21</v>
      </c>
      <c r="G1363" s="2" t="s">
        <v>23</v>
      </c>
      <c r="H1363" s="2">
        <v>25</v>
      </c>
      <c r="I1363" s="2">
        <v>279</v>
      </c>
      <c r="J1363" s="5">
        <v>97650</v>
      </c>
      <c r="K1363" s="5">
        <v>22459.5</v>
      </c>
    </row>
    <row r="1364" spans="1:11" x14ac:dyDescent="0.25">
      <c r="A1364" s="2">
        <v>11363</v>
      </c>
      <c r="B1364" s="2">
        <f t="shared" si="23"/>
        <v>2022</v>
      </c>
      <c r="C1364" s="3">
        <v>44805</v>
      </c>
      <c r="D1364" s="6">
        <f t="shared" si="22"/>
        <v>44828</v>
      </c>
      <c r="E1364" s="2" t="s">
        <v>25</v>
      </c>
      <c r="F1364" s="2" t="s">
        <v>24</v>
      </c>
      <c r="G1364" s="2" t="s">
        <v>15</v>
      </c>
      <c r="H1364" s="2">
        <v>11</v>
      </c>
      <c r="I1364" s="2">
        <v>301</v>
      </c>
      <c r="J1364" s="5">
        <v>150500</v>
      </c>
      <c r="K1364" s="5">
        <v>15050</v>
      </c>
    </row>
    <row r="1365" spans="1:11" x14ac:dyDescent="0.25">
      <c r="A1365" s="2">
        <v>11364</v>
      </c>
      <c r="B1365" s="2">
        <f t="shared" si="23"/>
        <v>2022</v>
      </c>
      <c r="C1365" s="3">
        <v>44805</v>
      </c>
      <c r="D1365" s="6">
        <f t="shared" ref="D1365:D1428" si="24">D1364+1</f>
        <v>44829</v>
      </c>
      <c r="E1365" s="2" t="s">
        <v>19</v>
      </c>
      <c r="F1365" s="2" t="s">
        <v>24</v>
      </c>
      <c r="G1365" s="2" t="s">
        <v>15</v>
      </c>
      <c r="H1365" s="2">
        <v>2</v>
      </c>
      <c r="I1365" s="2">
        <v>34</v>
      </c>
      <c r="J1365" s="5">
        <v>17000</v>
      </c>
      <c r="K1365" s="5">
        <v>1700</v>
      </c>
    </row>
    <row r="1366" spans="1:11" x14ac:dyDescent="0.25">
      <c r="A1366" s="2">
        <v>11365</v>
      </c>
      <c r="B1366" s="2">
        <f t="shared" si="23"/>
        <v>2022</v>
      </c>
      <c r="C1366" s="3">
        <v>44805</v>
      </c>
      <c r="D1366" s="6">
        <f t="shared" si="24"/>
        <v>44830</v>
      </c>
      <c r="E1366" s="2" t="s">
        <v>22</v>
      </c>
      <c r="F1366" s="2" t="s">
        <v>12</v>
      </c>
      <c r="G1366" s="2" t="s">
        <v>17</v>
      </c>
      <c r="H1366" s="2">
        <v>25</v>
      </c>
      <c r="I1366" s="2">
        <v>451</v>
      </c>
      <c r="J1366" s="5">
        <v>112750</v>
      </c>
      <c r="K1366" s="5">
        <v>43972.5</v>
      </c>
    </row>
    <row r="1367" spans="1:11" x14ac:dyDescent="0.25">
      <c r="A1367" s="2">
        <v>11366</v>
      </c>
      <c r="B1367" s="2">
        <f t="shared" si="23"/>
        <v>2022</v>
      </c>
      <c r="C1367" s="3">
        <v>44805</v>
      </c>
      <c r="D1367" s="6">
        <f t="shared" si="24"/>
        <v>44831</v>
      </c>
      <c r="E1367" s="2" t="s">
        <v>25</v>
      </c>
      <c r="F1367" s="2" t="s">
        <v>12</v>
      </c>
      <c r="G1367" s="2" t="s">
        <v>13</v>
      </c>
      <c r="H1367" s="2">
        <v>4</v>
      </c>
      <c r="I1367" s="2">
        <v>92</v>
      </c>
      <c r="J1367" s="5">
        <v>69000</v>
      </c>
      <c r="K1367" s="5">
        <v>17250</v>
      </c>
    </row>
    <row r="1368" spans="1:11" x14ac:dyDescent="0.25">
      <c r="A1368" s="2">
        <v>11367</v>
      </c>
      <c r="B1368" s="2">
        <f t="shared" si="23"/>
        <v>2022</v>
      </c>
      <c r="C1368" s="3">
        <v>44805</v>
      </c>
      <c r="D1368" s="6">
        <f t="shared" si="24"/>
        <v>44832</v>
      </c>
      <c r="E1368" s="2" t="s">
        <v>25</v>
      </c>
      <c r="F1368" s="2" t="s">
        <v>16</v>
      </c>
      <c r="G1368" s="2" t="s">
        <v>13</v>
      </c>
      <c r="H1368" s="2">
        <v>15</v>
      </c>
      <c r="I1368" s="2">
        <v>185</v>
      </c>
      <c r="J1368" s="5">
        <v>138750</v>
      </c>
      <c r="K1368" s="5">
        <v>22200</v>
      </c>
    </row>
    <row r="1369" spans="1:11" x14ac:dyDescent="0.25">
      <c r="A1369" s="2">
        <v>11368</v>
      </c>
      <c r="B1369" s="2">
        <f t="shared" si="23"/>
        <v>2022</v>
      </c>
      <c r="C1369" s="3">
        <v>44805</v>
      </c>
      <c r="D1369" s="6">
        <f t="shared" si="24"/>
        <v>44833</v>
      </c>
      <c r="E1369" s="2" t="s">
        <v>25</v>
      </c>
      <c r="F1369" s="2" t="s">
        <v>18</v>
      </c>
      <c r="G1369" s="2" t="s">
        <v>23</v>
      </c>
      <c r="H1369" s="2">
        <v>11</v>
      </c>
      <c r="I1369" s="2">
        <v>290</v>
      </c>
      <c r="J1369" s="5">
        <v>101500</v>
      </c>
      <c r="K1369" s="5">
        <v>33495</v>
      </c>
    </row>
    <row r="1370" spans="1:11" x14ac:dyDescent="0.25">
      <c r="A1370" s="2">
        <v>11369</v>
      </c>
      <c r="B1370" s="2">
        <f t="shared" si="23"/>
        <v>2022</v>
      </c>
      <c r="C1370" s="3">
        <v>44805</v>
      </c>
      <c r="D1370" s="6">
        <f t="shared" si="24"/>
        <v>44834</v>
      </c>
      <c r="E1370" s="2" t="s">
        <v>22</v>
      </c>
      <c r="F1370" s="2" t="s">
        <v>12</v>
      </c>
      <c r="G1370" s="2" t="s">
        <v>20</v>
      </c>
      <c r="H1370" s="2">
        <v>2</v>
      </c>
      <c r="I1370" s="2">
        <v>20</v>
      </c>
      <c r="J1370" s="5">
        <v>17000</v>
      </c>
      <c r="K1370" s="5">
        <v>6120</v>
      </c>
    </row>
    <row r="1371" spans="1:11" x14ac:dyDescent="0.25">
      <c r="A1371" s="2">
        <v>11370</v>
      </c>
      <c r="B1371" s="2">
        <f t="shared" si="23"/>
        <v>2022</v>
      </c>
      <c r="C1371" s="3">
        <v>44835</v>
      </c>
      <c r="D1371" s="6">
        <f t="shared" si="24"/>
        <v>44835</v>
      </c>
      <c r="E1371" s="2" t="s">
        <v>25</v>
      </c>
      <c r="F1371" s="2" t="s">
        <v>18</v>
      </c>
      <c r="G1371" s="2" t="s">
        <v>15</v>
      </c>
      <c r="H1371" s="2">
        <v>30</v>
      </c>
      <c r="I1371" s="2">
        <v>341</v>
      </c>
      <c r="J1371" s="5">
        <v>170500</v>
      </c>
      <c r="K1371" s="5">
        <v>57970.000000000007</v>
      </c>
    </row>
    <row r="1372" spans="1:11" x14ac:dyDescent="0.25">
      <c r="A1372" s="2">
        <v>11371</v>
      </c>
      <c r="B1372" s="2">
        <f t="shared" si="23"/>
        <v>2022</v>
      </c>
      <c r="C1372" s="3">
        <v>44835</v>
      </c>
      <c r="D1372" s="6">
        <f t="shared" si="24"/>
        <v>44836</v>
      </c>
      <c r="E1372" s="2" t="s">
        <v>14</v>
      </c>
      <c r="F1372" s="2" t="s">
        <v>12</v>
      </c>
      <c r="G1372" s="2" t="s">
        <v>20</v>
      </c>
      <c r="H1372" s="2">
        <v>29</v>
      </c>
      <c r="I1372" s="2">
        <v>393</v>
      </c>
      <c r="J1372" s="5">
        <v>334050</v>
      </c>
      <c r="K1372" s="5">
        <v>73491</v>
      </c>
    </row>
    <row r="1373" spans="1:11" x14ac:dyDescent="0.25">
      <c r="A1373" s="2">
        <v>11372</v>
      </c>
      <c r="B1373" s="2">
        <f t="shared" si="23"/>
        <v>2022</v>
      </c>
      <c r="C1373" s="3">
        <v>44835</v>
      </c>
      <c r="D1373" s="6">
        <f t="shared" si="24"/>
        <v>44837</v>
      </c>
      <c r="E1373" s="2" t="s">
        <v>19</v>
      </c>
      <c r="F1373" s="2" t="s">
        <v>24</v>
      </c>
      <c r="G1373" s="2" t="s">
        <v>17</v>
      </c>
      <c r="H1373" s="2">
        <v>9</v>
      </c>
      <c r="I1373" s="2">
        <v>464</v>
      </c>
      <c r="J1373" s="5">
        <v>116000</v>
      </c>
      <c r="K1373" s="5">
        <v>48720</v>
      </c>
    </row>
    <row r="1374" spans="1:11" x14ac:dyDescent="0.25">
      <c r="A1374" s="2">
        <v>11373</v>
      </c>
      <c r="B1374" s="2">
        <f t="shared" si="23"/>
        <v>2022</v>
      </c>
      <c r="C1374" s="3">
        <v>44835</v>
      </c>
      <c r="D1374" s="6">
        <f t="shared" si="24"/>
        <v>44838</v>
      </c>
      <c r="E1374" s="2" t="s">
        <v>25</v>
      </c>
      <c r="F1374" s="2" t="s">
        <v>24</v>
      </c>
      <c r="G1374" s="2" t="s">
        <v>20</v>
      </c>
      <c r="H1374" s="2">
        <v>3</v>
      </c>
      <c r="I1374" s="2">
        <v>158</v>
      </c>
      <c r="J1374" s="5">
        <v>134300</v>
      </c>
      <c r="K1374" s="5">
        <v>55063</v>
      </c>
    </row>
    <row r="1375" spans="1:11" x14ac:dyDescent="0.25">
      <c r="A1375" s="2">
        <v>11374</v>
      </c>
      <c r="B1375" s="2">
        <f t="shared" si="23"/>
        <v>2022</v>
      </c>
      <c r="C1375" s="3">
        <v>44835</v>
      </c>
      <c r="D1375" s="6">
        <f t="shared" si="24"/>
        <v>44839</v>
      </c>
      <c r="E1375" s="2" t="s">
        <v>25</v>
      </c>
      <c r="F1375" s="2" t="s">
        <v>12</v>
      </c>
      <c r="G1375" s="2" t="s">
        <v>20</v>
      </c>
      <c r="H1375" s="2">
        <v>25</v>
      </c>
      <c r="I1375" s="2">
        <v>367</v>
      </c>
      <c r="J1375" s="5">
        <v>311950</v>
      </c>
      <c r="K1375" s="5">
        <v>124780</v>
      </c>
    </row>
    <row r="1376" spans="1:11" x14ac:dyDescent="0.25">
      <c r="A1376" s="2">
        <v>11375</v>
      </c>
      <c r="B1376" s="2">
        <f t="shared" si="23"/>
        <v>2022</v>
      </c>
      <c r="C1376" s="3">
        <v>44835</v>
      </c>
      <c r="D1376" s="6">
        <f t="shared" si="24"/>
        <v>44840</v>
      </c>
      <c r="E1376" s="2" t="s">
        <v>22</v>
      </c>
      <c r="F1376" s="2" t="s">
        <v>12</v>
      </c>
      <c r="G1376" s="2" t="s">
        <v>23</v>
      </c>
      <c r="H1376" s="2">
        <v>3</v>
      </c>
      <c r="I1376" s="2">
        <v>158</v>
      </c>
      <c r="J1376" s="5">
        <v>55300</v>
      </c>
      <c r="K1376" s="5">
        <v>18249</v>
      </c>
    </row>
    <row r="1377" spans="1:11" x14ac:dyDescent="0.25">
      <c r="A1377" s="2">
        <v>11376</v>
      </c>
      <c r="B1377" s="2">
        <f t="shared" si="23"/>
        <v>2022</v>
      </c>
      <c r="C1377" s="3">
        <v>44835</v>
      </c>
      <c r="D1377" s="6">
        <f t="shared" si="24"/>
        <v>44841</v>
      </c>
      <c r="E1377" s="2" t="s">
        <v>22</v>
      </c>
      <c r="F1377" s="2" t="s">
        <v>12</v>
      </c>
      <c r="G1377" s="2" t="s">
        <v>17</v>
      </c>
      <c r="H1377" s="2">
        <v>19</v>
      </c>
      <c r="I1377" s="2">
        <v>329</v>
      </c>
      <c r="J1377" s="5">
        <v>82250</v>
      </c>
      <c r="K1377" s="5">
        <v>33722.5</v>
      </c>
    </row>
    <row r="1378" spans="1:11" x14ac:dyDescent="0.25">
      <c r="A1378" s="2">
        <v>11377</v>
      </c>
      <c r="B1378" s="2">
        <f t="shared" si="23"/>
        <v>2022</v>
      </c>
      <c r="C1378" s="3">
        <v>44835</v>
      </c>
      <c r="D1378" s="6">
        <f t="shared" si="24"/>
        <v>44842</v>
      </c>
      <c r="E1378" s="2" t="s">
        <v>11</v>
      </c>
      <c r="F1378" s="2" t="s">
        <v>18</v>
      </c>
      <c r="G1378" s="2" t="s">
        <v>13</v>
      </c>
      <c r="H1378" s="2">
        <v>24</v>
      </c>
      <c r="I1378" s="2">
        <v>265</v>
      </c>
      <c r="J1378" s="5">
        <v>198750</v>
      </c>
      <c r="K1378" s="5">
        <v>39750</v>
      </c>
    </row>
    <row r="1379" spans="1:11" x14ac:dyDescent="0.25">
      <c r="A1379" s="2">
        <v>11378</v>
      </c>
      <c r="B1379" s="2">
        <f t="shared" si="23"/>
        <v>2022</v>
      </c>
      <c r="C1379" s="3">
        <v>44835</v>
      </c>
      <c r="D1379" s="6">
        <f t="shared" si="24"/>
        <v>44843</v>
      </c>
      <c r="E1379" s="2" t="s">
        <v>19</v>
      </c>
      <c r="F1379" s="2" t="s">
        <v>24</v>
      </c>
      <c r="G1379" s="2" t="s">
        <v>20</v>
      </c>
      <c r="H1379" s="2">
        <v>17</v>
      </c>
      <c r="I1379" s="2">
        <v>186</v>
      </c>
      <c r="J1379" s="5">
        <v>158100</v>
      </c>
      <c r="K1379" s="5">
        <v>25296</v>
      </c>
    </row>
    <row r="1380" spans="1:11" x14ac:dyDescent="0.25">
      <c r="A1380" s="2">
        <v>11379</v>
      </c>
      <c r="B1380" s="2">
        <f t="shared" si="23"/>
        <v>2022</v>
      </c>
      <c r="C1380" s="3">
        <v>44835</v>
      </c>
      <c r="D1380" s="6">
        <f t="shared" si="24"/>
        <v>44844</v>
      </c>
      <c r="E1380" s="2" t="s">
        <v>22</v>
      </c>
      <c r="F1380" s="2" t="s">
        <v>12</v>
      </c>
      <c r="G1380" s="2" t="s">
        <v>15</v>
      </c>
      <c r="H1380" s="2">
        <v>15</v>
      </c>
      <c r="I1380" s="2">
        <v>219</v>
      </c>
      <c r="J1380" s="5">
        <v>109500</v>
      </c>
      <c r="K1380" s="5">
        <v>32850</v>
      </c>
    </row>
    <row r="1381" spans="1:11" x14ac:dyDescent="0.25">
      <c r="A1381" s="2">
        <v>11380</v>
      </c>
      <c r="B1381" s="2">
        <f t="shared" si="23"/>
        <v>2022</v>
      </c>
      <c r="C1381" s="3">
        <v>44835</v>
      </c>
      <c r="D1381" s="6">
        <f t="shared" si="24"/>
        <v>44845</v>
      </c>
      <c r="E1381" s="2" t="s">
        <v>14</v>
      </c>
      <c r="F1381" s="2" t="s">
        <v>18</v>
      </c>
      <c r="G1381" s="2" t="s">
        <v>13</v>
      </c>
      <c r="H1381" s="2">
        <v>14</v>
      </c>
      <c r="I1381" s="2">
        <v>174</v>
      </c>
      <c r="J1381" s="5">
        <v>130500</v>
      </c>
      <c r="K1381" s="5">
        <v>56115</v>
      </c>
    </row>
    <row r="1382" spans="1:11" x14ac:dyDescent="0.25">
      <c r="A1382" s="2">
        <v>11381</v>
      </c>
      <c r="B1382" s="2">
        <f t="shared" si="23"/>
        <v>2022</v>
      </c>
      <c r="C1382" s="3">
        <v>44835</v>
      </c>
      <c r="D1382" s="6">
        <f t="shared" si="24"/>
        <v>44846</v>
      </c>
      <c r="E1382" s="2" t="s">
        <v>25</v>
      </c>
      <c r="F1382" s="2" t="s">
        <v>18</v>
      </c>
      <c r="G1382" s="2" t="s">
        <v>20</v>
      </c>
      <c r="H1382" s="2">
        <v>6</v>
      </c>
      <c r="I1382" s="2">
        <v>68</v>
      </c>
      <c r="J1382" s="5">
        <v>57800</v>
      </c>
      <c r="K1382" s="5">
        <v>16184.000000000002</v>
      </c>
    </row>
    <row r="1383" spans="1:11" x14ac:dyDescent="0.25">
      <c r="A1383" s="2">
        <v>11382</v>
      </c>
      <c r="B1383" s="2">
        <f t="shared" si="23"/>
        <v>2022</v>
      </c>
      <c r="C1383" s="3">
        <v>44835</v>
      </c>
      <c r="D1383" s="6">
        <f t="shared" si="24"/>
        <v>44847</v>
      </c>
      <c r="E1383" s="2" t="s">
        <v>25</v>
      </c>
      <c r="F1383" s="2" t="s">
        <v>21</v>
      </c>
      <c r="G1383" s="2" t="s">
        <v>23</v>
      </c>
      <c r="H1383" s="2">
        <v>19</v>
      </c>
      <c r="I1383" s="2">
        <v>395</v>
      </c>
      <c r="J1383" s="5">
        <v>138250</v>
      </c>
      <c r="K1383" s="5">
        <v>51152.5</v>
      </c>
    </row>
    <row r="1384" spans="1:11" x14ac:dyDescent="0.25">
      <c r="A1384" s="2">
        <v>11383</v>
      </c>
      <c r="B1384" s="2">
        <f t="shared" si="23"/>
        <v>2022</v>
      </c>
      <c r="C1384" s="3">
        <v>44835</v>
      </c>
      <c r="D1384" s="6">
        <f t="shared" si="24"/>
        <v>44848</v>
      </c>
      <c r="E1384" s="2" t="s">
        <v>22</v>
      </c>
      <c r="F1384" s="2" t="s">
        <v>21</v>
      </c>
      <c r="G1384" s="2" t="s">
        <v>15</v>
      </c>
      <c r="H1384" s="2">
        <v>10</v>
      </c>
      <c r="I1384" s="2">
        <v>164</v>
      </c>
      <c r="J1384" s="5">
        <v>82000</v>
      </c>
      <c r="K1384" s="5">
        <v>15580</v>
      </c>
    </row>
    <row r="1385" spans="1:11" x14ac:dyDescent="0.25">
      <c r="A1385" s="2">
        <v>11384</v>
      </c>
      <c r="B1385" s="2">
        <f t="shared" si="23"/>
        <v>2022</v>
      </c>
      <c r="C1385" s="3">
        <v>44835</v>
      </c>
      <c r="D1385" s="6">
        <f t="shared" si="24"/>
        <v>44849</v>
      </c>
      <c r="E1385" s="2" t="s">
        <v>25</v>
      </c>
      <c r="F1385" s="2" t="s">
        <v>18</v>
      </c>
      <c r="G1385" s="2" t="s">
        <v>17</v>
      </c>
      <c r="H1385" s="2">
        <v>19</v>
      </c>
      <c r="I1385" s="2">
        <v>212</v>
      </c>
      <c r="J1385" s="5">
        <v>53000</v>
      </c>
      <c r="K1385" s="5">
        <v>15369.999999999998</v>
      </c>
    </row>
    <row r="1386" spans="1:11" x14ac:dyDescent="0.25">
      <c r="A1386" s="2">
        <v>11385</v>
      </c>
      <c r="B1386" s="2">
        <f t="shared" si="23"/>
        <v>2022</v>
      </c>
      <c r="C1386" s="3">
        <v>44835</v>
      </c>
      <c r="D1386" s="6">
        <f t="shared" si="24"/>
        <v>44850</v>
      </c>
      <c r="E1386" s="2" t="s">
        <v>22</v>
      </c>
      <c r="F1386" s="2" t="s">
        <v>12</v>
      </c>
      <c r="G1386" s="2" t="s">
        <v>13</v>
      </c>
      <c r="H1386" s="2">
        <v>40</v>
      </c>
      <c r="I1386" s="2">
        <v>400</v>
      </c>
      <c r="J1386" s="5">
        <v>300000</v>
      </c>
      <c r="K1386" s="5">
        <v>81000</v>
      </c>
    </row>
    <row r="1387" spans="1:11" x14ac:dyDescent="0.25">
      <c r="A1387" s="2">
        <v>11386</v>
      </c>
      <c r="B1387" s="2">
        <f t="shared" si="23"/>
        <v>2022</v>
      </c>
      <c r="C1387" s="3">
        <v>44835</v>
      </c>
      <c r="D1387" s="6">
        <f t="shared" si="24"/>
        <v>44851</v>
      </c>
      <c r="E1387" s="2" t="s">
        <v>25</v>
      </c>
      <c r="F1387" s="2" t="s">
        <v>18</v>
      </c>
      <c r="G1387" s="2" t="s">
        <v>15</v>
      </c>
      <c r="H1387" s="2">
        <v>33</v>
      </c>
      <c r="I1387" s="2">
        <v>392</v>
      </c>
      <c r="J1387" s="5">
        <v>196000</v>
      </c>
      <c r="K1387" s="5">
        <v>39200</v>
      </c>
    </row>
    <row r="1388" spans="1:11" x14ac:dyDescent="0.25">
      <c r="A1388" s="2">
        <v>11387</v>
      </c>
      <c r="B1388" s="2">
        <f t="shared" si="23"/>
        <v>2022</v>
      </c>
      <c r="C1388" s="3">
        <v>44835</v>
      </c>
      <c r="D1388" s="6">
        <f t="shared" si="24"/>
        <v>44852</v>
      </c>
      <c r="E1388" s="2" t="s">
        <v>11</v>
      </c>
      <c r="F1388" s="2" t="s">
        <v>24</v>
      </c>
      <c r="G1388" s="2" t="s">
        <v>20</v>
      </c>
      <c r="H1388" s="2">
        <v>38</v>
      </c>
      <c r="I1388" s="2">
        <v>432</v>
      </c>
      <c r="J1388" s="5">
        <v>367200</v>
      </c>
      <c r="K1388" s="5">
        <v>143208</v>
      </c>
    </row>
    <row r="1389" spans="1:11" x14ac:dyDescent="0.25">
      <c r="A1389" s="2">
        <v>11388</v>
      </c>
      <c r="B1389" s="2">
        <f t="shared" si="23"/>
        <v>2022</v>
      </c>
      <c r="C1389" s="3">
        <v>44835</v>
      </c>
      <c r="D1389" s="6">
        <f t="shared" si="24"/>
        <v>44853</v>
      </c>
      <c r="E1389" s="2" t="s">
        <v>22</v>
      </c>
      <c r="F1389" s="2" t="s">
        <v>24</v>
      </c>
      <c r="G1389" s="2" t="s">
        <v>15</v>
      </c>
      <c r="H1389" s="2">
        <v>13</v>
      </c>
      <c r="I1389" s="2">
        <v>384</v>
      </c>
      <c r="J1389" s="5">
        <v>192000</v>
      </c>
      <c r="K1389" s="5">
        <v>26880.000000000004</v>
      </c>
    </row>
    <row r="1390" spans="1:11" x14ac:dyDescent="0.25">
      <c r="A1390" s="2">
        <v>11389</v>
      </c>
      <c r="B1390" s="2">
        <f t="shared" si="23"/>
        <v>2022</v>
      </c>
      <c r="C1390" s="3">
        <v>44835</v>
      </c>
      <c r="D1390" s="6">
        <f t="shared" si="24"/>
        <v>44854</v>
      </c>
      <c r="E1390" s="2" t="s">
        <v>19</v>
      </c>
      <c r="F1390" s="2" t="s">
        <v>16</v>
      </c>
      <c r="G1390" s="2" t="s">
        <v>13</v>
      </c>
      <c r="H1390" s="2">
        <v>5</v>
      </c>
      <c r="I1390" s="2">
        <v>257</v>
      </c>
      <c r="J1390" s="5">
        <v>192750</v>
      </c>
      <c r="K1390" s="5">
        <v>46260</v>
      </c>
    </row>
    <row r="1391" spans="1:11" x14ac:dyDescent="0.25">
      <c r="A1391" s="2">
        <v>11390</v>
      </c>
      <c r="B1391" s="2">
        <f t="shared" si="23"/>
        <v>2022</v>
      </c>
      <c r="C1391" s="3">
        <v>44835</v>
      </c>
      <c r="D1391" s="6">
        <f t="shared" si="24"/>
        <v>44855</v>
      </c>
      <c r="E1391" s="2" t="s">
        <v>25</v>
      </c>
      <c r="F1391" s="2" t="s">
        <v>16</v>
      </c>
      <c r="G1391" s="2" t="s">
        <v>20</v>
      </c>
      <c r="H1391" s="2">
        <v>3</v>
      </c>
      <c r="I1391" s="2">
        <v>176</v>
      </c>
      <c r="J1391" s="5">
        <v>149600</v>
      </c>
      <c r="K1391" s="5">
        <v>64328</v>
      </c>
    </row>
    <row r="1392" spans="1:11" x14ac:dyDescent="0.25">
      <c r="A1392" s="2">
        <v>11391</v>
      </c>
      <c r="B1392" s="2">
        <f t="shared" si="23"/>
        <v>2022</v>
      </c>
      <c r="C1392" s="3">
        <v>44835</v>
      </c>
      <c r="D1392" s="6">
        <f t="shared" si="24"/>
        <v>44856</v>
      </c>
      <c r="E1392" s="2" t="s">
        <v>25</v>
      </c>
      <c r="F1392" s="2" t="s">
        <v>12</v>
      </c>
      <c r="G1392" s="2" t="s">
        <v>20</v>
      </c>
      <c r="H1392" s="2">
        <v>7</v>
      </c>
      <c r="I1392" s="2">
        <v>96</v>
      </c>
      <c r="J1392" s="5">
        <v>81600</v>
      </c>
      <c r="K1392" s="5">
        <v>11424.000000000002</v>
      </c>
    </row>
    <row r="1393" spans="1:11" x14ac:dyDescent="0.25">
      <c r="A1393" s="2">
        <v>11392</v>
      </c>
      <c r="B1393" s="2">
        <f t="shared" si="23"/>
        <v>2022</v>
      </c>
      <c r="C1393" s="3">
        <v>44835</v>
      </c>
      <c r="D1393" s="6">
        <f t="shared" si="24"/>
        <v>44857</v>
      </c>
      <c r="E1393" s="2" t="s">
        <v>25</v>
      </c>
      <c r="F1393" s="2" t="s">
        <v>18</v>
      </c>
      <c r="G1393" s="2" t="s">
        <v>17</v>
      </c>
      <c r="H1393" s="2">
        <v>1</v>
      </c>
      <c r="I1393" s="2">
        <v>26</v>
      </c>
      <c r="J1393" s="5">
        <v>6500</v>
      </c>
      <c r="K1393" s="5">
        <v>2015</v>
      </c>
    </row>
    <row r="1394" spans="1:11" x14ac:dyDescent="0.25">
      <c r="A1394" s="2">
        <v>11393</v>
      </c>
      <c r="B1394" s="2">
        <f t="shared" si="23"/>
        <v>2022</v>
      </c>
      <c r="C1394" s="3">
        <v>44835</v>
      </c>
      <c r="D1394" s="6">
        <f t="shared" si="24"/>
        <v>44858</v>
      </c>
      <c r="E1394" s="2" t="s">
        <v>25</v>
      </c>
      <c r="F1394" s="2" t="s">
        <v>16</v>
      </c>
      <c r="G1394" s="2" t="s">
        <v>23</v>
      </c>
      <c r="H1394" s="2">
        <v>7</v>
      </c>
      <c r="I1394" s="2">
        <v>197</v>
      </c>
      <c r="J1394" s="5">
        <v>68950</v>
      </c>
      <c r="K1394" s="5">
        <v>17927</v>
      </c>
    </row>
    <row r="1395" spans="1:11" x14ac:dyDescent="0.25">
      <c r="A1395" s="2">
        <v>11394</v>
      </c>
      <c r="B1395" s="2">
        <f t="shared" si="23"/>
        <v>2022</v>
      </c>
      <c r="C1395" s="3">
        <v>44835</v>
      </c>
      <c r="D1395" s="6">
        <f t="shared" si="24"/>
        <v>44859</v>
      </c>
      <c r="E1395" s="2" t="s">
        <v>14</v>
      </c>
      <c r="F1395" s="2" t="s">
        <v>24</v>
      </c>
      <c r="G1395" s="2" t="s">
        <v>13</v>
      </c>
      <c r="H1395" s="2">
        <v>13</v>
      </c>
      <c r="I1395" s="2">
        <v>312</v>
      </c>
      <c r="J1395" s="5">
        <v>234000</v>
      </c>
      <c r="K1395" s="5">
        <v>35100</v>
      </c>
    </row>
    <row r="1396" spans="1:11" x14ac:dyDescent="0.25">
      <c r="A1396" s="2">
        <v>11395</v>
      </c>
      <c r="B1396" s="2">
        <f t="shared" si="23"/>
        <v>2022</v>
      </c>
      <c r="C1396" s="3">
        <v>44835</v>
      </c>
      <c r="D1396" s="6">
        <f t="shared" si="24"/>
        <v>44860</v>
      </c>
      <c r="E1396" s="2" t="s">
        <v>19</v>
      </c>
      <c r="F1396" s="2" t="s">
        <v>21</v>
      </c>
      <c r="G1396" s="2" t="s">
        <v>23</v>
      </c>
      <c r="H1396" s="2">
        <v>6</v>
      </c>
      <c r="I1396" s="2">
        <v>179</v>
      </c>
      <c r="J1396" s="5">
        <v>62650</v>
      </c>
      <c r="K1396" s="5">
        <v>16289</v>
      </c>
    </row>
    <row r="1397" spans="1:11" x14ac:dyDescent="0.25">
      <c r="A1397" s="2">
        <v>11396</v>
      </c>
      <c r="B1397" s="2">
        <f t="shared" si="23"/>
        <v>2022</v>
      </c>
      <c r="C1397" s="3">
        <v>44835</v>
      </c>
      <c r="D1397" s="6">
        <f t="shared" si="24"/>
        <v>44861</v>
      </c>
      <c r="E1397" s="2" t="s">
        <v>14</v>
      </c>
      <c r="F1397" s="2" t="s">
        <v>24</v>
      </c>
      <c r="G1397" s="2" t="s">
        <v>13</v>
      </c>
      <c r="H1397" s="2">
        <v>14</v>
      </c>
      <c r="I1397" s="2">
        <v>254</v>
      </c>
      <c r="J1397" s="5">
        <v>190500</v>
      </c>
      <c r="K1397" s="5">
        <v>30480</v>
      </c>
    </row>
    <row r="1398" spans="1:11" x14ac:dyDescent="0.25">
      <c r="A1398" s="2">
        <v>11397</v>
      </c>
      <c r="B1398" s="2">
        <f t="shared" si="23"/>
        <v>2022</v>
      </c>
      <c r="C1398" s="3">
        <v>44835</v>
      </c>
      <c r="D1398" s="6">
        <f t="shared" si="24"/>
        <v>44862</v>
      </c>
      <c r="E1398" s="2" t="s">
        <v>22</v>
      </c>
      <c r="F1398" s="2" t="s">
        <v>18</v>
      </c>
      <c r="G1398" s="2" t="s">
        <v>23</v>
      </c>
      <c r="H1398" s="2">
        <v>13</v>
      </c>
      <c r="I1398" s="2">
        <v>242</v>
      </c>
      <c r="J1398" s="5">
        <v>84700</v>
      </c>
      <c r="K1398" s="5">
        <v>11011</v>
      </c>
    </row>
    <row r="1399" spans="1:11" x14ac:dyDescent="0.25">
      <c r="A1399" s="2">
        <v>11398</v>
      </c>
      <c r="B1399" s="2">
        <f t="shared" si="23"/>
        <v>2022</v>
      </c>
      <c r="C1399" s="3">
        <v>44835</v>
      </c>
      <c r="D1399" s="6">
        <f t="shared" si="24"/>
        <v>44863</v>
      </c>
      <c r="E1399" s="2" t="s">
        <v>11</v>
      </c>
      <c r="F1399" s="2" t="s">
        <v>24</v>
      </c>
      <c r="G1399" s="2" t="s">
        <v>17</v>
      </c>
      <c r="H1399" s="2">
        <v>5</v>
      </c>
      <c r="I1399" s="2">
        <v>96</v>
      </c>
      <c r="J1399" s="5">
        <v>24000</v>
      </c>
      <c r="K1399" s="5">
        <v>4560</v>
      </c>
    </row>
    <row r="1400" spans="1:11" x14ac:dyDescent="0.25">
      <c r="A1400" s="2">
        <v>11399</v>
      </c>
      <c r="B1400" s="2">
        <f t="shared" si="23"/>
        <v>2022</v>
      </c>
      <c r="C1400" s="3">
        <v>44835</v>
      </c>
      <c r="D1400" s="6">
        <f t="shared" si="24"/>
        <v>44864</v>
      </c>
      <c r="E1400" s="2" t="s">
        <v>14</v>
      </c>
      <c r="F1400" s="2" t="s">
        <v>12</v>
      </c>
      <c r="G1400" s="2" t="s">
        <v>17</v>
      </c>
      <c r="H1400" s="2">
        <v>23</v>
      </c>
      <c r="I1400" s="2">
        <v>337</v>
      </c>
      <c r="J1400" s="5">
        <v>84250</v>
      </c>
      <c r="K1400" s="5">
        <v>26960</v>
      </c>
    </row>
    <row r="1401" spans="1:11" x14ac:dyDescent="0.25">
      <c r="A1401" s="2">
        <v>11400</v>
      </c>
      <c r="B1401" s="2">
        <f t="shared" si="23"/>
        <v>2022</v>
      </c>
      <c r="C1401" s="3">
        <v>44835</v>
      </c>
      <c r="D1401" s="6">
        <f t="shared" si="24"/>
        <v>44865</v>
      </c>
      <c r="E1401" s="2" t="s">
        <v>25</v>
      </c>
      <c r="F1401" s="2" t="s">
        <v>16</v>
      </c>
      <c r="G1401" s="2" t="s">
        <v>23</v>
      </c>
      <c r="H1401" s="2">
        <v>28</v>
      </c>
      <c r="I1401" s="2">
        <v>369</v>
      </c>
      <c r="J1401" s="5">
        <v>129150</v>
      </c>
      <c r="K1401" s="5">
        <v>50368.5</v>
      </c>
    </row>
    <row r="1402" spans="1:11" x14ac:dyDescent="0.25">
      <c r="A1402" s="2">
        <v>11401</v>
      </c>
      <c r="B1402" s="2">
        <f t="shared" si="23"/>
        <v>2022</v>
      </c>
      <c r="C1402" s="3">
        <v>44866</v>
      </c>
      <c r="D1402" s="6">
        <f t="shared" si="24"/>
        <v>44866</v>
      </c>
      <c r="E1402" s="2" t="s">
        <v>14</v>
      </c>
      <c r="F1402" s="2" t="s">
        <v>24</v>
      </c>
      <c r="G1402" s="2" t="s">
        <v>13</v>
      </c>
      <c r="H1402" s="2">
        <v>10</v>
      </c>
      <c r="I1402" s="2">
        <v>277</v>
      </c>
      <c r="J1402" s="5">
        <v>207750</v>
      </c>
      <c r="K1402" s="5">
        <v>60247.499999999993</v>
      </c>
    </row>
    <row r="1403" spans="1:11" x14ac:dyDescent="0.25">
      <c r="A1403" s="2">
        <v>11402</v>
      </c>
      <c r="B1403" s="2">
        <f t="shared" si="23"/>
        <v>2022</v>
      </c>
      <c r="C1403" s="3">
        <v>44866</v>
      </c>
      <c r="D1403" s="6">
        <f t="shared" si="24"/>
        <v>44867</v>
      </c>
      <c r="E1403" s="2" t="s">
        <v>25</v>
      </c>
      <c r="F1403" s="2" t="s">
        <v>16</v>
      </c>
      <c r="G1403" s="2" t="s">
        <v>15</v>
      </c>
      <c r="H1403" s="2">
        <v>13</v>
      </c>
      <c r="I1403" s="2">
        <v>138</v>
      </c>
      <c r="J1403" s="5">
        <v>69000</v>
      </c>
      <c r="K1403" s="5">
        <v>8970</v>
      </c>
    </row>
    <row r="1404" spans="1:11" x14ac:dyDescent="0.25">
      <c r="A1404" s="2">
        <v>11403</v>
      </c>
      <c r="B1404" s="2">
        <f t="shared" si="23"/>
        <v>2022</v>
      </c>
      <c r="C1404" s="3">
        <v>44866</v>
      </c>
      <c r="D1404" s="6">
        <f t="shared" si="24"/>
        <v>44868</v>
      </c>
      <c r="E1404" s="2" t="s">
        <v>19</v>
      </c>
      <c r="F1404" s="2" t="s">
        <v>12</v>
      </c>
      <c r="G1404" s="2" t="s">
        <v>13</v>
      </c>
      <c r="H1404" s="2">
        <v>13</v>
      </c>
      <c r="I1404" s="2">
        <v>285</v>
      </c>
      <c r="J1404" s="5">
        <v>213750</v>
      </c>
      <c r="K1404" s="5">
        <v>21375</v>
      </c>
    </row>
    <row r="1405" spans="1:11" x14ac:dyDescent="0.25">
      <c r="A1405" s="2">
        <v>11404</v>
      </c>
      <c r="B1405" s="2">
        <f t="shared" si="23"/>
        <v>2022</v>
      </c>
      <c r="C1405" s="3">
        <v>44866</v>
      </c>
      <c r="D1405" s="6">
        <f t="shared" si="24"/>
        <v>44869</v>
      </c>
      <c r="E1405" s="2" t="s">
        <v>25</v>
      </c>
      <c r="F1405" s="2" t="s">
        <v>16</v>
      </c>
      <c r="G1405" s="2" t="s">
        <v>17</v>
      </c>
      <c r="H1405" s="2">
        <v>7</v>
      </c>
      <c r="I1405" s="2">
        <v>223</v>
      </c>
      <c r="J1405" s="5">
        <v>55750</v>
      </c>
      <c r="K1405" s="5">
        <v>18397.5</v>
      </c>
    </row>
    <row r="1406" spans="1:11" x14ac:dyDescent="0.25">
      <c r="A1406" s="2">
        <v>11405</v>
      </c>
      <c r="B1406" s="2">
        <f t="shared" si="23"/>
        <v>2022</v>
      </c>
      <c r="C1406" s="3">
        <v>44866</v>
      </c>
      <c r="D1406" s="6">
        <f t="shared" si="24"/>
        <v>44870</v>
      </c>
      <c r="E1406" s="2" t="s">
        <v>22</v>
      </c>
      <c r="F1406" s="2" t="s">
        <v>21</v>
      </c>
      <c r="G1406" s="2" t="s">
        <v>20</v>
      </c>
      <c r="H1406" s="2">
        <v>37</v>
      </c>
      <c r="I1406" s="2">
        <v>378</v>
      </c>
      <c r="J1406" s="5">
        <v>321300</v>
      </c>
      <c r="K1406" s="5">
        <v>61047</v>
      </c>
    </row>
    <row r="1407" spans="1:11" x14ac:dyDescent="0.25">
      <c r="A1407" s="2">
        <v>11406</v>
      </c>
      <c r="B1407" s="2">
        <f t="shared" si="23"/>
        <v>2022</v>
      </c>
      <c r="C1407" s="3">
        <v>44866</v>
      </c>
      <c r="D1407" s="6">
        <f t="shared" si="24"/>
        <v>44871</v>
      </c>
      <c r="E1407" s="2" t="s">
        <v>11</v>
      </c>
      <c r="F1407" s="2" t="s">
        <v>18</v>
      </c>
      <c r="G1407" s="2" t="s">
        <v>17</v>
      </c>
      <c r="H1407" s="2">
        <v>15</v>
      </c>
      <c r="I1407" s="2">
        <v>205</v>
      </c>
      <c r="J1407" s="5">
        <v>51250</v>
      </c>
      <c r="K1407" s="5">
        <v>19475</v>
      </c>
    </row>
    <row r="1408" spans="1:11" x14ac:dyDescent="0.25">
      <c r="A1408" s="2">
        <v>11407</v>
      </c>
      <c r="B1408" s="2">
        <f t="shared" si="23"/>
        <v>2022</v>
      </c>
      <c r="C1408" s="3">
        <v>44866</v>
      </c>
      <c r="D1408" s="6">
        <f t="shared" si="24"/>
        <v>44872</v>
      </c>
      <c r="E1408" s="2" t="s">
        <v>19</v>
      </c>
      <c r="F1408" s="2" t="s">
        <v>21</v>
      </c>
      <c r="G1408" s="2" t="s">
        <v>20</v>
      </c>
      <c r="H1408" s="2">
        <v>20</v>
      </c>
      <c r="I1408" s="2">
        <v>492</v>
      </c>
      <c r="J1408" s="5">
        <v>418200</v>
      </c>
      <c r="K1408" s="5">
        <v>41820</v>
      </c>
    </row>
    <row r="1409" spans="1:11" x14ac:dyDescent="0.25">
      <c r="A1409" s="2">
        <v>11408</v>
      </c>
      <c r="B1409" s="2">
        <f t="shared" si="23"/>
        <v>2022</v>
      </c>
      <c r="C1409" s="3">
        <v>44866</v>
      </c>
      <c r="D1409" s="6">
        <f t="shared" si="24"/>
        <v>44873</v>
      </c>
      <c r="E1409" s="2" t="s">
        <v>19</v>
      </c>
      <c r="F1409" s="2" t="s">
        <v>24</v>
      </c>
      <c r="G1409" s="2" t="s">
        <v>20</v>
      </c>
      <c r="H1409" s="2">
        <v>15</v>
      </c>
      <c r="I1409" s="2">
        <v>251</v>
      </c>
      <c r="J1409" s="5">
        <v>213350</v>
      </c>
      <c r="K1409" s="5">
        <v>21335</v>
      </c>
    </row>
    <row r="1410" spans="1:11" x14ac:dyDescent="0.25">
      <c r="A1410" s="2">
        <v>11409</v>
      </c>
      <c r="B1410" s="2">
        <f t="shared" si="23"/>
        <v>2022</v>
      </c>
      <c r="C1410" s="3">
        <v>44866</v>
      </c>
      <c r="D1410" s="6">
        <f t="shared" si="24"/>
        <v>44874</v>
      </c>
      <c r="E1410" s="2" t="s">
        <v>14</v>
      </c>
      <c r="F1410" s="2" t="s">
        <v>16</v>
      </c>
      <c r="G1410" s="2" t="s">
        <v>20</v>
      </c>
      <c r="H1410" s="2">
        <v>6</v>
      </c>
      <c r="I1410" s="2">
        <v>98</v>
      </c>
      <c r="J1410" s="5">
        <v>83300</v>
      </c>
      <c r="K1410" s="5">
        <v>9163</v>
      </c>
    </row>
    <row r="1411" spans="1:11" x14ac:dyDescent="0.25">
      <c r="A1411" s="2">
        <v>11410</v>
      </c>
      <c r="B1411" s="2">
        <f t="shared" ref="B1411:B1462" si="25">YEAR(C1411)</f>
        <v>2022</v>
      </c>
      <c r="C1411" s="3">
        <v>44866</v>
      </c>
      <c r="D1411" s="6">
        <f t="shared" si="24"/>
        <v>44875</v>
      </c>
      <c r="E1411" s="2" t="s">
        <v>11</v>
      </c>
      <c r="F1411" s="2" t="s">
        <v>16</v>
      </c>
      <c r="G1411" s="2" t="s">
        <v>20</v>
      </c>
      <c r="H1411" s="2">
        <v>1</v>
      </c>
      <c r="I1411" s="2">
        <v>27</v>
      </c>
      <c r="J1411" s="5">
        <v>22950</v>
      </c>
      <c r="K1411" s="5">
        <v>5737.5</v>
      </c>
    </row>
    <row r="1412" spans="1:11" x14ac:dyDescent="0.25">
      <c r="A1412" s="2">
        <v>11411</v>
      </c>
      <c r="B1412" s="2">
        <f t="shared" si="25"/>
        <v>2022</v>
      </c>
      <c r="C1412" s="3">
        <v>44866</v>
      </c>
      <c r="D1412" s="6">
        <f t="shared" si="24"/>
        <v>44876</v>
      </c>
      <c r="E1412" s="2" t="s">
        <v>11</v>
      </c>
      <c r="F1412" s="2" t="s">
        <v>21</v>
      </c>
      <c r="G1412" s="2" t="s">
        <v>17</v>
      </c>
      <c r="H1412" s="2">
        <v>5</v>
      </c>
      <c r="I1412" s="2">
        <v>281</v>
      </c>
      <c r="J1412" s="5">
        <v>70250</v>
      </c>
      <c r="K1412" s="5">
        <v>29505</v>
      </c>
    </row>
    <row r="1413" spans="1:11" x14ac:dyDescent="0.25">
      <c r="A1413" s="2">
        <v>11412</v>
      </c>
      <c r="B1413" s="2">
        <f t="shared" si="25"/>
        <v>2022</v>
      </c>
      <c r="C1413" s="3">
        <v>44866</v>
      </c>
      <c r="D1413" s="6">
        <f t="shared" si="24"/>
        <v>44877</v>
      </c>
      <c r="E1413" s="2" t="s">
        <v>19</v>
      </c>
      <c r="F1413" s="2" t="s">
        <v>21</v>
      </c>
      <c r="G1413" s="2" t="s">
        <v>17</v>
      </c>
      <c r="H1413" s="2">
        <v>19</v>
      </c>
      <c r="I1413" s="2">
        <v>371</v>
      </c>
      <c r="J1413" s="5">
        <v>92750</v>
      </c>
      <c r="K1413" s="5">
        <v>22260</v>
      </c>
    </row>
    <row r="1414" spans="1:11" x14ac:dyDescent="0.25">
      <c r="A1414" s="2">
        <v>11413</v>
      </c>
      <c r="B1414" s="2">
        <f t="shared" si="25"/>
        <v>2022</v>
      </c>
      <c r="C1414" s="3">
        <v>44866</v>
      </c>
      <c r="D1414" s="6">
        <f t="shared" si="24"/>
        <v>44878</v>
      </c>
      <c r="E1414" s="2" t="s">
        <v>11</v>
      </c>
      <c r="F1414" s="2" t="s">
        <v>12</v>
      </c>
      <c r="G1414" s="2" t="s">
        <v>20</v>
      </c>
      <c r="H1414" s="2">
        <v>18</v>
      </c>
      <c r="I1414" s="2">
        <v>409</v>
      </c>
      <c r="J1414" s="5">
        <v>347650</v>
      </c>
      <c r="K1414" s="5">
        <v>104295</v>
      </c>
    </row>
    <row r="1415" spans="1:11" x14ac:dyDescent="0.25">
      <c r="A1415" s="2">
        <v>11414</v>
      </c>
      <c r="B1415" s="2">
        <f t="shared" si="25"/>
        <v>2022</v>
      </c>
      <c r="C1415" s="3">
        <v>44866</v>
      </c>
      <c r="D1415" s="6">
        <f t="shared" si="24"/>
        <v>44879</v>
      </c>
      <c r="E1415" s="2" t="s">
        <v>25</v>
      </c>
      <c r="F1415" s="2" t="s">
        <v>21</v>
      </c>
      <c r="G1415" s="2" t="s">
        <v>23</v>
      </c>
      <c r="H1415" s="2">
        <v>1</v>
      </c>
      <c r="I1415" s="2">
        <v>28</v>
      </c>
      <c r="J1415" s="5">
        <v>9800</v>
      </c>
      <c r="K1415" s="5">
        <v>2058</v>
      </c>
    </row>
    <row r="1416" spans="1:11" x14ac:dyDescent="0.25">
      <c r="A1416" s="2">
        <v>11415</v>
      </c>
      <c r="B1416" s="2">
        <f t="shared" si="25"/>
        <v>2022</v>
      </c>
      <c r="C1416" s="3">
        <v>44866</v>
      </c>
      <c r="D1416" s="6">
        <f t="shared" si="24"/>
        <v>44880</v>
      </c>
      <c r="E1416" s="2" t="s">
        <v>22</v>
      </c>
      <c r="F1416" s="2" t="s">
        <v>12</v>
      </c>
      <c r="G1416" s="2" t="s">
        <v>17</v>
      </c>
      <c r="H1416" s="2">
        <v>12</v>
      </c>
      <c r="I1416" s="2">
        <v>402</v>
      </c>
      <c r="J1416" s="5">
        <v>100500</v>
      </c>
      <c r="K1416" s="5">
        <v>10050</v>
      </c>
    </row>
    <row r="1417" spans="1:11" x14ac:dyDescent="0.25">
      <c r="A1417" s="2">
        <v>11416</v>
      </c>
      <c r="B1417" s="2">
        <f t="shared" si="25"/>
        <v>2022</v>
      </c>
      <c r="C1417" s="3">
        <v>44866</v>
      </c>
      <c r="D1417" s="6">
        <f t="shared" si="24"/>
        <v>44881</v>
      </c>
      <c r="E1417" s="2" t="s">
        <v>11</v>
      </c>
      <c r="F1417" s="2" t="s">
        <v>21</v>
      </c>
      <c r="G1417" s="2" t="s">
        <v>15</v>
      </c>
      <c r="H1417" s="2">
        <v>10</v>
      </c>
      <c r="I1417" s="2">
        <v>137</v>
      </c>
      <c r="J1417" s="5">
        <v>68500</v>
      </c>
      <c r="K1417" s="5">
        <v>15755</v>
      </c>
    </row>
    <row r="1418" spans="1:11" x14ac:dyDescent="0.25">
      <c r="A1418" s="2">
        <v>11417</v>
      </c>
      <c r="B1418" s="2">
        <f t="shared" si="25"/>
        <v>2022</v>
      </c>
      <c r="C1418" s="3">
        <v>44866</v>
      </c>
      <c r="D1418" s="6">
        <f t="shared" si="24"/>
        <v>44882</v>
      </c>
      <c r="E1418" s="2" t="s">
        <v>19</v>
      </c>
      <c r="F1418" s="2" t="s">
        <v>12</v>
      </c>
      <c r="G1418" s="2" t="s">
        <v>17</v>
      </c>
      <c r="H1418" s="2">
        <v>12</v>
      </c>
      <c r="I1418" s="2">
        <v>290</v>
      </c>
      <c r="J1418" s="5">
        <v>72500</v>
      </c>
      <c r="K1418" s="5">
        <v>31900</v>
      </c>
    </row>
    <row r="1419" spans="1:11" x14ac:dyDescent="0.25">
      <c r="A1419" s="2">
        <v>11418</v>
      </c>
      <c r="B1419" s="2">
        <f t="shared" si="25"/>
        <v>2022</v>
      </c>
      <c r="C1419" s="3">
        <v>44866</v>
      </c>
      <c r="D1419" s="6">
        <f t="shared" si="24"/>
        <v>44883</v>
      </c>
      <c r="E1419" s="2" t="s">
        <v>14</v>
      </c>
      <c r="F1419" s="2" t="s">
        <v>18</v>
      </c>
      <c r="G1419" s="2" t="s">
        <v>20</v>
      </c>
      <c r="H1419" s="2">
        <v>32</v>
      </c>
      <c r="I1419" s="2">
        <v>442</v>
      </c>
      <c r="J1419" s="5">
        <v>375700</v>
      </c>
      <c r="K1419" s="5">
        <v>131495</v>
      </c>
    </row>
    <row r="1420" spans="1:11" x14ac:dyDescent="0.25">
      <c r="A1420" s="2">
        <v>11419</v>
      </c>
      <c r="B1420" s="2">
        <f t="shared" si="25"/>
        <v>2022</v>
      </c>
      <c r="C1420" s="3">
        <v>44866</v>
      </c>
      <c r="D1420" s="6">
        <f t="shared" si="24"/>
        <v>44884</v>
      </c>
      <c r="E1420" s="2" t="s">
        <v>14</v>
      </c>
      <c r="F1420" s="2" t="s">
        <v>24</v>
      </c>
      <c r="G1420" s="2" t="s">
        <v>17</v>
      </c>
      <c r="H1420" s="2">
        <v>31</v>
      </c>
      <c r="I1420" s="2">
        <v>360</v>
      </c>
      <c r="J1420" s="5">
        <v>90000</v>
      </c>
      <c r="K1420" s="5">
        <v>29700</v>
      </c>
    </row>
    <row r="1421" spans="1:11" x14ac:dyDescent="0.25">
      <c r="A1421" s="2">
        <v>11420</v>
      </c>
      <c r="B1421" s="2">
        <f t="shared" si="25"/>
        <v>2022</v>
      </c>
      <c r="C1421" s="3">
        <v>44866</v>
      </c>
      <c r="D1421" s="6">
        <f t="shared" si="24"/>
        <v>44885</v>
      </c>
      <c r="E1421" s="2" t="s">
        <v>19</v>
      </c>
      <c r="F1421" s="2" t="s">
        <v>16</v>
      </c>
      <c r="G1421" s="2" t="s">
        <v>20</v>
      </c>
      <c r="H1421" s="2">
        <v>1</v>
      </c>
      <c r="I1421" s="2">
        <v>21</v>
      </c>
      <c r="J1421" s="5">
        <v>17850</v>
      </c>
      <c r="K1421" s="5">
        <v>4641</v>
      </c>
    </row>
    <row r="1422" spans="1:11" x14ac:dyDescent="0.25">
      <c r="A1422" s="2">
        <v>11421</v>
      </c>
      <c r="B1422" s="2">
        <f t="shared" si="25"/>
        <v>2022</v>
      </c>
      <c r="C1422" s="3">
        <v>44866</v>
      </c>
      <c r="D1422" s="6">
        <f t="shared" si="24"/>
        <v>44886</v>
      </c>
      <c r="E1422" s="2" t="s">
        <v>19</v>
      </c>
      <c r="F1422" s="2" t="s">
        <v>16</v>
      </c>
      <c r="G1422" s="2" t="s">
        <v>23</v>
      </c>
      <c r="H1422" s="2">
        <v>7</v>
      </c>
      <c r="I1422" s="2">
        <v>107</v>
      </c>
      <c r="J1422" s="5">
        <v>37450</v>
      </c>
      <c r="K1422" s="5">
        <v>16103.5</v>
      </c>
    </row>
    <row r="1423" spans="1:11" x14ac:dyDescent="0.25">
      <c r="A1423" s="2">
        <v>11422</v>
      </c>
      <c r="B1423" s="2">
        <f t="shared" si="25"/>
        <v>2022</v>
      </c>
      <c r="C1423" s="3">
        <v>44866</v>
      </c>
      <c r="D1423" s="6">
        <f t="shared" si="24"/>
        <v>44887</v>
      </c>
      <c r="E1423" s="2" t="s">
        <v>22</v>
      </c>
      <c r="F1423" s="2" t="s">
        <v>21</v>
      </c>
      <c r="G1423" s="2" t="s">
        <v>17</v>
      </c>
      <c r="H1423" s="2">
        <v>38</v>
      </c>
      <c r="I1423" s="2">
        <v>490</v>
      </c>
      <c r="J1423" s="5">
        <v>122500</v>
      </c>
      <c r="K1423" s="5">
        <v>47775</v>
      </c>
    </row>
    <row r="1424" spans="1:11" x14ac:dyDescent="0.25">
      <c r="A1424" s="2">
        <v>11423</v>
      </c>
      <c r="B1424" s="2">
        <f t="shared" si="25"/>
        <v>2022</v>
      </c>
      <c r="C1424" s="3">
        <v>44866</v>
      </c>
      <c r="D1424" s="6">
        <f t="shared" si="24"/>
        <v>44888</v>
      </c>
      <c r="E1424" s="2" t="s">
        <v>19</v>
      </c>
      <c r="F1424" s="2" t="s">
        <v>24</v>
      </c>
      <c r="G1424" s="2" t="s">
        <v>20</v>
      </c>
      <c r="H1424" s="2">
        <v>15</v>
      </c>
      <c r="I1424" s="2">
        <v>499</v>
      </c>
      <c r="J1424" s="5">
        <v>424150</v>
      </c>
      <c r="K1424" s="5">
        <v>123003.49999999999</v>
      </c>
    </row>
    <row r="1425" spans="1:11" x14ac:dyDescent="0.25">
      <c r="A1425" s="2">
        <v>11424</v>
      </c>
      <c r="B1425" s="2">
        <f t="shared" si="25"/>
        <v>2022</v>
      </c>
      <c r="C1425" s="3">
        <v>44866</v>
      </c>
      <c r="D1425" s="6">
        <f t="shared" si="24"/>
        <v>44889</v>
      </c>
      <c r="E1425" s="2" t="s">
        <v>14</v>
      </c>
      <c r="F1425" s="2" t="s">
        <v>16</v>
      </c>
      <c r="G1425" s="2" t="s">
        <v>17</v>
      </c>
      <c r="H1425" s="2">
        <v>1</v>
      </c>
      <c r="I1425" s="2">
        <v>88</v>
      </c>
      <c r="J1425" s="5">
        <v>22000</v>
      </c>
      <c r="K1425" s="5">
        <v>5500</v>
      </c>
    </row>
    <row r="1426" spans="1:11" x14ac:dyDescent="0.25">
      <c r="A1426" s="2">
        <v>11425</v>
      </c>
      <c r="B1426" s="2">
        <f t="shared" si="25"/>
        <v>2022</v>
      </c>
      <c r="C1426" s="3">
        <v>44866</v>
      </c>
      <c r="D1426" s="6">
        <f t="shared" si="24"/>
        <v>44890</v>
      </c>
      <c r="E1426" s="2" t="s">
        <v>22</v>
      </c>
      <c r="F1426" s="2" t="s">
        <v>24</v>
      </c>
      <c r="G1426" s="2" t="s">
        <v>20</v>
      </c>
      <c r="H1426" s="2">
        <v>3</v>
      </c>
      <c r="I1426" s="2">
        <v>57</v>
      </c>
      <c r="J1426" s="5">
        <v>48450</v>
      </c>
      <c r="K1426" s="5">
        <v>10174.5</v>
      </c>
    </row>
    <row r="1427" spans="1:11" x14ac:dyDescent="0.25">
      <c r="A1427" s="2">
        <v>11426</v>
      </c>
      <c r="B1427" s="2">
        <f t="shared" si="25"/>
        <v>2022</v>
      </c>
      <c r="C1427" s="3">
        <v>44866</v>
      </c>
      <c r="D1427" s="6">
        <f t="shared" si="24"/>
        <v>44891</v>
      </c>
      <c r="E1427" s="2" t="s">
        <v>14</v>
      </c>
      <c r="F1427" s="2" t="s">
        <v>21</v>
      </c>
      <c r="G1427" s="2" t="s">
        <v>17</v>
      </c>
      <c r="H1427" s="2">
        <v>4</v>
      </c>
      <c r="I1427" s="2">
        <v>90</v>
      </c>
      <c r="J1427" s="5">
        <v>22500</v>
      </c>
      <c r="K1427" s="5">
        <v>9225</v>
      </c>
    </row>
    <row r="1428" spans="1:11" x14ac:dyDescent="0.25">
      <c r="A1428" s="2">
        <v>11427</v>
      </c>
      <c r="B1428" s="2">
        <f t="shared" si="25"/>
        <v>2022</v>
      </c>
      <c r="C1428" s="3">
        <v>44866</v>
      </c>
      <c r="D1428" s="6">
        <f t="shared" si="24"/>
        <v>44892</v>
      </c>
      <c r="E1428" s="2" t="s">
        <v>22</v>
      </c>
      <c r="F1428" s="2" t="s">
        <v>24</v>
      </c>
      <c r="G1428" s="2" t="s">
        <v>15</v>
      </c>
      <c r="H1428" s="2">
        <v>10</v>
      </c>
      <c r="I1428" s="2">
        <v>115</v>
      </c>
      <c r="J1428" s="5">
        <v>57500</v>
      </c>
      <c r="K1428" s="5">
        <v>9200</v>
      </c>
    </row>
    <row r="1429" spans="1:11" x14ac:dyDescent="0.25">
      <c r="A1429" s="2">
        <v>11428</v>
      </c>
      <c r="B1429" s="2">
        <f t="shared" si="25"/>
        <v>2022</v>
      </c>
      <c r="C1429" s="3">
        <v>44866</v>
      </c>
      <c r="D1429" s="6">
        <f t="shared" ref="D1429:D1462" si="26">D1428+1</f>
        <v>44893</v>
      </c>
      <c r="E1429" s="2" t="s">
        <v>22</v>
      </c>
      <c r="F1429" s="2" t="s">
        <v>12</v>
      </c>
      <c r="G1429" s="2" t="s">
        <v>13</v>
      </c>
      <c r="H1429" s="2">
        <v>6</v>
      </c>
      <c r="I1429" s="2">
        <v>457</v>
      </c>
      <c r="J1429" s="5">
        <v>342750</v>
      </c>
      <c r="K1429" s="5">
        <v>147382.5</v>
      </c>
    </row>
    <row r="1430" spans="1:11" x14ac:dyDescent="0.25">
      <c r="A1430" s="2">
        <v>11429</v>
      </c>
      <c r="B1430" s="2">
        <f t="shared" si="25"/>
        <v>2022</v>
      </c>
      <c r="C1430" s="3">
        <v>44866</v>
      </c>
      <c r="D1430" s="6">
        <f t="shared" si="26"/>
        <v>44894</v>
      </c>
      <c r="E1430" s="2" t="s">
        <v>14</v>
      </c>
      <c r="F1430" s="2" t="s">
        <v>21</v>
      </c>
      <c r="G1430" s="2" t="s">
        <v>15</v>
      </c>
      <c r="H1430" s="2">
        <v>5</v>
      </c>
      <c r="I1430" s="2">
        <v>70</v>
      </c>
      <c r="J1430" s="5">
        <v>35000</v>
      </c>
      <c r="K1430" s="5">
        <v>12950</v>
      </c>
    </row>
    <row r="1431" spans="1:11" x14ac:dyDescent="0.25">
      <c r="A1431" s="2">
        <v>11430</v>
      </c>
      <c r="B1431" s="2">
        <f t="shared" si="25"/>
        <v>2022</v>
      </c>
      <c r="C1431" s="3">
        <v>44866</v>
      </c>
      <c r="D1431" s="6">
        <f t="shared" si="26"/>
        <v>44895</v>
      </c>
      <c r="E1431" s="2" t="s">
        <v>11</v>
      </c>
      <c r="F1431" s="2" t="s">
        <v>18</v>
      </c>
      <c r="G1431" s="2" t="s">
        <v>23</v>
      </c>
      <c r="H1431" s="2">
        <v>16</v>
      </c>
      <c r="I1431" s="2">
        <v>344</v>
      </c>
      <c r="J1431" s="5">
        <v>120400</v>
      </c>
      <c r="K1431" s="5">
        <v>19264</v>
      </c>
    </row>
    <row r="1432" spans="1:11" x14ac:dyDescent="0.25">
      <c r="A1432" s="2">
        <v>11431</v>
      </c>
      <c r="B1432" s="2">
        <f t="shared" si="25"/>
        <v>2022</v>
      </c>
      <c r="C1432" s="3">
        <v>44896</v>
      </c>
      <c r="D1432" s="6">
        <f t="shared" si="26"/>
        <v>44896</v>
      </c>
      <c r="E1432" s="2" t="s">
        <v>19</v>
      </c>
      <c r="F1432" s="2" t="s">
        <v>18</v>
      </c>
      <c r="G1432" s="2" t="s">
        <v>13</v>
      </c>
      <c r="H1432" s="2">
        <v>5</v>
      </c>
      <c r="I1432" s="2">
        <v>88</v>
      </c>
      <c r="J1432" s="5">
        <v>66000</v>
      </c>
      <c r="K1432" s="5">
        <v>12540</v>
      </c>
    </row>
    <row r="1433" spans="1:11" x14ac:dyDescent="0.25">
      <c r="A1433" s="2">
        <v>11432</v>
      </c>
      <c r="B1433" s="2">
        <f t="shared" si="25"/>
        <v>2022</v>
      </c>
      <c r="C1433" s="3">
        <v>44896</v>
      </c>
      <c r="D1433" s="6">
        <f t="shared" si="26"/>
        <v>44897</v>
      </c>
      <c r="E1433" s="2" t="s">
        <v>25</v>
      </c>
      <c r="F1433" s="2" t="s">
        <v>16</v>
      </c>
      <c r="G1433" s="2" t="s">
        <v>15</v>
      </c>
      <c r="H1433" s="2">
        <v>4</v>
      </c>
      <c r="I1433" s="2">
        <v>294</v>
      </c>
      <c r="J1433" s="5">
        <v>147000</v>
      </c>
      <c r="K1433" s="5">
        <v>42630</v>
      </c>
    </row>
    <row r="1434" spans="1:11" x14ac:dyDescent="0.25">
      <c r="A1434" s="2">
        <v>11433</v>
      </c>
      <c r="B1434" s="2">
        <f t="shared" si="25"/>
        <v>2022</v>
      </c>
      <c r="C1434" s="3">
        <v>44896</v>
      </c>
      <c r="D1434" s="6">
        <f t="shared" si="26"/>
        <v>44898</v>
      </c>
      <c r="E1434" s="2" t="s">
        <v>19</v>
      </c>
      <c r="F1434" s="2" t="s">
        <v>12</v>
      </c>
      <c r="G1434" s="2" t="s">
        <v>13</v>
      </c>
      <c r="H1434" s="2">
        <v>10</v>
      </c>
      <c r="I1434" s="2">
        <v>336</v>
      </c>
      <c r="J1434" s="5">
        <v>252000</v>
      </c>
      <c r="K1434" s="5">
        <v>75600</v>
      </c>
    </row>
    <row r="1435" spans="1:11" x14ac:dyDescent="0.25">
      <c r="A1435" s="2">
        <v>11434</v>
      </c>
      <c r="B1435" s="2">
        <f t="shared" si="25"/>
        <v>2022</v>
      </c>
      <c r="C1435" s="3">
        <v>44896</v>
      </c>
      <c r="D1435" s="6">
        <f t="shared" si="26"/>
        <v>44899</v>
      </c>
      <c r="E1435" s="2" t="s">
        <v>19</v>
      </c>
      <c r="F1435" s="2" t="s">
        <v>16</v>
      </c>
      <c r="G1435" s="2" t="s">
        <v>17</v>
      </c>
      <c r="H1435" s="2">
        <v>26</v>
      </c>
      <c r="I1435" s="2">
        <v>271</v>
      </c>
      <c r="J1435" s="5">
        <v>67750</v>
      </c>
      <c r="K1435" s="5">
        <v>25745</v>
      </c>
    </row>
    <row r="1436" spans="1:11" x14ac:dyDescent="0.25">
      <c r="A1436" s="2">
        <v>11435</v>
      </c>
      <c r="B1436" s="2">
        <f t="shared" si="25"/>
        <v>2022</v>
      </c>
      <c r="C1436" s="3">
        <v>44896</v>
      </c>
      <c r="D1436" s="6">
        <f t="shared" si="26"/>
        <v>44900</v>
      </c>
      <c r="E1436" s="2" t="s">
        <v>19</v>
      </c>
      <c r="F1436" s="2" t="s">
        <v>16</v>
      </c>
      <c r="G1436" s="2" t="s">
        <v>17</v>
      </c>
      <c r="H1436" s="2">
        <v>8</v>
      </c>
      <c r="I1436" s="2">
        <v>347</v>
      </c>
      <c r="J1436" s="5">
        <v>86750</v>
      </c>
      <c r="K1436" s="5">
        <v>13012.5</v>
      </c>
    </row>
    <row r="1437" spans="1:11" x14ac:dyDescent="0.25">
      <c r="A1437" s="2">
        <v>11436</v>
      </c>
      <c r="B1437" s="2">
        <f t="shared" si="25"/>
        <v>2022</v>
      </c>
      <c r="C1437" s="3">
        <v>44896</v>
      </c>
      <c r="D1437" s="6">
        <f t="shared" si="26"/>
        <v>44901</v>
      </c>
      <c r="E1437" s="2" t="s">
        <v>11</v>
      </c>
      <c r="F1437" s="2" t="s">
        <v>18</v>
      </c>
      <c r="G1437" s="2" t="s">
        <v>20</v>
      </c>
      <c r="H1437" s="2">
        <v>39</v>
      </c>
      <c r="I1437" s="2">
        <v>450</v>
      </c>
      <c r="J1437" s="5">
        <v>382500</v>
      </c>
      <c r="K1437" s="5">
        <v>42075</v>
      </c>
    </row>
    <row r="1438" spans="1:11" x14ac:dyDescent="0.25">
      <c r="A1438" s="2">
        <v>11437</v>
      </c>
      <c r="B1438" s="2">
        <f t="shared" si="25"/>
        <v>2022</v>
      </c>
      <c r="C1438" s="3">
        <v>44896</v>
      </c>
      <c r="D1438" s="6">
        <f t="shared" si="26"/>
        <v>44902</v>
      </c>
      <c r="E1438" s="2" t="s">
        <v>14</v>
      </c>
      <c r="F1438" s="2" t="s">
        <v>12</v>
      </c>
      <c r="G1438" s="2" t="s">
        <v>17</v>
      </c>
      <c r="H1438" s="2">
        <v>2</v>
      </c>
      <c r="I1438" s="2">
        <v>74</v>
      </c>
      <c r="J1438" s="5">
        <v>18500</v>
      </c>
      <c r="K1438" s="5">
        <v>7585</v>
      </c>
    </row>
    <row r="1439" spans="1:11" x14ac:dyDescent="0.25">
      <c r="A1439" s="2">
        <v>11438</v>
      </c>
      <c r="B1439" s="2">
        <f t="shared" si="25"/>
        <v>2022</v>
      </c>
      <c r="C1439" s="3">
        <v>44896</v>
      </c>
      <c r="D1439" s="6">
        <f t="shared" si="26"/>
        <v>44903</v>
      </c>
      <c r="E1439" s="2" t="s">
        <v>14</v>
      </c>
      <c r="F1439" s="2" t="s">
        <v>21</v>
      </c>
      <c r="G1439" s="2" t="s">
        <v>15</v>
      </c>
      <c r="H1439" s="2">
        <v>18</v>
      </c>
      <c r="I1439" s="2">
        <v>183</v>
      </c>
      <c r="J1439" s="5">
        <v>91500</v>
      </c>
      <c r="K1439" s="5">
        <v>29280</v>
      </c>
    </row>
    <row r="1440" spans="1:11" x14ac:dyDescent="0.25">
      <c r="A1440" s="2">
        <v>11439</v>
      </c>
      <c r="B1440" s="2">
        <f t="shared" si="25"/>
        <v>2022</v>
      </c>
      <c r="C1440" s="3">
        <v>44896</v>
      </c>
      <c r="D1440" s="6">
        <f t="shared" si="26"/>
        <v>44904</v>
      </c>
      <c r="E1440" s="2" t="s">
        <v>14</v>
      </c>
      <c r="F1440" s="2" t="s">
        <v>18</v>
      </c>
      <c r="G1440" s="2" t="s">
        <v>15</v>
      </c>
      <c r="H1440" s="2">
        <v>5</v>
      </c>
      <c r="I1440" s="2">
        <v>55</v>
      </c>
      <c r="J1440" s="5">
        <v>27500</v>
      </c>
      <c r="K1440" s="5">
        <v>4675</v>
      </c>
    </row>
    <row r="1441" spans="1:11" x14ac:dyDescent="0.25">
      <c r="A1441" s="2">
        <v>11440</v>
      </c>
      <c r="B1441" s="2">
        <f t="shared" si="25"/>
        <v>2022</v>
      </c>
      <c r="C1441" s="3">
        <v>44896</v>
      </c>
      <c r="D1441" s="6">
        <f t="shared" si="26"/>
        <v>44905</v>
      </c>
      <c r="E1441" s="2" t="s">
        <v>19</v>
      </c>
      <c r="F1441" s="2" t="s">
        <v>18</v>
      </c>
      <c r="G1441" s="2" t="s">
        <v>20</v>
      </c>
      <c r="H1441" s="2">
        <v>37</v>
      </c>
      <c r="I1441" s="2">
        <v>479</v>
      </c>
      <c r="J1441" s="5">
        <v>407150</v>
      </c>
      <c r="K1441" s="5">
        <v>126216.5</v>
      </c>
    </row>
    <row r="1442" spans="1:11" x14ac:dyDescent="0.25">
      <c r="A1442" s="2">
        <v>11441</v>
      </c>
      <c r="B1442" s="2">
        <f t="shared" si="25"/>
        <v>2022</v>
      </c>
      <c r="C1442" s="3">
        <v>44896</v>
      </c>
      <c r="D1442" s="6">
        <f t="shared" si="26"/>
        <v>44906</v>
      </c>
      <c r="E1442" s="2" t="s">
        <v>22</v>
      </c>
      <c r="F1442" s="2" t="s">
        <v>16</v>
      </c>
      <c r="G1442" s="2" t="s">
        <v>23</v>
      </c>
      <c r="H1442" s="2">
        <v>5</v>
      </c>
      <c r="I1442" s="2">
        <v>63</v>
      </c>
      <c r="J1442" s="5">
        <v>22050</v>
      </c>
      <c r="K1442" s="5">
        <v>7717.4999999999991</v>
      </c>
    </row>
    <row r="1443" spans="1:11" x14ac:dyDescent="0.25">
      <c r="A1443" s="2">
        <v>11442</v>
      </c>
      <c r="B1443" s="2">
        <f t="shared" si="25"/>
        <v>2022</v>
      </c>
      <c r="C1443" s="3">
        <v>44896</v>
      </c>
      <c r="D1443" s="6">
        <f t="shared" si="26"/>
        <v>44907</v>
      </c>
      <c r="E1443" s="2" t="s">
        <v>25</v>
      </c>
      <c r="F1443" s="2" t="s">
        <v>24</v>
      </c>
      <c r="G1443" s="2" t="s">
        <v>13</v>
      </c>
      <c r="H1443" s="2">
        <v>8</v>
      </c>
      <c r="I1443" s="2">
        <v>166</v>
      </c>
      <c r="J1443" s="5">
        <v>124500</v>
      </c>
      <c r="K1443" s="5">
        <v>56025</v>
      </c>
    </row>
    <row r="1444" spans="1:11" x14ac:dyDescent="0.25">
      <c r="A1444" s="2">
        <v>11443</v>
      </c>
      <c r="B1444" s="2">
        <f t="shared" si="25"/>
        <v>2022</v>
      </c>
      <c r="C1444" s="3">
        <v>44896</v>
      </c>
      <c r="D1444" s="6">
        <f t="shared" si="26"/>
        <v>44908</v>
      </c>
      <c r="E1444" s="2" t="s">
        <v>14</v>
      </c>
      <c r="F1444" s="2" t="s">
        <v>18</v>
      </c>
      <c r="G1444" s="2" t="s">
        <v>15</v>
      </c>
      <c r="H1444" s="2">
        <v>1</v>
      </c>
      <c r="I1444" s="2">
        <v>70</v>
      </c>
      <c r="J1444" s="5">
        <v>35000</v>
      </c>
      <c r="K1444" s="5">
        <v>4550</v>
      </c>
    </row>
    <row r="1445" spans="1:11" x14ac:dyDescent="0.25">
      <c r="A1445" s="2">
        <v>11444</v>
      </c>
      <c r="B1445" s="2">
        <f t="shared" si="25"/>
        <v>2022</v>
      </c>
      <c r="C1445" s="3">
        <v>44896</v>
      </c>
      <c r="D1445" s="6">
        <f t="shared" si="26"/>
        <v>44909</v>
      </c>
      <c r="E1445" s="2" t="s">
        <v>25</v>
      </c>
      <c r="F1445" s="2" t="s">
        <v>18</v>
      </c>
      <c r="G1445" s="2" t="s">
        <v>15</v>
      </c>
      <c r="H1445" s="2">
        <v>19</v>
      </c>
      <c r="I1445" s="2">
        <v>474</v>
      </c>
      <c r="J1445" s="5">
        <v>237000</v>
      </c>
      <c r="K1445" s="5">
        <v>92430</v>
      </c>
    </row>
    <row r="1446" spans="1:11" x14ac:dyDescent="0.25">
      <c r="A1446" s="2">
        <v>11445</v>
      </c>
      <c r="B1446" s="2">
        <f t="shared" si="25"/>
        <v>2022</v>
      </c>
      <c r="C1446" s="3">
        <v>44896</v>
      </c>
      <c r="D1446" s="6">
        <f t="shared" si="26"/>
        <v>44910</v>
      </c>
      <c r="E1446" s="2" t="s">
        <v>22</v>
      </c>
      <c r="F1446" s="2" t="s">
        <v>16</v>
      </c>
      <c r="G1446" s="2" t="s">
        <v>13</v>
      </c>
      <c r="H1446" s="2">
        <v>8</v>
      </c>
      <c r="I1446" s="2">
        <v>166</v>
      </c>
      <c r="J1446" s="5">
        <v>124500</v>
      </c>
      <c r="K1446" s="5">
        <v>43575</v>
      </c>
    </row>
    <row r="1447" spans="1:11" x14ac:dyDescent="0.25">
      <c r="A1447" s="2">
        <v>11446</v>
      </c>
      <c r="B1447" s="2">
        <f t="shared" si="25"/>
        <v>2022</v>
      </c>
      <c r="C1447" s="3">
        <v>44896</v>
      </c>
      <c r="D1447" s="6">
        <f t="shared" si="26"/>
        <v>44911</v>
      </c>
      <c r="E1447" s="2" t="s">
        <v>14</v>
      </c>
      <c r="F1447" s="2" t="s">
        <v>21</v>
      </c>
      <c r="G1447" s="2" t="s">
        <v>15</v>
      </c>
      <c r="H1447" s="2">
        <v>3</v>
      </c>
      <c r="I1447" s="2">
        <v>45</v>
      </c>
      <c r="J1447" s="5">
        <v>22500</v>
      </c>
      <c r="K1447" s="5">
        <v>7200</v>
      </c>
    </row>
    <row r="1448" spans="1:11" x14ac:dyDescent="0.25">
      <c r="A1448" s="2">
        <v>11447</v>
      </c>
      <c r="B1448" s="2">
        <f t="shared" si="25"/>
        <v>2022</v>
      </c>
      <c r="C1448" s="3">
        <v>44896</v>
      </c>
      <c r="D1448" s="6">
        <f t="shared" si="26"/>
        <v>44912</v>
      </c>
      <c r="E1448" s="2" t="s">
        <v>14</v>
      </c>
      <c r="F1448" s="2" t="s">
        <v>24</v>
      </c>
      <c r="G1448" s="2" t="s">
        <v>20</v>
      </c>
      <c r="H1448" s="2">
        <v>25</v>
      </c>
      <c r="I1448" s="2">
        <v>255</v>
      </c>
      <c r="J1448" s="5">
        <v>216750</v>
      </c>
      <c r="K1448" s="5">
        <v>49852.5</v>
      </c>
    </row>
    <row r="1449" spans="1:11" x14ac:dyDescent="0.25">
      <c r="A1449" s="2">
        <v>11448</v>
      </c>
      <c r="B1449" s="2">
        <f t="shared" si="25"/>
        <v>2022</v>
      </c>
      <c r="C1449" s="3">
        <v>44896</v>
      </c>
      <c r="D1449" s="6">
        <f t="shared" si="26"/>
        <v>44913</v>
      </c>
      <c r="E1449" s="2" t="s">
        <v>22</v>
      </c>
      <c r="F1449" s="2" t="s">
        <v>24</v>
      </c>
      <c r="G1449" s="2" t="s">
        <v>13</v>
      </c>
      <c r="H1449" s="2">
        <v>7</v>
      </c>
      <c r="I1449" s="2">
        <v>288</v>
      </c>
      <c r="J1449" s="5">
        <v>216000</v>
      </c>
      <c r="K1449" s="5">
        <v>66960</v>
      </c>
    </row>
    <row r="1450" spans="1:11" x14ac:dyDescent="0.25">
      <c r="A1450" s="2">
        <v>11449</v>
      </c>
      <c r="B1450" s="2">
        <f t="shared" si="25"/>
        <v>2022</v>
      </c>
      <c r="C1450" s="3">
        <v>44896</v>
      </c>
      <c r="D1450" s="6">
        <f t="shared" si="26"/>
        <v>44914</v>
      </c>
      <c r="E1450" s="2" t="s">
        <v>25</v>
      </c>
      <c r="F1450" s="2" t="s">
        <v>16</v>
      </c>
      <c r="G1450" s="2" t="s">
        <v>20</v>
      </c>
      <c r="H1450" s="2">
        <v>8</v>
      </c>
      <c r="I1450" s="2">
        <v>269</v>
      </c>
      <c r="J1450" s="5">
        <v>228650</v>
      </c>
      <c r="K1450" s="5">
        <v>43443.5</v>
      </c>
    </row>
    <row r="1451" spans="1:11" x14ac:dyDescent="0.25">
      <c r="A1451" s="2">
        <v>11450</v>
      </c>
      <c r="B1451" s="2">
        <f t="shared" si="25"/>
        <v>2022</v>
      </c>
      <c r="C1451" s="3">
        <v>44896</v>
      </c>
      <c r="D1451" s="6">
        <f t="shared" si="26"/>
        <v>44915</v>
      </c>
      <c r="E1451" s="2" t="s">
        <v>25</v>
      </c>
      <c r="F1451" s="2" t="s">
        <v>18</v>
      </c>
      <c r="G1451" s="2" t="s">
        <v>23</v>
      </c>
      <c r="H1451" s="2">
        <v>7</v>
      </c>
      <c r="I1451" s="2">
        <v>295</v>
      </c>
      <c r="J1451" s="5">
        <v>103250</v>
      </c>
      <c r="K1451" s="5">
        <v>43365</v>
      </c>
    </row>
    <row r="1452" spans="1:11" x14ac:dyDescent="0.25">
      <c r="A1452" s="2">
        <v>11451</v>
      </c>
      <c r="B1452" s="2">
        <f t="shared" si="25"/>
        <v>2022</v>
      </c>
      <c r="C1452" s="3">
        <v>44896</v>
      </c>
      <c r="D1452" s="6">
        <f t="shared" si="26"/>
        <v>44916</v>
      </c>
      <c r="E1452" s="2" t="s">
        <v>25</v>
      </c>
      <c r="F1452" s="2" t="s">
        <v>24</v>
      </c>
      <c r="G1452" s="2" t="s">
        <v>13</v>
      </c>
      <c r="H1452" s="2">
        <v>11</v>
      </c>
      <c r="I1452" s="2">
        <v>114</v>
      </c>
      <c r="J1452" s="5">
        <v>85500</v>
      </c>
      <c r="K1452" s="5">
        <v>34200</v>
      </c>
    </row>
    <row r="1453" spans="1:11" x14ac:dyDescent="0.25">
      <c r="A1453" s="2">
        <v>11452</v>
      </c>
      <c r="B1453" s="2">
        <f t="shared" si="25"/>
        <v>2022</v>
      </c>
      <c r="C1453" s="3">
        <v>44896</v>
      </c>
      <c r="D1453" s="6">
        <f t="shared" si="26"/>
        <v>44917</v>
      </c>
      <c r="E1453" s="2" t="s">
        <v>19</v>
      </c>
      <c r="F1453" s="2" t="s">
        <v>24</v>
      </c>
      <c r="G1453" s="2" t="s">
        <v>23</v>
      </c>
      <c r="H1453" s="2">
        <v>29</v>
      </c>
      <c r="I1453" s="2">
        <v>456</v>
      </c>
      <c r="J1453" s="5">
        <v>159600</v>
      </c>
      <c r="K1453" s="5">
        <v>35112</v>
      </c>
    </row>
    <row r="1454" spans="1:11" x14ac:dyDescent="0.25">
      <c r="A1454" s="2">
        <v>11453</v>
      </c>
      <c r="B1454" s="2">
        <f t="shared" si="25"/>
        <v>2022</v>
      </c>
      <c r="C1454" s="3">
        <v>44896</v>
      </c>
      <c r="D1454" s="6">
        <f t="shared" si="26"/>
        <v>44918</v>
      </c>
      <c r="E1454" s="2" t="s">
        <v>22</v>
      </c>
      <c r="F1454" s="2" t="s">
        <v>21</v>
      </c>
      <c r="G1454" s="2" t="s">
        <v>20</v>
      </c>
      <c r="H1454" s="2">
        <v>4</v>
      </c>
      <c r="I1454" s="2">
        <v>176</v>
      </c>
      <c r="J1454" s="5">
        <v>149600</v>
      </c>
      <c r="K1454" s="5">
        <v>59840</v>
      </c>
    </row>
    <row r="1455" spans="1:11" x14ac:dyDescent="0.25">
      <c r="A1455" s="2">
        <v>11454</v>
      </c>
      <c r="B1455" s="2">
        <f t="shared" si="25"/>
        <v>2022</v>
      </c>
      <c r="C1455" s="3">
        <v>44896</v>
      </c>
      <c r="D1455" s="6">
        <f t="shared" si="26"/>
        <v>44919</v>
      </c>
      <c r="E1455" s="2" t="s">
        <v>25</v>
      </c>
      <c r="F1455" s="2" t="s">
        <v>18</v>
      </c>
      <c r="G1455" s="2" t="s">
        <v>15</v>
      </c>
      <c r="H1455" s="2">
        <v>16</v>
      </c>
      <c r="I1455" s="2">
        <v>301</v>
      </c>
      <c r="J1455" s="5">
        <v>150500</v>
      </c>
      <c r="K1455" s="5">
        <v>61704.999999999993</v>
      </c>
    </row>
    <row r="1456" spans="1:11" x14ac:dyDescent="0.25">
      <c r="A1456" s="2">
        <v>11455</v>
      </c>
      <c r="B1456" s="2">
        <f t="shared" si="25"/>
        <v>2022</v>
      </c>
      <c r="C1456" s="3">
        <v>44896</v>
      </c>
      <c r="D1456" s="6">
        <f t="shared" si="26"/>
        <v>44920</v>
      </c>
      <c r="E1456" s="2" t="s">
        <v>14</v>
      </c>
      <c r="F1456" s="2" t="s">
        <v>16</v>
      </c>
      <c r="G1456" s="2" t="s">
        <v>23</v>
      </c>
      <c r="H1456" s="2">
        <v>14</v>
      </c>
      <c r="I1456" s="2">
        <v>499</v>
      </c>
      <c r="J1456" s="5">
        <v>174650</v>
      </c>
      <c r="K1456" s="5">
        <v>55888</v>
      </c>
    </row>
    <row r="1457" spans="1:11" x14ac:dyDescent="0.25">
      <c r="A1457" s="2">
        <v>11456</v>
      </c>
      <c r="B1457" s="2">
        <f t="shared" si="25"/>
        <v>2022</v>
      </c>
      <c r="C1457" s="3">
        <v>44896</v>
      </c>
      <c r="D1457" s="6">
        <f t="shared" si="26"/>
        <v>44921</v>
      </c>
      <c r="E1457" s="2" t="s">
        <v>19</v>
      </c>
      <c r="F1457" s="2" t="s">
        <v>12</v>
      </c>
      <c r="G1457" s="2" t="s">
        <v>20</v>
      </c>
      <c r="H1457" s="2">
        <v>6</v>
      </c>
      <c r="I1457" s="2">
        <v>284</v>
      </c>
      <c r="J1457" s="5">
        <v>241400</v>
      </c>
      <c r="K1457" s="5">
        <v>79662</v>
      </c>
    </row>
    <row r="1458" spans="1:11" x14ac:dyDescent="0.25">
      <c r="A1458" s="2">
        <v>11457</v>
      </c>
      <c r="B1458" s="2">
        <f t="shared" si="25"/>
        <v>2022</v>
      </c>
      <c r="C1458" s="3">
        <v>44896</v>
      </c>
      <c r="D1458" s="6">
        <f t="shared" si="26"/>
        <v>44922</v>
      </c>
      <c r="E1458" s="2" t="s">
        <v>11</v>
      </c>
      <c r="F1458" s="2" t="s">
        <v>16</v>
      </c>
      <c r="G1458" s="2" t="s">
        <v>15</v>
      </c>
      <c r="H1458" s="2">
        <v>13</v>
      </c>
      <c r="I1458" s="2">
        <v>235</v>
      </c>
      <c r="J1458" s="5">
        <v>117500</v>
      </c>
      <c r="K1458" s="5">
        <v>21150</v>
      </c>
    </row>
    <row r="1459" spans="1:11" x14ac:dyDescent="0.25">
      <c r="A1459" s="2">
        <v>11458</v>
      </c>
      <c r="B1459" s="2">
        <f t="shared" si="25"/>
        <v>2022</v>
      </c>
      <c r="C1459" s="3">
        <v>44896</v>
      </c>
      <c r="D1459" s="6">
        <f t="shared" si="26"/>
        <v>44923</v>
      </c>
      <c r="E1459" s="2" t="s">
        <v>22</v>
      </c>
      <c r="F1459" s="2" t="s">
        <v>21</v>
      </c>
      <c r="G1459" s="2" t="s">
        <v>15</v>
      </c>
      <c r="H1459" s="2">
        <v>39</v>
      </c>
      <c r="I1459" s="2">
        <v>439</v>
      </c>
      <c r="J1459" s="5">
        <v>219500</v>
      </c>
      <c r="K1459" s="5">
        <v>41705</v>
      </c>
    </row>
    <row r="1460" spans="1:11" x14ac:dyDescent="0.25">
      <c r="A1460" s="2">
        <v>11459</v>
      </c>
      <c r="B1460" s="2">
        <f t="shared" si="25"/>
        <v>2022</v>
      </c>
      <c r="C1460" s="3">
        <v>44896</v>
      </c>
      <c r="D1460" s="6">
        <f t="shared" si="26"/>
        <v>44924</v>
      </c>
      <c r="E1460" s="2" t="s">
        <v>22</v>
      </c>
      <c r="F1460" s="2" t="s">
        <v>18</v>
      </c>
      <c r="G1460" s="2" t="s">
        <v>20</v>
      </c>
      <c r="H1460" s="2">
        <v>4</v>
      </c>
      <c r="I1460" s="2">
        <v>59</v>
      </c>
      <c r="J1460" s="5">
        <v>50150</v>
      </c>
      <c r="K1460" s="5">
        <v>18555.5</v>
      </c>
    </row>
    <row r="1461" spans="1:11" x14ac:dyDescent="0.25">
      <c r="A1461" s="2">
        <v>11460</v>
      </c>
      <c r="B1461" s="2">
        <f t="shared" si="25"/>
        <v>2022</v>
      </c>
      <c r="C1461" s="3">
        <v>44896</v>
      </c>
      <c r="D1461" s="6">
        <f t="shared" si="26"/>
        <v>44925</v>
      </c>
      <c r="E1461" s="2" t="s">
        <v>22</v>
      </c>
      <c r="F1461" s="2" t="s">
        <v>16</v>
      </c>
      <c r="G1461" s="2" t="s">
        <v>23</v>
      </c>
      <c r="H1461" s="2">
        <v>13</v>
      </c>
      <c r="I1461" s="2">
        <v>294</v>
      </c>
      <c r="J1461" s="5">
        <v>102900</v>
      </c>
      <c r="K1461" s="5">
        <v>45276</v>
      </c>
    </row>
    <row r="1462" spans="1:11" x14ac:dyDescent="0.25">
      <c r="A1462" s="2">
        <v>11461</v>
      </c>
      <c r="B1462" s="2">
        <f t="shared" si="25"/>
        <v>2022</v>
      </c>
      <c r="C1462" s="3">
        <v>44896</v>
      </c>
      <c r="D1462" s="6">
        <f t="shared" si="26"/>
        <v>44926</v>
      </c>
      <c r="E1462" s="2" t="s">
        <v>14</v>
      </c>
      <c r="F1462" s="2" t="s">
        <v>12</v>
      </c>
      <c r="G1462" s="2" t="s">
        <v>20</v>
      </c>
      <c r="H1462" s="2">
        <v>1</v>
      </c>
      <c r="I1462" s="2">
        <v>50</v>
      </c>
      <c r="J1462" s="5">
        <v>42500</v>
      </c>
      <c r="K1462" s="5">
        <v>18275</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3CBA36-DD19-4F2F-A0DF-35D21C7A20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Project_Overview</vt:lpstr>
      <vt:lpstr>Dashboard</vt:lpstr>
      <vt:lpstr>Manager_Lookup</vt:lpstr>
      <vt:lpstr>Calculations</vt:lpstr>
      <vt:lpstr>Pivot_Tables</vt:lpstr>
      <vt:lpstr>Forecast_yearly</vt:lpstr>
      <vt:lpstr>Forecast_Revenue_Quarter</vt:lpstr>
      <vt:lpstr>Cleaned_Sales_Data</vt:lpstr>
      <vt:lpstr>RAW_Sales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TheDataLabs</dc:creator>
  <cp:lastModifiedBy>Sérginho Oliveira</cp:lastModifiedBy>
  <dcterms:created xsi:type="dcterms:W3CDTF">2023-05-27T14:46:14Z</dcterms:created>
  <dcterms:modified xsi:type="dcterms:W3CDTF">2026-02-22T16:26:12Z</dcterms:modified>
</cp:coreProperties>
</file>